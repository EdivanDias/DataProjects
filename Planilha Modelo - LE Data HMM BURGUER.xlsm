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D:\Desktop\TRABALHO\HMM Burguer\"/>
    </mc:Choice>
  </mc:AlternateContent>
  <bookViews>
    <workbookView xWindow="0" yWindow="0" windowWidth="20490" windowHeight="7650"/>
  </bookViews>
  <sheets>
    <sheet name="VENDAS" sheetId="1" r:id="rId1"/>
    <sheet name="Cardápio" sheetId="4" r:id="rId2"/>
    <sheet name="Tipos Venda" sheetId="2" r:id="rId3"/>
    <sheet name="Bairros" sheetId="3" r:id="rId4"/>
    <sheet name="Quantidade" sheetId="5" r:id="rId5"/>
  </sheets>
  <definedNames>
    <definedName name="TipoVenda">'Tipos Venda'!$A$2:$A$5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1" l="1"/>
  <c r="L32" i="1" l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I3" i="1"/>
  <c r="I4" i="1"/>
  <c r="I8" i="1"/>
  <c r="I9" i="1"/>
  <c r="I10" i="1"/>
  <c r="I11" i="1"/>
  <c r="I12" i="1"/>
  <c r="I13" i="1"/>
  <c r="I19" i="1"/>
  <c r="I20" i="1"/>
  <c r="I21" i="1"/>
  <c r="I22" i="1"/>
  <c r="I26" i="1"/>
  <c r="I27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H32" i="1"/>
  <c r="H33" i="1"/>
  <c r="J33" i="1" s="1"/>
  <c r="H34" i="1"/>
  <c r="H35" i="1"/>
  <c r="H36" i="1"/>
  <c r="H37" i="1"/>
  <c r="J37" i="1" s="1"/>
  <c r="H38" i="1"/>
  <c r="H39" i="1"/>
  <c r="H40" i="1"/>
  <c r="H41" i="1"/>
  <c r="J41" i="1" s="1"/>
  <c r="H42" i="1"/>
  <c r="H43" i="1"/>
  <c r="H44" i="1"/>
  <c r="H45" i="1"/>
  <c r="J45" i="1" s="1"/>
  <c r="H46" i="1"/>
  <c r="H47" i="1"/>
  <c r="H48" i="1"/>
  <c r="H49" i="1"/>
  <c r="J49" i="1" s="1"/>
  <c r="H50" i="1"/>
  <c r="H51" i="1"/>
  <c r="H52" i="1"/>
  <c r="H53" i="1"/>
  <c r="J53" i="1" s="1"/>
  <c r="H54" i="1"/>
  <c r="H55" i="1"/>
  <c r="H56" i="1"/>
  <c r="H57" i="1"/>
  <c r="J57" i="1" s="1"/>
  <c r="H58" i="1"/>
  <c r="H59" i="1"/>
  <c r="H60" i="1"/>
  <c r="H61" i="1"/>
  <c r="J61" i="1" s="1"/>
  <c r="H62" i="1"/>
  <c r="H63" i="1"/>
  <c r="H64" i="1"/>
  <c r="H65" i="1"/>
  <c r="J65" i="1" s="1"/>
  <c r="H66" i="1"/>
  <c r="H67" i="1"/>
  <c r="H68" i="1"/>
  <c r="H69" i="1"/>
  <c r="J69" i="1" s="1"/>
  <c r="H70" i="1"/>
  <c r="H71" i="1"/>
  <c r="H72" i="1"/>
  <c r="H73" i="1"/>
  <c r="J73" i="1" s="1"/>
  <c r="H74" i="1"/>
  <c r="H75" i="1"/>
  <c r="H76" i="1"/>
  <c r="H77" i="1"/>
  <c r="J77" i="1" s="1"/>
  <c r="H78" i="1"/>
  <c r="H79" i="1"/>
  <c r="H80" i="1"/>
  <c r="H81" i="1"/>
  <c r="J81" i="1" s="1"/>
  <c r="H82" i="1"/>
  <c r="H83" i="1"/>
  <c r="H84" i="1"/>
  <c r="H85" i="1"/>
  <c r="J85" i="1" s="1"/>
  <c r="H86" i="1"/>
  <c r="H87" i="1"/>
  <c r="H88" i="1"/>
  <c r="H89" i="1"/>
  <c r="J89" i="1" s="1"/>
  <c r="H90" i="1"/>
  <c r="H91" i="1"/>
  <c r="H92" i="1"/>
  <c r="H93" i="1"/>
  <c r="J93" i="1" s="1"/>
  <c r="H94" i="1"/>
  <c r="H95" i="1"/>
  <c r="H96" i="1"/>
  <c r="H97" i="1"/>
  <c r="J97" i="1" s="1"/>
  <c r="H98" i="1"/>
  <c r="H99" i="1"/>
  <c r="H100" i="1"/>
  <c r="H101" i="1"/>
  <c r="J101" i="1" s="1"/>
  <c r="H102" i="1"/>
  <c r="H103" i="1"/>
  <c r="H104" i="1"/>
  <c r="H105" i="1"/>
  <c r="J105" i="1" s="1"/>
  <c r="H106" i="1"/>
  <c r="H107" i="1"/>
  <c r="H108" i="1"/>
  <c r="H109" i="1"/>
  <c r="J109" i="1" s="1"/>
  <c r="H110" i="1"/>
  <c r="H111" i="1"/>
  <c r="H112" i="1"/>
  <c r="H113" i="1"/>
  <c r="J113" i="1" s="1"/>
  <c r="H114" i="1"/>
  <c r="H115" i="1"/>
  <c r="H116" i="1"/>
  <c r="H117" i="1"/>
  <c r="J117" i="1" s="1"/>
  <c r="H118" i="1"/>
  <c r="H119" i="1"/>
  <c r="H120" i="1"/>
  <c r="H121" i="1"/>
  <c r="J121" i="1" s="1"/>
  <c r="H122" i="1"/>
  <c r="H123" i="1"/>
  <c r="H124" i="1"/>
  <c r="H125" i="1"/>
  <c r="J125" i="1" s="1"/>
  <c r="H126" i="1"/>
  <c r="H127" i="1"/>
  <c r="H128" i="1"/>
  <c r="H129" i="1"/>
  <c r="J129" i="1" s="1"/>
  <c r="H130" i="1"/>
  <c r="H131" i="1"/>
  <c r="H132" i="1"/>
  <c r="H133" i="1"/>
  <c r="J133" i="1" s="1"/>
  <c r="H134" i="1"/>
  <c r="H135" i="1"/>
  <c r="H136" i="1"/>
  <c r="H137" i="1"/>
  <c r="J137" i="1" s="1"/>
  <c r="H138" i="1"/>
  <c r="H139" i="1"/>
  <c r="H140" i="1"/>
  <c r="H141" i="1"/>
  <c r="J141" i="1" s="1"/>
  <c r="H142" i="1"/>
  <c r="H143" i="1"/>
  <c r="H144" i="1"/>
  <c r="H145" i="1"/>
  <c r="J145" i="1" s="1"/>
  <c r="H146" i="1"/>
  <c r="H147" i="1"/>
  <c r="H148" i="1"/>
  <c r="H149" i="1"/>
  <c r="J149" i="1" s="1"/>
  <c r="H150" i="1"/>
  <c r="H151" i="1"/>
  <c r="H152" i="1"/>
  <c r="H153" i="1"/>
  <c r="J153" i="1" s="1"/>
  <c r="H154" i="1"/>
  <c r="H155" i="1"/>
  <c r="H156" i="1"/>
  <c r="H157" i="1"/>
  <c r="J157" i="1" s="1"/>
  <c r="H158" i="1"/>
  <c r="H159" i="1"/>
  <c r="H160" i="1"/>
  <c r="H161" i="1"/>
  <c r="J161" i="1" s="1"/>
  <c r="H162" i="1"/>
  <c r="H163" i="1"/>
  <c r="H164" i="1"/>
  <c r="H165" i="1"/>
  <c r="J165" i="1" s="1"/>
  <c r="H166" i="1"/>
  <c r="H167" i="1"/>
  <c r="H168" i="1"/>
  <c r="H169" i="1"/>
  <c r="J169" i="1" s="1"/>
  <c r="H170" i="1"/>
  <c r="H171" i="1"/>
  <c r="H172" i="1"/>
  <c r="H173" i="1"/>
  <c r="J173" i="1" s="1"/>
  <c r="H174" i="1"/>
  <c r="H175" i="1"/>
  <c r="H176" i="1"/>
  <c r="H177" i="1"/>
  <c r="J177" i="1" s="1"/>
  <c r="H178" i="1"/>
  <c r="H179" i="1"/>
  <c r="H180" i="1"/>
  <c r="H181" i="1"/>
  <c r="J181" i="1" s="1"/>
  <c r="H182" i="1"/>
  <c r="H183" i="1"/>
  <c r="H184" i="1"/>
  <c r="H185" i="1"/>
  <c r="J185" i="1" s="1"/>
  <c r="H186" i="1"/>
  <c r="H187" i="1"/>
  <c r="H188" i="1"/>
  <c r="H189" i="1"/>
  <c r="J189" i="1" s="1"/>
  <c r="H190" i="1"/>
  <c r="H191" i="1"/>
  <c r="H192" i="1"/>
  <c r="H193" i="1"/>
  <c r="J193" i="1" s="1"/>
  <c r="H194" i="1"/>
  <c r="H195" i="1"/>
  <c r="H196" i="1"/>
  <c r="H197" i="1"/>
  <c r="J197" i="1" s="1"/>
  <c r="H198" i="1"/>
  <c r="H199" i="1"/>
  <c r="H200" i="1"/>
  <c r="H201" i="1"/>
  <c r="J201" i="1" s="1"/>
  <c r="H202" i="1"/>
  <c r="H203" i="1"/>
  <c r="H204" i="1"/>
  <c r="H205" i="1"/>
  <c r="J205" i="1" s="1"/>
  <c r="H206" i="1"/>
  <c r="H207" i="1"/>
  <c r="H208" i="1"/>
  <c r="H209" i="1"/>
  <c r="J209" i="1" s="1"/>
  <c r="H210" i="1"/>
  <c r="H211" i="1"/>
  <c r="H212" i="1"/>
  <c r="H213" i="1"/>
  <c r="J213" i="1" s="1"/>
  <c r="H214" i="1"/>
  <c r="H215" i="1"/>
  <c r="H216" i="1"/>
  <c r="H217" i="1"/>
  <c r="J217" i="1" s="1"/>
  <c r="H218" i="1"/>
  <c r="H219" i="1"/>
  <c r="H220" i="1"/>
  <c r="H221" i="1"/>
  <c r="J221" i="1" s="1"/>
  <c r="H222" i="1"/>
  <c r="H223" i="1"/>
  <c r="H224" i="1"/>
  <c r="H225" i="1"/>
  <c r="J225" i="1" s="1"/>
  <c r="H226" i="1"/>
  <c r="H227" i="1"/>
  <c r="H228" i="1"/>
  <c r="H229" i="1"/>
  <c r="J229" i="1" s="1"/>
  <c r="H230" i="1"/>
  <c r="H231" i="1"/>
  <c r="H232" i="1"/>
  <c r="H233" i="1"/>
  <c r="J233" i="1" s="1"/>
  <c r="H234" i="1"/>
  <c r="H235" i="1"/>
  <c r="H236" i="1"/>
  <c r="H237" i="1"/>
  <c r="J237" i="1" s="1"/>
  <c r="H238" i="1"/>
  <c r="H239" i="1"/>
  <c r="H240" i="1"/>
  <c r="H241" i="1"/>
  <c r="J241" i="1" s="1"/>
  <c r="H242" i="1"/>
  <c r="H243" i="1"/>
  <c r="H244" i="1"/>
  <c r="H245" i="1"/>
  <c r="J245" i="1" s="1"/>
  <c r="H246" i="1"/>
  <c r="H247" i="1"/>
  <c r="H248" i="1"/>
  <c r="H249" i="1"/>
  <c r="J249" i="1" s="1"/>
  <c r="H250" i="1"/>
  <c r="H251" i="1"/>
  <c r="H252" i="1"/>
  <c r="H253" i="1"/>
  <c r="J253" i="1" s="1"/>
  <c r="H254" i="1"/>
  <c r="H255" i="1"/>
  <c r="H256" i="1"/>
  <c r="H257" i="1"/>
  <c r="J257" i="1" s="1"/>
  <c r="H258" i="1"/>
  <c r="H259" i="1"/>
  <c r="H260" i="1"/>
  <c r="H261" i="1"/>
  <c r="J261" i="1" s="1"/>
  <c r="H262" i="1"/>
  <c r="H263" i="1"/>
  <c r="H264" i="1"/>
  <c r="H265" i="1"/>
  <c r="J265" i="1" s="1"/>
  <c r="H266" i="1"/>
  <c r="H267" i="1"/>
  <c r="H268" i="1"/>
  <c r="H269" i="1"/>
  <c r="J269" i="1" s="1"/>
  <c r="H270" i="1"/>
  <c r="H271" i="1"/>
  <c r="H272" i="1"/>
  <c r="H273" i="1"/>
  <c r="J273" i="1" s="1"/>
  <c r="H274" i="1"/>
  <c r="H275" i="1"/>
  <c r="H276" i="1"/>
  <c r="H277" i="1"/>
  <c r="J277" i="1" s="1"/>
  <c r="H278" i="1"/>
  <c r="H279" i="1"/>
  <c r="H280" i="1"/>
  <c r="H281" i="1"/>
  <c r="J281" i="1" s="1"/>
  <c r="H282" i="1"/>
  <c r="H283" i="1"/>
  <c r="H284" i="1"/>
  <c r="H285" i="1"/>
  <c r="J285" i="1" s="1"/>
  <c r="H286" i="1"/>
  <c r="H287" i="1"/>
  <c r="H288" i="1"/>
  <c r="H289" i="1"/>
  <c r="J289" i="1" s="1"/>
  <c r="H290" i="1"/>
  <c r="H291" i="1"/>
  <c r="H292" i="1"/>
  <c r="H293" i="1"/>
  <c r="J293" i="1" s="1"/>
  <c r="H294" i="1"/>
  <c r="H295" i="1"/>
  <c r="H296" i="1"/>
  <c r="H297" i="1"/>
  <c r="J297" i="1" s="1"/>
  <c r="H298" i="1"/>
  <c r="H299" i="1"/>
  <c r="H300" i="1"/>
  <c r="H301" i="1"/>
  <c r="J301" i="1" s="1"/>
  <c r="H302" i="1"/>
  <c r="H303" i="1"/>
  <c r="H304" i="1"/>
  <c r="H305" i="1"/>
  <c r="J305" i="1" s="1"/>
  <c r="H306" i="1"/>
  <c r="H307" i="1"/>
  <c r="H308" i="1"/>
  <c r="H309" i="1"/>
  <c r="J309" i="1" s="1"/>
  <c r="H310" i="1"/>
  <c r="H311" i="1"/>
  <c r="H312" i="1"/>
  <c r="H313" i="1"/>
  <c r="J313" i="1" s="1"/>
  <c r="H314" i="1"/>
  <c r="H315" i="1"/>
  <c r="H316" i="1"/>
  <c r="H317" i="1"/>
  <c r="J317" i="1" s="1"/>
  <c r="H318" i="1"/>
  <c r="H319" i="1"/>
  <c r="H320" i="1"/>
  <c r="H321" i="1"/>
  <c r="J321" i="1" s="1"/>
  <c r="H322" i="1"/>
  <c r="H323" i="1"/>
  <c r="H324" i="1"/>
  <c r="H325" i="1"/>
  <c r="J325" i="1" s="1"/>
  <c r="H326" i="1"/>
  <c r="H327" i="1"/>
  <c r="H328" i="1"/>
  <c r="H329" i="1"/>
  <c r="J329" i="1" s="1"/>
  <c r="H330" i="1"/>
  <c r="H331" i="1"/>
  <c r="H332" i="1"/>
  <c r="H333" i="1"/>
  <c r="J333" i="1" s="1"/>
  <c r="H334" i="1"/>
  <c r="H335" i="1"/>
  <c r="H336" i="1"/>
  <c r="H337" i="1"/>
  <c r="J337" i="1" s="1"/>
  <c r="H338" i="1"/>
  <c r="H339" i="1"/>
  <c r="H340" i="1"/>
  <c r="H341" i="1"/>
  <c r="J341" i="1" s="1"/>
  <c r="H342" i="1"/>
  <c r="H343" i="1"/>
  <c r="H344" i="1"/>
  <c r="H345" i="1"/>
  <c r="J345" i="1" s="1"/>
  <c r="H346" i="1"/>
  <c r="H347" i="1"/>
  <c r="H348" i="1"/>
  <c r="H349" i="1"/>
  <c r="J349" i="1" s="1"/>
  <c r="H350" i="1"/>
  <c r="H351" i="1"/>
  <c r="H352" i="1"/>
  <c r="H353" i="1"/>
  <c r="J353" i="1" s="1"/>
  <c r="H354" i="1"/>
  <c r="H355" i="1"/>
  <c r="H356" i="1"/>
  <c r="H357" i="1"/>
  <c r="J357" i="1" s="1"/>
  <c r="H358" i="1"/>
  <c r="H359" i="1"/>
  <c r="H360" i="1"/>
  <c r="H361" i="1"/>
  <c r="J361" i="1" s="1"/>
  <c r="H362" i="1"/>
  <c r="H363" i="1"/>
  <c r="H364" i="1"/>
  <c r="H365" i="1"/>
  <c r="J365" i="1" s="1"/>
  <c r="H366" i="1"/>
  <c r="H367" i="1"/>
  <c r="H368" i="1"/>
  <c r="J368" i="1" s="1"/>
  <c r="H369" i="1"/>
  <c r="J369" i="1" s="1"/>
  <c r="H370" i="1"/>
  <c r="H371" i="1"/>
  <c r="H372" i="1"/>
  <c r="J372" i="1" s="1"/>
  <c r="H373" i="1"/>
  <c r="J373" i="1" s="1"/>
  <c r="H374" i="1"/>
  <c r="H375" i="1"/>
  <c r="H376" i="1"/>
  <c r="J376" i="1" s="1"/>
  <c r="H377" i="1"/>
  <c r="J377" i="1" s="1"/>
  <c r="H378" i="1"/>
  <c r="H379" i="1"/>
  <c r="H380" i="1"/>
  <c r="J380" i="1" s="1"/>
  <c r="H381" i="1"/>
  <c r="J381" i="1" s="1"/>
  <c r="H382" i="1"/>
  <c r="H383" i="1"/>
  <c r="H384" i="1"/>
  <c r="J384" i="1" s="1"/>
  <c r="H385" i="1"/>
  <c r="J385" i="1" s="1"/>
  <c r="H386" i="1"/>
  <c r="H387" i="1"/>
  <c r="H388" i="1"/>
  <c r="J388" i="1" s="1"/>
  <c r="H389" i="1"/>
  <c r="J389" i="1" s="1"/>
  <c r="H390" i="1"/>
  <c r="H391" i="1"/>
  <c r="H392" i="1"/>
  <c r="J392" i="1" s="1"/>
  <c r="H393" i="1"/>
  <c r="J393" i="1" s="1"/>
  <c r="H394" i="1"/>
  <c r="H395" i="1"/>
  <c r="H396" i="1"/>
  <c r="J396" i="1" s="1"/>
  <c r="H397" i="1"/>
  <c r="J397" i="1" s="1"/>
  <c r="H398" i="1"/>
  <c r="H399" i="1"/>
  <c r="H400" i="1"/>
  <c r="J400" i="1" s="1"/>
  <c r="H401" i="1"/>
  <c r="J401" i="1" s="1"/>
  <c r="H402" i="1"/>
  <c r="H403" i="1"/>
  <c r="H404" i="1"/>
  <c r="J404" i="1" s="1"/>
  <c r="H405" i="1"/>
  <c r="J405" i="1" s="1"/>
  <c r="H406" i="1"/>
  <c r="H407" i="1"/>
  <c r="H408" i="1"/>
  <c r="J408" i="1" s="1"/>
  <c r="H409" i="1"/>
  <c r="J409" i="1" s="1"/>
  <c r="H410" i="1"/>
  <c r="H411" i="1"/>
  <c r="H412" i="1"/>
  <c r="J412" i="1" s="1"/>
  <c r="H413" i="1"/>
  <c r="J413" i="1" s="1"/>
  <c r="H414" i="1"/>
  <c r="H415" i="1"/>
  <c r="H416" i="1"/>
  <c r="J416" i="1" s="1"/>
  <c r="H417" i="1"/>
  <c r="J417" i="1" s="1"/>
  <c r="H418" i="1"/>
  <c r="H419" i="1"/>
  <c r="H420" i="1"/>
  <c r="J420" i="1" s="1"/>
  <c r="H421" i="1"/>
  <c r="J421" i="1" s="1"/>
  <c r="H422" i="1"/>
  <c r="H423" i="1"/>
  <c r="H424" i="1"/>
  <c r="J424" i="1" s="1"/>
  <c r="H425" i="1"/>
  <c r="J425" i="1" s="1"/>
  <c r="H426" i="1"/>
  <c r="H427" i="1"/>
  <c r="H428" i="1"/>
  <c r="J428" i="1" s="1"/>
  <c r="H429" i="1"/>
  <c r="J429" i="1" s="1"/>
  <c r="H430" i="1"/>
  <c r="H431" i="1"/>
  <c r="H432" i="1"/>
  <c r="J432" i="1" s="1"/>
  <c r="H433" i="1"/>
  <c r="J433" i="1" s="1"/>
  <c r="H434" i="1"/>
  <c r="H435" i="1"/>
  <c r="H436" i="1"/>
  <c r="J436" i="1" s="1"/>
  <c r="H437" i="1"/>
  <c r="J437" i="1" s="1"/>
  <c r="H438" i="1"/>
  <c r="H439" i="1"/>
  <c r="H440" i="1"/>
  <c r="J440" i="1" s="1"/>
  <c r="H441" i="1"/>
  <c r="J441" i="1" s="1"/>
  <c r="H442" i="1"/>
  <c r="H443" i="1"/>
  <c r="H444" i="1"/>
  <c r="J444" i="1" s="1"/>
  <c r="H445" i="1"/>
  <c r="J445" i="1" s="1"/>
  <c r="H446" i="1"/>
  <c r="H447" i="1"/>
  <c r="H448" i="1"/>
  <c r="J448" i="1" s="1"/>
  <c r="H449" i="1"/>
  <c r="J449" i="1" s="1"/>
  <c r="H450" i="1"/>
  <c r="H451" i="1"/>
  <c r="H452" i="1"/>
  <c r="J452" i="1" s="1"/>
  <c r="H453" i="1"/>
  <c r="J453" i="1" s="1"/>
  <c r="H454" i="1"/>
  <c r="H455" i="1"/>
  <c r="H456" i="1"/>
  <c r="J456" i="1" s="1"/>
  <c r="H457" i="1"/>
  <c r="J457" i="1" s="1"/>
  <c r="H458" i="1"/>
  <c r="H459" i="1"/>
  <c r="H460" i="1"/>
  <c r="J460" i="1" s="1"/>
  <c r="H461" i="1"/>
  <c r="J461" i="1" s="1"/>
  <c r="H462" i="1"/>
  <c r="H463" i="1"/>
  <c r="H464" i="1"/>
  <c r="J464" i="1" s="1"/>
  <c r="H465" i="1"/>
  <c r="J465" i="1" s="1"/>
  <c r="H466" i="1"/>
  <c r="H467" i="1"/>
  <c r="H468" i="1"/>
  <c r="J468" i="1" s="1"/>
  <c r="H469" i="1"/>
  <c r="J469" i="1" s="1"/>
  <c r="H470" i="1"/>
  <c r="H471" i="1"/>
  <c r="H472" i="1"/>
  <c r="J472" i="1" s="1"/>
  <c r="H473" i="1"/>
  <c r="J473" i="1" s="1"/>
  <c r="H474" i="1"/>
  <c r="H475" i="1"/>
  <c r="H476" i="1"/>
  <c r="J476" i="1" s="1"/>
  <c r="H477" i="1"/>
  <c r="J477" i="1" s="1"/>
  <c r="H478" i="1"/>
  <c r="H479" i="1"/>
  <c r="H480" i="1"/>
  <c r="J480" i="1" s="1"/>
  <c r="H481" i="1"/>
  <c r="J481" i="1" s="1"/>
  <c r="H482" i="1"/>
  <c r="H483" i="1"/>
  <c r="H484" i="1"/>
  <c r="J484" i="1" s="1"/>
  <c r="H485" i="1"/>
  <c r="J485" i="1" s="1"/>
  <c r="H486" i="1"/>
  <c r="H487" i="1"/>
  <c r="H488" i="1"/>
  <c r="J488" i="1" s="1"/>
  <c r="H489" i="1"/>
  <c r="J489" i="1" s="1"/>
  <c r="H490" i="1"/>
  <c r="H491" i="1"/>
  <c r="H492" i="1"/>
  <c r="J492" i="1" s="1"/>
  <c r="H493" i="1"/>
  <c r="J493" i="1" s="1"/>
  <c r="H494" i="1"/>
  <c r="H495" i="1"/>
  <c r="H496" i="1"/>
  <c r="J496" i="1" s="1"/>
  <c r="H497" i="1"/>
  <c r="J497" i="1" s="1"/>
  <c r="H498" i="1"/>
  <c r="H499" i="1"/>
  <c r="H500" i="1"/>
  <c r="J500" i="1" s="1"/>
  <c r="H501" i="1"/>
  <c r="J501" i="1" s="1"/>
  <c r="H502" i="1"/>
  <c r="H503" i="1"/>
  <c r="H504" i="1"/>
  <c r="J504" i="1" s="1"/>
  <c r="H505" i="1"/>
  <c r="J505" i="1" s="1"/>
  <c r="H506" i="1"/>
  <c r="H507" i="1"/>
  <c r="H508" i="1"/>
  <c r="J508" i="1" s="1"/>
  <c r="H509" i="1"/>
  <c r="J509" i="1" s="1"/>
  <c r="H510" i="1"/>
  <c r="H511" i="1"/>
  <c r="H512" i="1"/>
  <c r="J512" i="1" s="1"/>
  <c r="H513" i="1"/>
  <c r="J513" i="1" s="1"/>
  <c r="H514" i="1"/>
  <c r="H515" i="1"/>
  <c r="H516" i="1"/>
  <c r="J516" i="1" s="1"/>
  <c r="H517" i="1"/>
  <c r="J517" i="1" s="1"/>
  <c r="H518" i="1"/>
  <c r="H519" i="1"/>
  <c r="H520" i="1"/>
  <c r="J520" i="1" s="1"/>
  <c r="H521" i="1"/>
  <c r="J521" i="1" s="1"/>
  <c r="H522" i="1"/>
  <c r="H523" i="1"/>
  <c r="H524" i="1"/>
  <c r="J524" i="1" s="1"/>
  <c r="H525" i="1"/>
  <c r="J525" i="1" s="1"/>
  <c r="H526" i="1"/>
  <c r="H527" i="1"/>
  <c r="H528" i="1"/>
  <c r="J528" i="1" s="1"/>
  <c r="H529" i="1"/>
  <c r="J529" i="1" s="1"/>
  <c r="H530" i="1"/>
  <c r="H531" i="1"/>
  <c r="H532" i="1"/>
  <c r="J532" i="1" s="1"/>
  <c r="H533" i="1"/>
  <c r="J533" i="1" s="1"/>
  <c r="H534" i="1"/>
  <c r="H535" i="1"/>
  <c r="H536" i="1"/>
  <c r="J536" i="1" s="1"/>
  <c r="H537" i="1"/>
  <c r="J537" i="1" s="1"/>
  <c r="H538" i="1"/>
  <c r="H539" i="1"/>
  <c r="H540" i="1"/>
  <c r="J540" i="1" s="1"/>
  <c r="H541" i="1"/>
  <c r="J541" i="1" s="1"/>
  <c r="H542" i="1"/>
  <c r="H543" i="1"/>
  <c r="H544" i="1"/>
  <c r="J544" i="1" s="1"/>
  <c r="H545" i="1"/>
  <c r="J545" i="1" s="1"/>
  <c r="H546" i="1"/>
  <c r="H547" i="1"/>
  <c r="H548" i="1"/>
  <c r="J548" i="1" s="1"/>
  <c r="H549" i="1"/>
  <c r="J549" i="1" s="1"/>
  <c r="H550" i="1"/>
  <c r="H551" i="1"/>
  <c r="H552" i="1"/>
  <c r="J552" i="1" s="1"/>
  <c r="H553" i="1"/>
  <c r="J553" i="1" s="1"/>
  <c r="H554" i="1"/>
  <c r="H555" i="1"/>
  <c r="H556" i="1"/>
  <c r="J556" i="1" s="1"/>
  <c r="H557" i="1"/>
  <c r="J557" i="1" s="1"/>
  <c r="H558" i="1"/>
  <c r="H559" i="1"/>
  <c r="H560" i="1"/>
  <c r="J560" i="1" s="1"/>
  <c r="H561" i="1"/>
  <c r="J561" i="1" s="1"/>
  <c r="H562" i="1"/>
  <c r="H563" i="1"/>
  <c r="H564" i="1"/>
  <c r="J564" i="1" s="1"/>
  <c r="H565" i="1"/>
  <c r="J565" i="1" s="1"/>
  <c r="H566" i="1"/>
  <c r="H567" i="1"/>
  <c r="H568" i="1"/>
  <c r="J568" i="1" s="1"/>
  <c r="H569" i="1"/>
  <c r="J569" i="1" s="1"/>
  <c r="H570" i="1"/>
  <c r="H571" i="1"/>
  <c r="H572" i="1"/>
  <c r="J572" i="1" s="1"/>
  <c r="H573" i="1"/>
  <c r="J573" i="1" s="1"/>
  <c r="H574" i="1"/>
  <c r="H575" i="1"/>
  <c r="H576" i="1"/>
  <c r="J576" i="1" s="1"/>
  <c r="H577" i="1"/>
  <c r="J577" i="1" s="1"/>
  <c r="H578" i="1"/>
  <c r="H579" i="1"/>
  <c r="H580" i="1"/>
  <c r="J580" i="1" s="1"/>
  <c r="H581" i="1"/>
  <c r="J581" i="1" s="1"/>
  <c r="H582" i="1"/>
  <c r="H583" i="1"/>
  <c r="H584" i="1"/>
  <c r="J584" i="1" s="1"/>
  <c r="H585" i="1"/>
  <c r="J585" i="1" s="1"/>
  <c r="H586" i="1"/>
  <c r="H587" i="1"/>
  <c r="H588" i="1"/>
  <c r="J588" i="1" s="1"/>
  <c r="H589" i="1"/>
  <c r="J589" i="1" s="1"/>
  <c r="H590" i="1"/>
  <c r="H591" i="1"/>
  <c r="H592" i="1"/>
  <c r="J592" i="1" s="1"/>
  <c r="H593" i="1"/>
  <c r="J593" i="1" s="1"/>
  <c r="H594" i="1"/>
  <c r="H595" i="1"/>
  <c r="H596" i="1"/>
  <c r="J596" i="1" s="1"/>
  <c r="H597" i="1"/>
  <c r="J597" i="1" s="1"/>
  <c r="H598" i="1"/>
  <c r="H599" i="1"/>
  <c r="H600" i="1"/>
  <c r="J600" i="1" s="1"/>
  <c r="H601" i="1"/>
  <c r="J601" i="1" s="1"/>
  <c r="H602" i="1"/>
  <c r="H603" i="1"/>
  <c r="H604" i="1"/>
  <c r="J604" i="1" s="1"/>
  <c r="H605" i="1"/>
  <c r="J605" i="1" s="1"/>
  <c r="H606" i="1"/>
  <c r="H607" i="1"/>
  <c r="H608" i="1"/>
  <c r="J608" i="1" s="1"/>
  <c r="H609" i="1"/>
  <c r="J609" i="1" s="1"/>
  <c r="H610" i="1"/>
  <c r="H611" i="1"/>
  <c r="H612" i="1"/>
  <c r="J612" i="1" s="1"/>
  <c r="H613" i="1"/>
  <c r="J613" i="1" s="1"/>
  <c r="H614" i="1"/>
  <c r="H615" i="1"/>
  <c r="H616" i="1"/>
  <c r="J616" i="1" s="1"/>
  <c r="H617" i="1"/>
  <c r="J617" i="1" s="1"/>
  <c r="H618" i="1"/>
  <c r="H619" i="1"/>
  <c r="H620" i="1"/>
  <c r="J620" i="1" s="1"/>
  <c r="H621" i="1"/>
  <c r="J621" i="1" s="1"/>
  <c r="H622" i="1"/>
  <c r="H623" i="1"/>
  <c r="H624" i="1"/>
  <c r="J624" i="1" s="1"/>
  <c r="H625" i="1"/>
  <c r="J625" i="1" s="1"/>
  <c r="H626" i="1"/>
  <c r="H627" i="1"/>
  <c r="H628" i="1"/>
  <c r="J628" i="1" s="1"/>
  <c r="H629" i="1"/>
  <c r="J629" i="1" s="1"/>
  <c r="H630" i="1"/>
  <c r="H631" i="1"/>
  <c r="H632" i="1"/>
  <c r="J632" i="1" s="1"/>
  <c r="H633" i="1"/>
  <c r="J633" i="1" s="1"/>
  <c r="H634" i="1"/>
  <c r="H635" i="1"/>
  <c r="H636" i="1"/>
  <c r="J636" i="1" s="1"/>
  <c r="H637" i="1"/>
  <c r="J637" i="1" s="1"/>
  <c r="H638" i="1"/>
  <c r="H639" i="1"/>
  <c r="H640" i="1"/>
  <c r="J640" i="1" s="1"/>
  <c r="H641" i="1"/>
  <c r="J641" i="1" s="1"/>
  <c r="H642" i="1"/>
  <c r="H643" i="1"/>
  <c r="H644" i="1"/>
  <c r="J644" i="1" s="1"/>
  <c r="H645" i="1"/>
  <c r="J645" i="1" s="1"/>
  <c r="H646" i="1"/>
  <c r="H647" i="1"/>
  <c r="H648" i="1"/>
  <c r="J648" i="1" s="1"/>
  <c r="H649" i="1"/>
  <c r="J649" i="1" s="1"/>
  <c r="H650" i="1"/>
  <c r="H651" i="1"/>
  <c r="H652" i="1"/>
  <c r="J652" i="1" s="1"/>
  <c r="H653" i="1"/>
  <c r="J653" i="1" s="1"/>
  <c r="H654" i="1"/>
  <c r="H655" i="1"/>
  <c r="H656" i="1"/>
  <c r="J656" i="1" s="1"/>
  <c r="H657" i="1"/>
  <c r="J657" i="1" s="1"/>
  <c r="H658" i="1"/>
  <c r="H659" i="1"/>
  <c r="H660" i="1"/>
  <c r="J660" i="1" s="1"/>
  <c r="H661" i="1"/>
  <c r="J661" i="1" s="1"/>
  <c r="H662" i="1"/>
  <c r="H663" i="1"/>
  <c r="H664" i="1"/>
  <c r="J664" i="1" s="1"/>
  <c r="H665" i="1"/>
  <c r="J665" i="1" s="1"/>
  <c r="H666" i="1"/>
  <c r="H667" i="1"/>
  <c r="H668" i="1"/>
  <c r="J668" i="1" s="1"/>
  <c r="H669" i="1"/>
  <c r="J669" i="1" s="1"/>
  <c r="H670" i="1"/>
  <c r="H671" i="1"/>
  <c r="H672" i="1"/>
  <c r="J672" i="1" s="1"/>
  <c r="H673" i="1"/>
  <c r="J673" i="1" s="1"/>
  <c r="H674" i="1"/>
  <c r="H675" i="1"/>
  <c r="H676" i="1"/>
  <c r="J676" i="1" s="1"/>
  <c r="H677" i="1"/>
  <c r="J677" i="1" s="1"/>
  <c r="H678" i="1"/>
  <c r="H679" i="1"/>
  <c r="H680" i="1"/>
  <c r="J680" i="1" s="1"/>
  <c r="H681" i="1"/>
  <c r="J681" i="1" s="1"/>
  <c r="H682" i="1"/>
  <c r="H683" i="1"/>
  <c r="H684" i="1"/>
  <c r="J684" i="1" s="1"/>
  <c r="H685" i="1"/>
  <c r="J685" i="1" s="1"/>
  <c r="H686" i="1"/>
  <c r="H687" i="1"/>
  <c r="H688" i="1"/>
  <c r="J688" i="1" s="1"/>
  <c r="H689" i="1"/>
  <c r="J689" i="1" s="1"/>
  <c r="H690" i="1"/>
  <c r="H691" i="1"/>
  <c r="H692" i="1"/>
  <c r="J692" i="1" s="1"/>
  <c r="H693" i="1"/>
  <c r="J693" i="1" s="1"/>
  <c r="H694" i="1"/>
  <c r="H695" i="1"/>
  <c r="H696" i="1"/>
  <c r="J696" i="1" s="1"/>
  <c r="H697" i="1"/>
  <c r="J697" i="1" s="1"/>
  <c r="H698" i="1"/>
  <c r="H699" i="1"/>
  <c r="H700" i="1"/>
  <c r="J700" i="1" s="1"/>
  <c r="H701" i="1"/>
  <c r="J701" i="1" s="1"/>
  <c r="H702" i="1"/>
  <c r="H703" i="1"/>
  <c r="H704" i="1"/>
  <c r="J704" i="1" s="1"/>
  <c r="H705" i="1"/>
  <c r="J705" i="1" s="1"/>
  <c r="H706" i="1"/>
  <c r="H707" i="1"/>
  <c r="H708" i="1"/>
  <c r="J708" i="1" s="1"/>
  <c r="H709" i="1"/>
  <c r="J709" i="1" s="1"/>
  <c r="H710" i="1"/>
  <c r="H711" i="1"/>
  <c r="H712" i="1"/>
  <c r="J712" i="1" s="1"/>
  <c r="H713" i="1"/>
  <c r="J713" i="1" s="1"/>
  <c r="H714" i="1"/>
  <c r="H715" i="1"/>
  <c r="H716" i="1"/>
  <c r="J716" i="1" s="1"/>
  <c r="H717" i="1"/>
  <c r="J717" i="1" s="1"/>
  <c r="H718" i="1"/>
  <c r="H719" i="1"/>
  <c r="H720" i="1"/>
  <c r="J720" i="1" s="1"/>
  <c r="H721" i="1"/>
  <c r="J721" i="1" s="1"/>
  <c r="H722" i="1"/>
  <c r="H723" i="1"/>
  <c r="H724" i="1"/>
  <c r="J724" i="1" s="1"/>
  <c r="H725" i="1"/>
  <c r="J725" i="1" s="1"/>
  <c r="H726" i="1"/>
  <c r="H727" i="1"/>
  <c r="H728" i="1"/>
  <c r="J728" i="1" s="1"/>
  <c r="H729" i="1"/>
  <c r="J729" i="1" s="1"/>
  <c r="H730" i="1"/>
  <c r="H731" i="1"/>
  <c r="H732" i="1"/>
  <c r="J732" i="1" s="1"/>
  <c r="H733" i="1"/>
  <c r="J733" i="1" s="1"/>
  <c r="H734" i="1"/>
  <c r="H735" i="1"/>
  <c r="H736" i="1"/>
  <c r="J736" i="1" s="1"/>
  <c r="H737" i="1"/>
  <c r="J737" i="1" s="1"/>
  <c r="H738" i="1"/>
  <c r="H739" i="1"/>
  <c r="H740" i="1"/>
  <c r="J740" i="1" s="1"/>
  <c r="H741" i="1"/>
  <c r="J741" i="1" s="1"/>
  <c r="H742" i="1"/>
  <c r="H743" i="1"/>
  <c r="H744" i="1"/>
  <c r="J744" i="1" s="1"/>
  <c r="H745" i="1"/>
  <c r="J745" i="1" s="1"/>
  <c r="H746" i="1"/>
  <c r="H747" i="1"/>
  <c r="H748" i="1"/>
  <c r="J748" i="1" s="1"/>
  <c r="H749" i="1"/>
  <c r="J749" i="1" s="1"/>
  <c r="H750" i="1"/>
  <c r="H751" i="1"/>
  <c r="H752" i="1"/>
  <c r="J752" i="1" s="1"/>
  <c r="H753" i="1"/>
  <c r="J753" i="1" s="1"/>
  <c r="H754" i="1"/>
  <c r="H755" i="1"/>
  <c r="H756" i="1"/>
  <c r="J756" i="1" s="1"/>
  <c r="H757" i="1"/>
  <c r="J757" i="1" s="1"/>
  <c r="H758" i="1"/>
  <c r="H759" i="1"/>
  <c r="H760" i="1"/>
  <c r="J760" i="1" s="1"/>
  <c r="H761" i="1"/>
  <c r="J761" i="1" s="1"/>
  <c r="H762" i="1"/>
  <c r="H763" i="1"/>
  <c r="H764" i="1"/>
  <c r="J764" i="1" s="1"/>
  <c r="H765" i="1"/>
  <c r="J765" i="1" s="1"/>
  <c r="H766" i="1"/>
  <c r="H767" i="1"/>
  <c r="H768" i="1"/>
  <c r="J768" i="1" s="1"/>
  <c r="H769" i="1"/>
  <c r="J769" i="1" s="1"/>
  <c r="H770" i="1"/>
  <c r="H771" i="1"/>
  <c r="H772" i="1"/>
  <c r="J772" i="1" s="1"/>
  <c r="H773" i="1"/>
  <c r="J773" i="1" s="1"/>
  <c r="H774" i="1"/>
  <c r="H775" i="1"/>
  <c r="H776" i="1"/>
  <c r="J776" i="1" s="1"/>
  <c r="H777" i="1"/>
  <c r="J777" i="1" s="1"/>
  <c r="H778" i="1"/>
  <c r="H779" i="1"/>
  <c r="H780" i="1"/>
  <c r="J780" i="1" s="1"/>
  <c r="H781" i="1"/>
  <c r="J781" i="1" s="1"/>
  <c r="H782" i="1"/>
  <c r="H783" i="1"/>
  <c r="H784" i="1"/>
  <c r="J784" i="1" s="1"/>
  <c r="H785" i="1"/>
  <c r="J785" i="1" s="1"/>
  <c r="H786" i="1"/>
  <c r="H787" i="1"/>
  <c r="H788" i="1"/>
  <c r="J788" i="1" s="1"/>
  <c r="H789" i="1"/>
  <c r="J789" i="1" s="1"/>
  <c r="H790" i="1"/>
  <c r="H791" i="1"/>
  <c r="H792" i="1"/>
  <c r="J792" i="1" s="1"/>
  <c r="H793" i="1"/>
  <c r="J793" i="1" s="1"/>
  <c r="H794" i="1"/>
  <c r="H795" i="1"/>
  <c r="H796" i="1"/>
  <c r="J796" i="1" s="1"/>
  <c r="H797" i="1"/>
  <c r="J797" i="1" s="1"/>
  <c r="H798" i="1"/>
  <c r="H799" i="1"/>
  <c r="H800" i="1"/>
  <c r="J800" i="1" s="1"/>
  <c r="H801" i="1"/>
  <c r="J801" i="1" s="1"/>
  <c r="H802" i="1"/>
  <c r="H803" i="1"/>
  <c r="H804" i="1"/>
  <c r="J804" i="1" s="1"/>
  <c r="H805" i="1"/>
  <c r="J805" i="1" s="1"/>
  <c r="H806" i="1"/>
  <c r="H807" i="1"/>
  <c r="H808" i="1"/>
  <c r="J808" i="1" s="1"/>
  <c r="H809" i="1"/>
  <c r="J809" i="1" s="1"/>
  <c r="H810" i="1"/>
  <c r="H811" i="1"/>
  <c r="H812" i="1"/>
  <c r="J812" i="1" s="1"/>
  <c r="H813" i="1"/>
  <c r="J813" i="1" s="1"/>
  <c r="H814" i="1"/>
  <c r="H815" i="1"/>
  <c r="H816" i="1"/>
  <c r="J816" i="1" s="1"/>
  <c r="H817" i="1"/>
  <c r="J817" i="1" s="1"/>
  <c r="H818" i="1"/>
  <c r="H819" i="1"/>
  <c r="H820" i="1"/>
  <c r="J820" i="1" s="1"/>
  <c r="H821" i="1"/>
  <c r="J821" i="1" s="1"/>
  <c r="H822" i="1"/>
  <c r="H823" i="1"/>
  <c r="H824" i="1"/>
  <c r="J824" i="1" s="1"/>
  <c r="H825" i="1"/>
  <c r="J825" i="1" s="1"/>
  <c r="H826" i="1"/>
  <c r="H827" i="1"/>
  <c r="H828" i="1"/>
  <c r="J828" i="1" s="1"/>
  <c r="H829" i="1"/>
  <c r="J829" i="1" s="1"/>
  <c r="H830" i="1"/>
  <c r="H831" i="1"/>
  <c r="H832" i="1"/>
  <c r="J832" i="1" s="1"/>
  <c r="H833" i="1"/>
  <c r="J833" i="1" s="1"/>
  <c r="H834" i="1"/>
  <c r="H835" i="1"/>
  <c r="H836" i="1"/>
  <c r="J836" i="1" s="1"/>
  <c r="H837" i="1"/>
  <c r="J837" i="1" s="1"/>
  <c r="H838" i="1"/>
  <c r="H839" i="1"/>
  <c r="H840" i="1"/>
  <c r="J840" i="1" s="1"/>
  <c r="H841" i="1"/>
  <c r="J841" i="1" s="1"/>
  <c r="H842" i="1"/>
  <c r="H843" i="1"/>
  <c r="H844" i="1"/>
  <c r="J844" i="1" s="1"/>
  <c r="H845" i="1"/>
  <c r="J845" i="1" s="1"/>
  <c r="H846" i="1"/>
  <c r="H847" i="1"/>
  <c r="H848" i="1"/>
  <c r="J848" i="1" s="1"/>
  <c r="H849" i="1"/>
  <c r="J849" i="1" s="1"/>
  <c r="H850" i="1"/>
  <c r="H851" i="1"/>
  <c r="H852" i="1"/>
  <c r="J852" i="1" s="1"/>
  <c r="H853" i="1"/>
  <c r="J853" i="1" s="1"/>
  <c r="H854" i="1"/>
  <c r="H855" i="1"/>
  <c r="H856" i="1"/>
  <c r="J856" i="1" s="1"/>
  <c r="H857" i="1"/>
  <c r="J857" i="1" s="1"/>
  <c r="H858" i="1"/>
  <c r="H859" i="1"/>
  <c r="H860" i="1"/>
  <c r="J860" i="1" s="1"/>
  <c r="H861" i="1"/>
  <c r="J861" i="1" s="1"/>
  <c r="H862" i="1"/>
  <c r="H863" i="1"/>
  <c r="H864" i="1"/>
  <c r="J864" i="1" s="1"/>
  <c r="H865" i="1"/>
  <c r="J865" i="1" s="1"/>
  <c r="H866" i="1"/>
  <c r="H867" i="1"/>
  <c r="H868" i="1"/>
  <c r="J868" i="1" s="1"/>
  <c r="H869" i="1"/>
  <c r="J869" i="1" s="1"/>
  <c r="H870" i="1"/>
  <c r="H871" i="1"/>
  <c r="H872" i="1"/>
  <c r="J872" i="1" s="1"/>
  <c r="H873" i="1"/>
  <c r="J873" i="1" s="1"/>
  <c r="H874" i="1"/>
  <c r="H875" i="1"/>
  <c r="H876" i="1"/>
  <c r="J876" i="1" s="1"/>
  <c r="H877" i="1"/>
  <c r="J877" i="1" s="1"/>
  <c r="H878" i="1"/>
  <c r="H879" i="1"/>
  <c r="H880" i="1"/>
  <c r="J880" i="1" s="1"/>
  <c r="H881" i="1"/>
  <c r="J881" i="1" s="1"/>
  <c r="H882" i="1"/>
  <c r="H883" i="1"/>
  <c r="H884" i="1"/>
  <c r="J884" i="1" s="1"/>
  <c r="H885" i="1"/>
  <c r="J885" i="1" s="1"/>
  <c r="H886" i="1"/>
  <c r="H887" i="1"/>
  <c r="H888" i="1"/>
  <c r="J888" i="1" s="1"/>
  <c r="H889" i="1"/>
  <c r="J889" i="1" s="1"/>
  <c r="H890" i="1"/>
  <c r="H891" i="1"/>
  <c r="H892" i="1"/>
  <c r="J892" i="1" s="1"/>
  <c r="H893" i="1"/>
  <c r="J893" i="1" s="1"/>
  <c r="H894" i="1"/>
  <c r="H895" i="1"/>
  <c r="H896" i="1"/>
  <c r="J896" i="1" s="1"/>
  <c r="H897" i="1"/>
  <c r="J897" i="1" s="1"/>
  <c r="H898" i="1"/>
  <c r="H899" i="1"/>
  <c r="H900" i="1"/>
  <c r="J900" i="1" s="1"/>
  <c r="H901" i="1"/>
  <c r="J901" i="1" s="1"/>
  <c r="H902" i="1"/>
  <c r="H903" i="1"/>
  <c r="H904" i="1"/>
  <c r="J904" i="1" s="1"/>
  <c r="H905" i="1"/>
  <c r="J905" i="1" s="1"/>
  <c r="H906" i="1"/>
  <c r="H907" i="1"/>
  <c r="H908" i="1"/>
  <c r="J908" i="1" s="1"/>
  <c r="H909" i="1"/>
  <c r="J909" i="1" s="1"/>
  <c r="H910" i="1"/>
  <c r="H911" i="1"/>
  <c r="H912" i="1"/>
  <c r="J912" i="1" s="1"/>
  <c r="H913" i="1"/>
  <c r="J913" i="1" s="1"/>
  <c r="H914" i="1"/>
  <c r="H915" i="1"/>
  <c r="H916" i="1"/>
  <c r="J916" i="1" s="1"/>
  <c r="H917" i="1"/>
  <c r="J917" i="1" s="1"/>
  <c r="H918" i="1"/>
  <c r="H919" i="1"/>
  <c r="H920" i="1"/>
  <c r="J920" i="1" s="1"/>
  <c r="H921" i="1"/>
  <c r="J921" i="1" s="1"/>
  <c r="H922" i="1"/>
  <c r="H923" i="1"/>
  <c r="H924" i="1"/>
  <c r="J924" i="1" s="1"/>
  <c r="H925" i="1"/>
  <c r="J925" i="1" s="1"/>
  <c r="H926" i="1"/>
  <c r="H927" i="1"/>
  <c r="H928" i="1"/>
  <c r="J928" i="1" s="1"/>
  <c r="H929" i="1"/>
  <c r="J929" i="1" s="1"/>
  <c r="H930" i="1"/>
  <c r="H931" i="1"/>
  <c r="H932" i="1"/>
  <c r="J932" i="1" s="1"/>
  <c r="H933" i="1"/>
  <c r="J933" i="1" s="1"/>
  <c r="H934" i="1"/>
  <c r="H935" i="1"/>
  <c r="H936" i="1"/>
  <c r="J936" i="1" s="1"/>
  <c r="H937" i="1"/>
  <c r="J937" i="1" s="1"/>
  <c r="H938" i="1"/>
  <c r="H939" i="1"/>
  <c r="H940" i="1"/>
  <c r="J940" i="1" s="1"/>
  <c r="H941" i="1"/>
  <c r="J941" i="1" s="1"/>
  <c r="H942" i="1"/>
  <c r="H943" i="1"/>
  <c r="H944" i="1"/>
  <c r="J944" i="1" s="1"/>
  <c r="H945" i="1"/>
  <c r="J945" i="1" s="1"/>
  <c r="H946" i="1"/>
  <c r="H947" i="1"/>
  <c r="H948" i="1"/>
  <c r="J948" i="1" s="1"/>
  <c r="H949" i="1"/>
  <c r="J949" i="1" s="1"/>
  <c r="H950" i="1"/>
  <c r="H951" i="1"/>
  <c r="H952" i="1"/>
  <c r="J952" i="1" s="1"/>
  <c r="H953" i="1"/>
  <c r="J953" i="1" s="1"/>
  <c r="H954" i="1"/>
  <c r="H955" i="1"/>
  <c r="H956" i="1"/>
  <c r="J956" i="1" s="1"/>
  <c r="H957" i="1"/>
  <c r="J957" i="1" s="1"/>
  <c r="H958" i="1"/>
  <c r="H959" i="1"/>
  <c r="H960" i="1"/>
  <c r="J960" i="1" s="1"/>
  <c r="H961" i="1"/>
  <c r="J961" i="1" s="1"/>
  <c r="H962" i="1"/>
  <c r="H963" i="1"/>
  <c r="H964" i="1"/>
  <c r="J964" i="1" s="1"/>
  <c r="H965" i="1"/>
  <c r="J965" i="1" s="1"/>
  <c r="H966" i="1"/>
  <c r="H967" i="1"/>
  <c r="H968" i="1"/>
  <c r="J968" i="1" s="1"/>
  <c r="H969" i="1"/>
  <c r="J969" i="1" s="1"/>
  <c r="H970" i="1"/>
  <c r="H971" i="1"/>
  <c r="H972" i="1"/>
  <c r="J972" i="1" s="1"/>
  <c r="H973" i="1"/>
  <c r="J973" i="1" s="1"/>
  <c r="H974" i="1"/>
  <c r="H975" i="1"/>
  <c r="H976" i="1"/>
  <c r="J976" i="1" s="1"/>
  <c r="H977" i="1"/>
  <c r="J977" i="1" s="1"/>
  <c r="H978" i="1"/>
  <c r="H979" i="1"/>
  <c r="H980" i="1"/>
  <c r="J980" i="1" s="1"/>
  <c r="H981" i="1"/>
  <c r="J981" i="1" s="1"/>
  <c r="H982" i="1"/>
  <c r="H983" i="1"/>
  <c r="H984" i="1"/>
  <c r="J984" i="1" s="1"/>
  <c r="H985" i="1"/>
  <c r="J985" i="1" s="1"/>
  <c r="H986" i="1"/>
  <c r="H987" i="1"/>
  <c r="H988" i="1"/>
  <c r="J988" i="1" s="1"/>
  <c r="H989" i="1"/>
  <c r="J989" i="1" s="1"/>
  <c r="H990" i="1"/>
  <c r="H991" i="1"/>
  <c r="H992" i="1"/>
  <c r="J992" i="1" s="1"/>
  <c r="H993" i="1"/>
  <c r="J993" i="1" s="1"/>
  <c r="H994" i="1"/>
  <c r="H995" i="1"/>
  <c r="H996" i="1"/>
  <c r="J996" i="1" s="1"/>
  <c r="H997" i="1"/>
  <c r="J997" i="1" s="1"/>
  <c r="H998" i="1"/>
  <c r="H999" i="1"/>
  <c r="H1000" i="1"/>
  <c r="J1000" i="1" s="1"/>
  <c r="H1001" i="1"/>
  <c r="J1001" i="1" s="1"/>
  <c r="H1002" i="1"/>
  <c r="H1003" i="1"/>
  <c r="H1004" i="1"/>
  <c r="J1004" i="1" s="1"/>
  <c r="H1005" i="1"/>
  <c r="J1005" i="1" s="1"/>
  <c r="H1006" i="1"/>
  <c r="H1007" i="1"/>
  <c r="H1008" i="1"/>
  <c r="J1008" i="1" s="1"/>
  <c r="H1009" i="1"/>
  <c r="J1009" i="1" s="1"/>
  <c r="H1010" i="1"/>
  <c r="H1011" i="1"/>
  <c r="H1012" i="1"/>
  <c r="J1012" i="1" s="1"/>
  <c r="H1013" i="1"/>
  <c r="J1013" i="1" s="1"/>
  <c r="H1014" i="1"/>
  <c r="H1015" i="1"/>
  <c r="H1016" i="1"/>
  <c r="J1016" i="1" s="1"/>
  <c r="H1017" i="1"/>
  <c r="J1017" i="1" s="1"/>
  <c r="H1018" i="1"/>
  <c r="H1019" i="1"/>
  <c r="H1020" i="1"/>
  <c r="J1020" i="1" s="1"/>
  <c r="H1021" i="1"/>
  <c r="J1021" i="1" s="1"/>
  <c r="H1022" i="1"/>
  <c r="H1023" i="1"/>
  <c r="H1024" i="1"/>
  <c r="J1024" i="1" s="1"/>
  <c r="H1025" i="1"/>
  <c r="J1025" i="1" s="1"/>
  <c r="H1026" i="1"/>
  <c r="H1027" i="1"/>
  <c r="H1028" i="1"/>
  <c r="J1028" i="1" s="1"/>
  <c r="H1029" i="1"/>
  <c r="J1029" i="1" s="1"/>
  <c r="H1030" i="1"/>
  <c r="H1031" i="1"/>
  <c r="H1032" i="1"/>
  <c r="J1032" i="1" s="1"/>
  <c r="H1033" i="1"/>
  <c r="J1033" i="1" s="1"/>
  <c r="H1034" i="1"/>
  <c r="H1035" i="1"/>
  <c r="H1036" i="1"/>
  <c r="J1036" i="1" s="1"/>
  <c r="H1037" i="1"/>
  <c r="J1037" i="1" s="1"/>
  <c r="H1038" i="1"/>
  <c r="H1039" i="1"/>
  <c r="H1040" i="1"/>
  <c r="J1040" i="1" s="1"/>
  <c r="H1041" i="1"/>
  <c r="J1041" i="1" s="1"/>
  <c r="H1042" i="1"/>
  <c r="H1043" i="1"/>
  <c r="H1044" i="1"/>
  <c r="J1044" i="1" s="1"/>
  <c r="H1045" i="1"/>
  <c r="J1045" i="1" s="1"/>
  <c r="H1046" i="1"/>
  <c r="H1047" i="1"/>
  <c r="H1048" i="1"/>
  <c r="J1048" i="1" s="1"/>
  <c r="H1049" i="1"/>
  <c r="J1049" i="1" s="1"/>
  <c r="H1050" i="1"/>
  <c r="H1051" i="1"/>
  <c r="H1052" i="1"/>
  <c r="J1052" i="1" s="1"/>
  <c r="H1053" i="1"/>
  <c r="J1053" i="1" s="1"/>
  <c r="H1054" i="1"/>
  <c r="H1055" i="1"/>
  <c r="H1056" i="1"/>
  <c r="J1056" i="1" s="1"/>
  <c r="H1057" i="1"/>
  <c r="J1057" i="1" s="1"/>
  <c r="H1058" i="1"/>
  <c r="H1059" i="1"/>
  <c r="H1060" i="1"/>
  <c r="J1060" i="1" s="1"/>
  <c r="H1061" i="1"/>
  <c r="J1061" i="1" s="1"/>
  <c r="H1062" i="1"/>
  <c r="H1063" i="1"/>
  <c r="H1064" i="1"/>
  <c r="J1064" i="1" s="1"/>
  <c r="H1065" i="1"/>
  <c r="J1065" i="1" s="1"/>
  <c r="H1066" i="1"/>
  <c r="H1067" i="1"/>
  <c r="H1068" i="1"/>
  <c r="J1068" i="1" s="1"/>
  <c r="H1069" i="1"/>
  <c r="J1069" i="1" s="1"/>
  <c r="H1070" i="1"/>
  <c r="H1071" i="1"/>
  <c r="H1072" i="1"/>
  <c r="J1072" i="1" s="1"/>
  <c r="H1073" i="1"/>
  <c r="J1073" i="1" s="1"/>
  <c r="H1074" i="1"/>
  <c r="H1075" i="1"/>
  <c r="H1076" i="1"/>
  <c r="J1076" i="1" s="1"/>
  <c r="H1077" i="1"/>
  <c r="J1077" i="1" s="1"/>
  <c r="H1078" i="1"/>
  <c r="H1079" i="1"/>
  <c r="H1080" i="1"/>
  <c r="J1080" i="1" s="1"/>
  <c r="H1081" i="1"/>
  <c r="J1081" i="1" s="1"/>
  <c r="H1082" i="1"/>
  <c r="H1083" i="1"/>
  <c r="H1084" i="1"/>
  <c r="J1084" i="1" s="1"/>
  <c r="H1085" i="1"/>
  <c r="J1085" i="1" s="1"/>
  <c r="H1086" i="1"/>
  <c r="H1087" i="1"/>
  <c r="H1088" i="1"/>
  <c r="J1088" i="1" s="1"/>
  <c r="H1089" i="1"/>
  <c r="J1089" i="1" s="1"/>
  <c r="H1090" i="1"/>
  <c r="H1091" i="1"/>
  <c r="H1092" i="1"/>
  <c r="J1092" i="1" s="1"/>
  <c r="H1093" i="1"/>
  <c r="J1093" i="1" s="1"/>
  <c r="H1094" i="1"/>
  <c r="H1095" i="1"/>
  <c r="H1096" i="1"/>
  <c r="J1096" i="1" s="1"/>
  <c r="H1097" i="1"/>
  <c r="J1097" i="1" s="1"/>
  <c r="H1098" i="1"/>
  <c r="H1099" i="1"/>
  <c r="H1100" i="1"/>
  <c r="J1100" i="1" s="1"/>
  <c r="H1101" i="1"/>
  <c r="J1101" i="1" s="1"/>
  <c r="H1102" i="1"/>
  <c r="H1103" i="1"/>
  <c r="H1104" i="1"/>
  <c r="J1104" i="1" s="1"/>
  <c r="H1105" i="1"/>
  <c r="J1105" i="1" s="1"/>
  <c r="H1106" i="1"/>
  <c r="H1107" i="1"/>
  <c r="H1108" i="1"/>
  <c r="J1108" i="1" s="1"/>
  <c r="H1109" i="1"/>
  <c r="J1109" i="1" s="1"/>
  <c r="H1110" i="1"/>
  <c r="H1111" i="1"/>
  <c r="H1112" i="1"/>
  <c r="J1112" i="1" s="1"/>
  <c r="H1113" i="1"/>
  <c r="J1113" i="1" s="1"/>
  <c r="H1114" i="1"/>
  <c r="H1115" i="1"/>
  <c r="H1116" i="1"/>
  <c r="J1116" i="1" s="1"/>
  <c r="H1117" i="1"/>
  <c r="J1117" i="1" s="1"/>
  <c r="H1118" i="1"/>
  <c r="H1119" i="1"/>
  <c r="H1120" i="1"/>
  <c r="J1120" i="1" s="1"/>
  <c r="H1121" i="1"/>
  <c r="J1121" i="1" s="1"/>
  <c r="H1122" i="1"/>
  <c r="H1123" i="1"/>
  <c r="H1124" i="1"/>
  <c r="J1124" i="1" s="1"/>
  <c r="H1125" i="1"/>
  <c r="J1125" i="1" s="1"/>
  <c r="H1126" i="1"/>
  <c r="H1127" i="1"/>
  <c r="H1128" i="1"/>
  <c r="J1128" i="1" s="1"/>
  <c r="H1129" i="1"/>
  <c r="J1129" i="1" s="1"/>
  <c r="H1130" i="1"/>
  <c r="H1131" i="1"/>
  <c r="H1132" i="1"/>
  <c r="J1132" i="1" s="1"/>
  <c r="H1133" i="1"/>
  <c r="J1133" i="1" s="1"/>
  <c r="H1134" i="1"/>
  <c r="H1135" i="1"/>
  <c r="H1136" i="1"/>
  <c r="J1136" i="1" s="1"/>
  <c r="H1137" i="1"/>
  <c r="J1137" i="1" s="1"/>
  <c r="H1138" i="1"/>
  <c r="H1139" i="1"/>
  <c r="H1140" i="1"/>
  <c r="J1140" i="1" s="1"/>
  <c r="H1141" i="1"/>
  <c r="J1141" i="1" s="1"/>
  <c r="H1142" i="1"/>
  <c r="H1143" i="1"/>
  <c r="H1144" i="1"/>
  <c r="J1144" i="1" s="1"/>
  <c r="H1145" i="1"/>
  <c r="J1145" i="1" s="1"/>
  <c r="H1146" i="1"/>
  <c r="H1147" i="1"/>
  <c r="H1148" i="1"/>
  <c r="J1148" i="1" s="1"/>
  <c r="H1149" i="1"/>
  <c r="J1149" i="1" s="1"/>
  <c r="H1150" i="1"/>
  <c r="H1151" i="1"/>
  <c r="H1152" i="1"/>
  <c r="J1152" i="1" s="1"/>
  <c r="H1153" i="1"/>
  <c r="J1153" i="1" s="1"/>
  <c r="H1154" i="1"/>
  <c r="H1155" i="1"/>
  <c r="H1156" i="1"/>
  <c r="J1156" i="1" s="1"/>
  <c r="H1157" i="1"/>
  <c r="J1157" i="1" s="1"/>
  <c r="H1158" i="1"/>
  <c r="H1159" i="1"/>
  <c r="H1160" i="1"/>
  <c r="J1160" i="1" s="1"/>
  <c r="H1161" i="1"/>
  <c r="J1161" i="1" s="1"/>
  <c r="H1162" i="1"/>
  <c r="H1163" i="1"/>
  <c r="H1164" i="1"/>
  <c r="J1164" i="1" s="1"/>
  <c r="H1165" i="1"/>
  <c r="J1165" i="1" s="1"/>
  <c r="H1166" i="1"/>
  <c r="H1167" i="1"/>
  <c r="H1168" i="1"/>
  <c r="J1168" i="1" s="1"/>
  <c r="H1169" i="1"/>
  <c r="J1169" i="1" s="1"/>
  <c r="H1170" i="1"/>
  <c r="H1171" i="1"/>
  <c r="H1172" i="1"/>
  <c r="J1172" i="1" s="1"/>
  <c r="H1173" i="1"/>
  <c r="J1173" i="1" s="1"/>
  <c r="H1174" i="1"/>
  <c r="H1175" i="1"/>
  <c r="H1176" i="1"/>
  <c r="J1176" i="1" s="1"/>
  <c r="H1177" i="1"/>
  <c r="J1177" i="1" s="1"/>
  <c r="H1178" i="1"/>
  <c r="H1179" i="1"/>
  <c r="H1180" i="1"/>
  <c r="J1180" i="1" s="1"/>
  <c r="H1181" i="1"/>
  <c r="J1181" i="1" s="1"/>
  <c r="H1182" i="1"/>
  <c r="H1183" i="1"/>
  <c r="H1184" i="1"/>
  <c r="J1184" i="1" s="1"/>
  <c r="H1185" i="1"/>
  <c r="J1185" i="1" s="1"/>
  <c r="H1186" i="1"/>
  <c r="H1187" i="1"/>
  <c r="H1188" i="1"/>
  <c r="J1188" i="1" s="1"/>
  <c r="H1189" i="1"/>
  <c r="J1189" i="1" s="1"/>
  <c r="H1190" i="1"/>
  <c r="H1191" i="1"/>
  <c r="H1192" i="1"/>
  <c r="J1192" i="1" s="1"/>
  <c r="H1193" i="1"/>
  <c r="J1193" i="1" s="1"/>
  <c r="H1194" i="1"/>
  <c r="H1195" i="1"/>
  <c r="H1196" i="1"/>
  <c r="J1196" i="1" s="1"/>
  <c r="H1197" i="1"/>
  <c r="J1197" i="1" s="1"/>
  <c r="H1198" i="1"/>
  <c r="H1199" i="1"/>
  <c r="H1200" i="1"/>
  <c r="J1200" i="1" s="1"/>
  <c r="H1201" i="1"/>
  <c r="J1201" i="1" s="1"/>
  <c r="H1202" i="1"/>
  <c r="H1203" i="1"/>
  <c r="H1204" i="1"/>
  <c r="J1204" i="1" s="1"/>
  <c r="H1205" i="1"/>
  <c r="J1205" i="1" s="1"/>
  <c r="H1206" i="1"/>
  <c r="H1207" i="1"/>
  <c r="H1208" i="1"/>
  <c r="J1208" i="1" s="1"/>
  <c r="H1209" i="1"/>
  <c r="J1209" i="1" s="1"/>
  <c r="H1210" i="1"/>
  <c r="H1211" i="1"/>
  <c r="H1212" i="1"/>
  <c r="J1212" i="1" s="1"/>
  <c r="H1213" i="1"/>
  <c r="J1213" i="1" s="1"/>
  <c r="H1214" i="1"/>
  <c r="H1215" i="1"/>
  <c r="H1216" i="1"/>
  <c r="J1216" i="1" s="1"/>
  <c r="H1217" i="1"/>
  <c r="J1217" i="1" s="1"/>
  <c r="H1218" i="1"/>
  <c r="H1219" i="1"/>
  <c r="H1220" i="1"/>
  <c r="J1220" i="1" s="1"/>
  <c r="H1221" i="1"/>
  <c r="J1221" i="1" s="1"/>
  <c r="H1222" i="1"/>
  <c r="H1223" i="1"/>
  <c r="H1224" i="1"/>
  <c r="J1224" i="1" s="1"/>
  <c r="H1225" i="1"/>
  <c r="J1225" i="1" s="1"/>
  <c r="H1226" i="1"/>
  <c r="H1227" i="1"/>
  <c r="H1228" i="1"/>
  <c r="J1228" i="1" s="1"/>
  <c r="H1229" i="1"/>
  <c r="J1229" i="1" s="1"/>
  <c r="H1230" i="1"/>
  <c r="H1231" i="1"/>
  <c r="H1232" i="1"/>
  <c r="J1232" i="1" s="1"/>
  <c r="H1233" i="1"/>
  <c r="J1233" i="1" s="1"/>
  <c r="H1234" i="1"/>
  <c r="H1235" i="1"/>
  <c r="H1236" i="1"/>
  <c r="J1236" i="1" s="1"/>
  <c r="H1237" i="1"/>
  <c r="J1237" i="1" s="1"/>
  <c r="H1238" i="1"/>
  <c r="H1239" i="1"/>
  <c r="H1240" i="1"/>
  <c r="J1240" i="1" s="1"/>
  <c r="H1241" i="1"/>
  <c r="J1241" i="1" s="1"/>
  <c r="H1242" i="1"/>
  <c r="H1243" i="1"/>
  <c r="H1244" i="1"/>
  <c r="J1244" i="1" s="1"/>
  <c r="H1245" i="1"/>
  <c r="J1245" i="1" s="1"/>
  <c r="H1246" i="1"/>
  <c r="H1247" i="1"/>
  <c r="H1248" i="1"/>
  <c r="J1248" i="1" s="1"/>
  <c r="H1249" i="1"/>
  <c r="J1249" i="1" s="1"/>
  <c r="H1250" i="1"/>
  <c r="H1251" i="1"/>
  <c r="H1252" i="1"/>
  <c r="J1252" i="1" s="1"/>
  <c r="H1253" i="1"/>
  <c r="J1253" i="1" s="1"/>
  <c r="H1254" i="1"/>
  <c r="H1255" i="1"/>
  <c r="H1256" i="1"/>
  <c r="J1256" i="1" s="1"/>
  <c r="H1257" i="1"/>
  <c r="J1257" i="1" s="1"/>
  <c r="H1258" i="1"/>
  <c r="H1259" i="1"/>
  <c r="H1260" i="1"/>
  <c r="J1260" i="1" s="1"/>
  <c r="H1261" i="1"/>
  <c r="J1261" i="1" s="1"/>
  <c r="H1262" i="1"/>
  <c r="H1263" i="1"/>
  <c r="H1264" i="1"/>
  <c r="J1264" i="1" s="1"/>
  <c r="H1265" i="1"/>
  <c r="J1265" i="1" s="1"/>
  <c r="H1266" i="1"/>
  <c r="H1267" i="1"/>
  <c r="H1268" i="1"/>
  <c r="J1268" i="1" s="1"/>
  <c r="H1269" i="1"/>
  <c r="J1269" i="1" s="1"/>
  <c r="H1270" i="1"/>
  <c r="H1271" i="1"/>
  <c r="H1272" i="1"/>
  <c r="J1272" i="1" s="1"/>
  <c r="H1273" i="1"/>
  <c r="J1273" i="1" s="1"/>
  <c r="H1274" i="1"/>
  <c r="H1275" i="1"/>
  <c r="H1276" i="1"/>
  <c r="J1276" i="1" s="1"/>
  <c r="H1277" i="1"/>
  <c r="J1277" i="1" s="1"/>
  <c r="H1278" i="1"/>
  <c r="H1279" i="1"/>
  <c r="H1280" i="1"/>
  <c r="J1280" i="1" s="1"/>
  <c r="H1281" i="1"/>
  <c r="J1281" i="1" s="1"/>
  <c r="H1282" i="1"/>
  <c r="H1283" i="1"/>
  <c r="H1284" i="1"/>
  <c r="J1284" i="1" s="1"/>
  <c r="H1285" i="1"/>
  <c r="J1285" i="1" s="1"/>
  <c r="H1286" i="1"/>
  <c r="H1287" i="1"/>
  <c r="H1288" i="1"/>
  <c r="J1288" i="1" s="1"/>
  <c r="H1289" i="1"/>
  <c r="J1289" i="1" s="1"/>
  <c r="H1290" i="1"/>
  <c r="H1291" i="1"/>
  <c r="H1292" i="1"/>
  <c r="J1292" i="1" s="1"/>
  <c r="H1293" i="1"/>
  <c r="J1293" i="1" s="1"/>
  <c r="H1294" i="1"/>
  <c r="H1295" i="1"/>
  <c r="H1296" i="1"/>
  <c r="J1296" i="1" s="1"/>
  <c r="H1297" i="1"/>
  <c r="J1297" i="1" s="1"/>
  <c r="H1298" i="1"/>
  <c r="H1299" i="1"/>
  <c r="H1300" i="1"/>
  <c r="J1300" i="1" s="1"/>
  <c r="H1301" i="1"/>
  <c r="J1301" i="1" s="1"/>
  <c r="H1302" i="1"/>
  <c r="H1303" i="1"/>
  <c r="H1304" i="1"/>
  <c r="J1304" i="1" s="1"/>
  <c r="H1305" i="1"/>
  <c r="J1305" i="1" s="1"/>
  <c r="H1306" i="1"/>
  <c r="H1307" i="1"/>
  <c r="H1308" i="1"/>
  <c r="J1308" i="1" s="1"/>
  <c r="H1309" i="1"/>
  <c r="J1309" i="1" s="1"/>
  <c r="H1310" i="1"/>
  <c r="H1311" i="1"/>
  <c r="H1312" i="1"/>
  <c r="J1312" i="1" s="1"/>
  <c r="H1313" i="1"/>
  <c r="J1313" i="1" s="1"/>
  <c r="H1314" i="1"/>
  <c r="H1315" i="1"/>
  <c r="H1316" i="1"/>
  <c r="J1316" i="1" s="1"/>
  <c r="H1317" i="1"/>
  <c r="J1317" i="1" s="1"/>
  <c r="H1318" i="1"/>
  <c r="H1319" i="1"/>
  <c r="H1320" i="1"/>
  <c r="J1320" i="1" s="1"/>
  <c r="H1321" i="1"/>
  <c r="J1321" i="1" s="1"/>
  <c r="H1322" i="1"/>
  <c r="H1323" i="1"/>
  <c r="H1324" i="1"/>
  <c r="J1324" i="1" s="1"/>
  <c r="H1325" i="1"/>
  <c r="J1325" i="1" s="1"/>
  <c r="H1326" i="1"/>
  <c r="H1327" i="1"/>
  <c r="H1328" i="1"/>
  <c r="J1328" i="1" s="1"/>
  <c r="H1329" i="1"/>
  <c r="J1329" i="1" s="1"/>
  <c r="H1330" i="1"/>
  <c r="H1331" i="1"/>
  <c r="H1332" i="1"/>
  <c r="J1332" i="1" s="1"/>
  <c r="H1333" i="1"/>
  <c r="J1333" i="1" s="1"/>
  <c r="H1334" i="1"/>
  <c r="H1335" i="1"/>
  <c r="H1336" i="1"/>
  <c r="J1336" i="1" s="1"/>
  <c r="H1337" i="1"/>
  <c r="J1337" i="1" s="1"/>
  <c r="H1338" i="1"/>
  <c r="H1339" i="1"/>
  <c r="H1340" i="1"/>
  <c r="J1340" i="1" s="1"/>
  <c r="H1341" i="1"/>
  <c r="J1341" i="1" s="1"/>
  <c r="H1342" i="1"/>
  <c r="H1343" i="1"/>
  <c r="H1344" i="1"/>
  <c r="J1344" i="1" s="1"/>
  <c r="H1345" i="1"/>
  <c r="J1345" i="1" s="1"/>
  <c r="H1346" i="1"/>
  <c r="H1347" i="1"/>
  <c r="H1348" i="1"/>
  <c r="J1348" i="1" s="1"/>
  <c r="H1349" i="1"/>
  <c r="J1349" i="1" s="1"/>
  <c r="H1350" i="1"/>
  <c r="H1351" i="1"/>
  <c r="H1352" i="1"/>
  <c r="J1352" i="1" s="1"/>
  <c r="H1353" i="1"/>
  <c r="J1353" i="1" s="1"/>
  <c r="H1354" i="1"/>
  <c r="H1355" i="1"/>
  <c r="H1356" i="1"/>
  <c r="J1356" i="1" s="1"/>
  <c r="H1357" i="1"/>
  <c r="J1357" i="1" s="1"/>
  <c r="H1358" i="1"/>
  <c r="H1359" i="1"/>
  <c r="H1360" i="1"/>
  <c r="J1360" i="1" s="1"/>
  <c r="H1361" i="1"/>
  <c r="J1361" i="1" s="1"/>
  <c r="H1362" i="1"/>
  <c r="H1363" i="1"/>
  <c r="H1364" i="1"/>
  <c r="J1364" i="1" s="1"/>
  <c r="H1365" i="1"/>
  <c r="J1365" i="1" s="1"/>
  <c r="H1366" i="1"/>
  <c r="H1367" i="1"/>
  <c r="H1368" i="1"/>
  <c r="J1368" i="1" s="1"/>
  <c r="H1369" i="1"/>
  <c r="J1369" i="1" s="1"/>
  <c r="H1370" i="1"/>
  <c r="H1371" i="1"/>
  <c r="H1372" i="1"/>
  <c r="J1372" i="1" s="1"/>
  <c r="H1373" i="1"/>
  <c r="J1373" i="1" s="1"/>
  <c r="H1374" i="1"/>
  <c r="H1375" i="1"/>
  <c r="H1376" i="1"/>
  <c r="J1376" i="1" s="1"/>
  <c r="H1377" i="1"/>
  <c r="J1377" i="1" s="1"/>
  <c r="H1378" i="1"/>
  <c r="H1379" i="1"/>
  <c r="H1380" i="1"/>
  <c r="J1380" i="1" s="1"/>
  <c r="H1381" i="1"/>
  <c r="J1381" i="1" s="1"/>
  <c r="H1382" i="1"/>
  <c r="H1383" i="1"/>
  <c r="H1384" i="1"/>
  <c r="J1384" i="1" s="1"/>
  <c r="H1385" i="1"/>
  <c r="J1385" i="1" s="1"/>
  <c r="H1386" i="1"/>
  <c r="H1387" i="1"/>
  <c r="H1388" i="1"/>
  <c r="J1388" i="1" s="1"/>
  <c r="H1389" i="1"/>
  <c r="J1389" i="1" s="1"/>
  <c r="H1390" i="1"/>
  <c r="H1391" i="1"/>
  <c r="H1392" i="1"/>
  <c r="J1392" i="1" s="1"/>
  <c r="H1393" i="1"/>
  <c r="J1393" i="1" s="1"/>
  <c r="H1394" i="1"/>
  <c r="H1395" i="1"/>
  <c r="H1396" i="1"/>
  <c r="J1396" i="1" s="1"/>
  <c r="H1397" i="1"/>
  <c r="J1397" i="1" s="1"/>
  <c r="H1398" i="1"/>
  <c r="H1399" i="1"/>
  <c r="H1400" i="1"/>
  <c r="J1400" i="1" s="1"/>
  <c r="H1401" i="1"/>
  <c r="J1401" i="1" s="1"/>
  <c r="H1402" i="1"/>
  <c r="H1403" i="1"/>
  <c r="H1404" i="1"/>
  <c r="J1404" i="1" s="1"/>
  <c r="H1405" i="1"/>
  <c r="J1405" i="1" s="1"/>
  <c r="H1406" i="1"/>
  <c r="H1407" i="1"/>
  <c r="H1408" i="1"/>
  <c r="J1408" i="1" s="1"/>
  <c r="H1409" i="1"/>
  <c r="J1409" i="1" s="1"/>
  <c r="H1410" i="1"/>
  <c r="H1411" i="1"/>
  <c r="H1412" i="1"/>
  <c r="J1412" i="1" s="1"/>
  <c r="H1413" i="1"/>
  <c r="J1413" i="1" s="1"/>
  <c r="H1414" i="1"/>
  <c r="H1415" i="1"/>
  <c r="H1416" i="1"/>
  <c r="J1416" i="1" s="1"/>
  <c r="H1417" i="1"/>
  <c r="J1417" i="1" s="1"/>
  <c r="H1418" i="1"/>
  <c r="H1419" i="1"/>
  <c r="H1420" i="1"/>
  <c r="J1420" i="1" s="1"/>
  <c r="H1421" i="1"/>
  <c r="J1421" i="1" s="1"/>
  <c r="H1422" i="1"/>
  <c r="H1423" i="1"/>
  <c r="H1424" i="1"/>
  <c r="J1424" i="1" s="1"/>
  <c r="H1425" i="1"/>
  <c r="J1425" i="1" s="1"/>
  <c r="H1426" i="1"/>
  <c r="H1427" i="1"/>
  <c r="H1428" i="1"/>
  <c r="J1428" i="1" s="1"/>
  <c r="H1429" i="1"/>
  <c r="J1429" i="1" s="1"/>
  <c r="H1430" i="1"/>
  <c r="H1431" i="1"/>
  <c r="H1432" i="1"/>
  <c r="J1432" i="1" s="1"/>
  <c r="H1433" i="1"/>
  <c r="J1433" i="1" s="1"/>
  <c r="H1434" i="1"/>
  <c r="H1435" i="1"/>
  <c r="H1436" i="1"/>
  <c r="J1436" i="1" s="1"/>
  <c r="H1437" i="1"/>
  <c r="J1437" i="1" s="1"/>
  <c r="H1438" i="1"/>
  <c r="H1439" i="1"/>
  <c r="H1440" i="1"/>
  <c r="J1440" i="1" s="1"/>
  <c r="H1441" i="1"/>
  <c r="J1441" i="1" s="1"/>
  <c r="H1442" i="1"/>
  <c r="H1443" i="1"/>
  <c r="H1444" i="1"/>
  <c r="J1444" i="1" s="1"/>
  <c r="H1445" i="1"/>
  <c r="J1445" i="1" s="1"/>
  <c r="H1446" i="1"/>
  <c r="H1447" i="1"/>
  <c r="H1448" i="1"/>
  <c r="J1448" i="1" s="1"/>
  <c r="H1449" i="1"/>
  <c r="J1449" i="1" s="1"/>
  <c r="H1450" i="1"/>
  <c r="H1451" i="1"/>
  <c r="H1452" i="1"/>
  <c r="J1452" i="1" s="1"/>
  <c r="H1453" i="1"/>
  <c r="J1453" i="1" s="1"/>
  <c r="H1454" i="1"/>
  <c r="H1455" i="1"/>
  <c r="H1456" i="1"/>
  <c r="J1456" i="1" s="1"/>
  <c r="H1457" i="1"/>
  <c r="J1457" i="1" s="1"/>
  <c r="H1458" i="1"/>
  <c r="H1459" i="1"/>
  <c r="H1460" i="1"/>
  <c r="J1460" i="1" s="1"/>
  <c r="H1461" i="1"/>
  <c r="J1461" i="1" s="1"/>
  <c r="H1462" i="1"/>
  <c r="H1463" i="1"/>
  <c r="H1464" i="1"/>
  <c r="J1464" i="1" s="1"/>
  <c r="H1465" i="1"/>
  <c r="J1465" i="1" s="1"/>
  <c r="H1466" i="1"/>
  <c r="H1467" i="1"/>
  <c r="H1468" i="1"/>
  <c r="J1468" i="1" s="1"/>
  <c r="H1469" i="1"/>
  <c r="J1469" i="1" s="1"/>
  <c r="H1470" i="1"/>
  <c r="H1471" i="1"/>
  <c r="H1472" i="1"/>
  <c r="J1472" i="1" s="1"/>
  <c r="H1473" i="1"/>
  <c r="J1473" i="1" s="1"/>
  <c r="H1474" i="1"/>
  <c r="H1475" i="1"/>
  <c r="H1476" i="1"/>
  <c r="J1476" i="1" s="1"/>
  <c r="H1477" i="1"/>
  <c r="J1477" i="1" s="1"/>
  <c r="H1478" i="1"/>
  <c r="H1479" i="1"/>
  <c r="H1480" i="1"/>
  <c r="J1480" i="1" s="1"/>
  <c r="H1481" i="1"/>
  <c r="J1481" i="1" s="1"/>
  <c r="H1482" i="1"/>
  <c r="H1483" i="1"/>
  <c r="H1484" i="1"/>
  <c r="J1484" i="1" s="1"/>
  <c r="H1485" i="1"/>
  <c r="J1485" i="1" s="1"/>
  <c r="H1486" i="1"/>
  <c r="H1487" i="1"/>
  <c r="H1488" i="1"/>
  <c r="J1488" i="1" s="1"/>
  <c r="H1489" i="1"/>
  <c r="J1489" i="1" s="1"/>
  <c r="H1490" i="1"/>
  <c r="H1491" i="1"/>
  <c r="H1492" i="1"/>
  <c r="J1492" i="1" s="1"/>
  <c r="H1493" i="1"/>
  <c r="J1493" i="1" s="1"/>
  <c r="H1494" i="1"/>
  <c r="H1495" i="1"/>
  <c r="H1496" i="1"/>
  <c r="J1496" i="1" s="1"/>
  <c r="H1497" i="1"/>
  <c r="J1497" i="1" s="1"/>
  <c r="H1498" i="1"/>
  <c r="H1499" i="1"/>
  <c r="H1500" i="1"/>
  <c r="J1500" i="1" s="1"/>
  <c r="H1501" i="1"/>
  <c r="J1501" i="1" s="1"/>
  <c r="H1502" i="1"/>
  <c r="H1503" i="1"/>
  <c r="H1504" i="1"/>
  <c r="J1504" i="1" s="1"/>
  <c r="H1505" i="1"/>
  <c r="J1505" i="1" s="1"/>
  <c r="H1506" i="1"/>
  <c r="H1507" i="1"/>
  <c r="H1508" i="1"/>
  <c r="J1508" i="1" s="1"/>
  <c r="H1509" i="1"/>
  <c r="J1509" i="1" s="1"/>
  <c r="H1510" i="1"/>
  <c r="H1511" i="1"/>
  <c r="H1512" i="1"/>
  <c r="J1512" i="1" s="1"/>
  <c r="H1513" i="1"/>
  <c r="J1513" i="1" s="1"/>
  <c r="H1514" i="1"/>
  <c r="H1515" i="1"/>
  <c r="H1516" i="1"/>
  <c r="J1516" i="1" s="1"/>
  <c r="H1517" i="1"/>
  <c r="J1517" i="1" s="1"/>
  <c r="H1518" i="1"/>
  <c r="H1519" i="1"/>
  <c r="H1520" i="1"/>
  <c r="J1520" i="1" s="1"/>
  <c r="H1521" i="1"/>
  <c r="J1521" i="1" s="1"/>
  <c r="H1522" i="1"/>
  <c r="H1523" i="1"/>
  <c r="H1524" i="1"/>
  <c r="J1524" i="1" s="1"/>
  <c r="H1525" i="1"/>
  <c r="J1525" i="1" s="1"/>
  <c r="H1526" i="1"/>
  <c r="H1527" i="1"/>
  <c r="H1528" i="1"/>
  <c r="J1528" i="1" s="1"/>
  <c r="H1529" i="1"/>
  <c r="J1529" i="1" s="1"/>
  <c r="H1530" i="1"/>
  <c r="H1531" i="1"/>
  <c r="H1532" i="1"/>
  <c r="J1532" i="1" s="1"/>
  <c r="H1533" i="1"/>
  <c r="J1533" i="1" s="1"/>
  <c r="H1534" i="1"/>
  <c r="H1535" i="1"/>
  <c r="H1536" i="1"/>
  <c r="J1536" i="1" s="1"/>
  <c r="H1537" i="1"/>
  <c r="J1537" i="1" s="1"/>
  <c r="H1538" i="1"/>
  <c r="H1539" i="1"/>
  <c r="H1540" i="1"/>
  <c r="J1540" i="1" s="1"/>
  <c r="H1541" i="1"/>
  <c r="J1541" i="1" s="1"/>
  <c r="H1542" i="1"/>
  <c r="H1543" i="1"/>
  <c r="H1544" i="1"/>
  <c r="J1544" i="1" s="1"/>
  <c r="H1545" i="1"/>
  <c r="J1545" i="1" s="1"/>
  <c r="H1546" i="1"/>
  <c r="H1547" i="1"/>
  <c r="H1548" i="1"/>
  <c r="J1548" i="1" s="1"/>
  <c r="H1549" i="1"/>
  <c r="J1549" i="1" s="1"/>
  <c r="H1550" i="1"/>
  <c r="H1551" i="1"/>
  <c r="H1552" i="1"/>
  <c r="J1552" i="1" s="1"/>
  <c r="H1553" i="1"/>
  <c r="J1553" i="1" s="1"/>
  <c r="H1554" i="1"/>
  <c r="H1555" i="1"/>
  <c r="H1556" i="1"/>
  <c r="J1556" i="1" s="1"/>
  <c r="H1557" i="1"/>
  <c r="J1557" i="1" s="1"/>
  <c r="H1558" i="1"/>
  <c r="H1559" i="1"/>
  <c r="H1560" i="1"/>
  <c r="J1560" i="1" s="1"/>
  <c r="H1561" i="1"/>
  <c r="J1561" i="1" s="1"/>
  <c r="H1562" i="1"/>
  <c r="H1563" i="1"/>
  <c r="H1564" i="1"/>
  <c r="J1564" i="1" s="1"/>
  <c r="H1565" i="1"/>
  <c r="J1565" i="1" s="1"/>
  <c r="H1566" i="1"/>
  <c r="H1567" i="1"/>
  <c r="H1568" i="1"/>
  <c r="J1568" i="1" s="1"/>
  <c r="H1569" i="1"/>
  <c r="J1569" i="1" s="1"/>
  <c r="H1570" i="1"/>
  <c r="H1571" i="1"/>
  <c r="H1572" i="1"/>
  <c r="J1572" i="1" s="1"/>
  <c r="H1573" i="1"/>
  <c r="J1573" i="1" s="1"/>
  <c r="H1574" i="1"/>
  <c r="H1575" i="1"/>
  <c r="H1576" i="1"/>
  <c r="J1576" i="1" s="1"/>
  <c r="H1577" i="1"/>
  <c r="J1577" i="1" s="1"/>
  <c r="H1578" i="1"/>
  <c r="H1579" i="1"/>
  <c r="H1580" i="1"/>
  <c r="J1580" i="1" s="1"/>
  <c r="H1581" i="1"/>
  <c r="J1581" i="1" s="1"/>
  <c r="H1582" i="1"/>
  <c r="H1583" i="1"/>
  <c r="H1584" i="1"/>
  <c r="J1584" i="1" s="1"/>
  <c r="H1585" i="1"/>
  <c r="J1585" i="1" s="1"/>
  <c r="H1586" i="1"/>
  <c r="H1587" i="1"/>
  <c r="H1588" i="1"/>
  <c r="J1588" i="1" s="1"/>
  <c r="H1589" i="1"/>
  <c r="J1589" i="1" s="1"/>
  <c r="H1590" i="1"/>
  <c r="H1591" i="1"/>
  <c r="H1592" i="1"/>
  <c r="J1592" i="1" s="1"/>
  <c r="H1593" i="1"/>
  <c r="J1593" i="1" s="1"/>
  <c r="H1594" i="1"/>
  <c r="H1595" i="1"/>
  <c r="H1596" i="1"/>
  <c r="J1596" i="1" s="1"/>
  <c r="H1597" i="1"/>
  <c r="J1597" i="1" s="1"/>
  <c r="H1598" i="1"/>
  <c r="H1599" i="1"/>
  <c r="H1600" i="1"/>
  <c r="J1600" i="1" s="1"/>
  <c r="H1601" i="1"/>
  <c r="J1601" i="1" s="1"/>
  <c r="H1602" i="1"/>
  <c r="H1603" i="1"/>
  <c r="H1604" i="1"/>
  <c r="J1604" i="1" s="1"/>
  <c r="H1605" i="1"/>
  <c r="J1605" i="1" s="1"/>
  <c r="H1606" i="1"/>
  <c r="H1607" i="1"/>
  <c r="H1608" i="1"/>
  <c r="J1608" i="1" s="1"/>
  <c r="H1609" i="1"/>
  <c r="J1609" i="1" s="1"/>
  <c r="H1610" i="1"/>
  <c r="H1611" i="1"/>
  <c r="H1612" i="1"/>
  <c r="J1612" i="1" s="1"/>
  <c r="H1613" i="1"/>
  <c r="J1613" i="1" s="1"/>
  <c r="H1614" i="1"/>
  <c r="H1615" i="1"/>
  <c r="H1616" i="1"/>
  <c r="J1616" i="1" s="1"/>
  <c r="H1617" i="1"/>
  <c r="J1617" i="1" s="1"/>
  <c r="H1618" i="1"/>
  <c r="H1619" i="1"/>
  <c r="H1620" i="1"/>
  <c r="J1620" i="1" s="1"/>
  <c r="H1621" i="1"/>
  <c r="J1621" i="1" s="1"/>
  <c r="H1622" i="1"/>
  <c r="H1623" i="1"/>
  <c r="H1624" i="1"/>
  <c r="J1624" i="1" s="1"/>
  <c r="H1625" i="1"/>
  <c r="J1625" i="1" s="1"/>
  <c r="H1626" i="1"/>
  <c r="H1627" i="1"/>
  <c r="H1628" i="1"/>
  <c r="J1628" i="1" s="1"/>
  <c r="H1629" i="1"/>
  <c r="J1629" i="1" s="1"/>
  <c r="H1630" i="1"/>
  <c r="H1631" i="1"/>
  <c r="H1632" i="1"/>
  <c r="J1632" i="1" s="1"/>
  <c r="H1633" i="1"/>
  <c r="J1633" i="1" s="1"/>
  <c r="H1634" i="1"/>
  <c r="H1635" i="1"/>
  <c r="H1636" i="1"/>
  <c r="J1636" i="1" s="1"/>
  <c r="H1637" i="1"/>
  <c r="J1637" i="1" s="1"/>
  <c r="H1638" i="1"/>
  <c r="H1639" i="1"/>
  <c r="H1640" i="1"/>
  <c r="J1640" i="1" s="1"/>
  <c r="H1641" i="1"/>
  <c r="J1641" i="1" s="1"/>
  <c r="H1642" i="1"/>
  <c r="H1643" i="1"/>
  <c r="H1644" i="1"/>
  <c r="J1644" i="1" s="1"/>
  <c r="H1645" i="1"/>
  <c r="J1645" i="1" s="1"/>
  <c r="H1646" i="1"/>
  <c r="H1647" i="1"/>
  <c r="H1648" i="1"/>
  <c r="J1648" i="1" s="1"/>
  <c r="H1649" i="1"/>
  <c r="J1649" i="1" s="1"/>
  <c r="H1650" i="1"/>
  <c r="H1651" i="1"/>
  <c r="H1652" i="1"/>
  <c r="J1652" i="1" s="1"/>
  <c r="H1653" i="1"/>
  <c r="J1653" i="1" s="1"/>
  <c r="H1654" i="1"/>
  <c r="H1655" i="1"/>
  <c r="H1656" i="1"/>
  <c r="J1656" i="1" s="1"/>
  <c r="H1657" i="1"/>
  <c r="J1657" i="1" s="1"/>
  <c r="H1658" i="1"/>
  <c r="H1659" i="1"/>
  <c r="H1660" i="1"/>
  <c r="J1660" i="1" s="1"/>
  <c r="H1661" i="1"/>
  <c r="J1661" i="1" s="1"/>
  <c r="H1662" i="1"/>
  <c r="H1663" i="1"/>
  <c r="H1664" i="1"/>
  <c r="J1664" i="1" s="1"/>
  <c r="H1665" i="1"/>
  <c r="J1665" i="1" s="1"/>
  <c r="H1666" i="1"/>
  <c r="H1667" i="1"/>
  <c r="H1668" i="1"/>
  <c r="J1668" i="1" s="1"/>
  <c r="H1669" i="1"/>
  <c r="J1669" i="1" s="1"/>
  <c r="H1670" i="1"/>
  <c r="H1671" i="1"/>
  <c r="H1672" i="1"/>
  <c r="J1672" i="1" s="1"/>
  <c r="H1673" i="1"/>
  <c r="J1673" i="1" s="1"/>
  <c r="H1674" i="1"/>
  <c r="H1675" i="1"/>
  <c r="H1676" i="1"/>
  <c r="J1676" i="1" s="1"/>
  <c r="H1677" i="1"/>
  <c r="J1677" i="1" s="1"/>
  <c r="H1678" i="1"/>
  <c r="H1679" i="1"/>
  <c r="H1680" i="1"/>
  <c r="J1680" i="1" s="1"/>
  <c r="H1681" i="1"/>
  <c r="J1681" i="1" s="1"/>
  <c r="H1682" i="1"/>
  <c r="H1683" i="1"/>
  <c r="H1684" i="1"/>
  <c r="J1684" i="1" s="1"/>
  <c r="H1685" i="1"/>
  <c r="J1685" i="1" s="1"/>
  <c r="H1686" i="1"/>
  <c r="H1687" i="1"/>
  <c r="H1688" i="1"/>
  <c r="J1688" i="1" s="1"/>
  <c r="H1689" i="1"/>
  <c r="J1689" i="1" s="1"/>
  <c r="H1690" i="1"/>
  <c r="H1691" i="1"/>
  <c r="H1692" i="1"/>
  <c r="J1692" i="1" s="1"/>
  <c r="H1693" i="1"/>
  <c r="J1693" i="1" s="1"/>
  <c r="H1694" i="1"/>
  <c r="H1695" i="1"/>
  <c r="H1696" i="1"/>
  <c r="J1696" i="1" s="1"/>
  <c r="H1697" i="1"/>
  <c r="J1697" i="1" s="1"/>
  <c r="H1698" i="1"/>
  <c r="H1699" i="1"/>
  <c r="H1700" i="1"/>
  <c r="J1700" i="1" s="1"/>
  <c r="H1701" i="1"/>
  <c r="J1701" i="1" s="1"/>
  <c r="H1702" i="1"/>
  <c r="H1703" i="1"/>
  <c r="H1704" i="1"/>
  <c r="J1704" i="1" s="1"/>
  <c r="H1705" i="1"/>
  <c r="J1705" i="1" s="1"/>
  <c r="H1706" i="1"/>
  <c r="H1707" i="1"/>
  <c r="H1708" i="1"/>
  <c r="J1708" i="1" s="1"/>
  <c r="H1709" i="1"/>
  <c r="J1709" i="1" s="1"/>
  <c r="H1710" i="1"/>
  <c r="H1711" i="1"/>
  <c r="H1712" i="1"/>
  <c r="J1712" i="1" s="1"/>
  <c r="H1713" i="1"/>
  <c r="J1713" i="1" s="1"/>
  <c r="H1714" i="1"/>
  <c r="H1715" i="1"/>
  <c r="H1716" i="1"/>
  <c r="J1716" i="1" s="1"/>
  <c r="H1717" i="1"/>
  <c r="J1717" i="1" s="1"/>
  <c r="H1718" i="1"/>
  <c r="H1719" i="1"/>
  <c r="H1720" i="1"/>
  <c r="J1720" i="1" s="1"/>
  <c r="H1721" i="1"/>
  <c r="J1721" i="1" s="1"/>
  <c r="H1722" i="1"/>
  <c r="H1723" i="1"/>
  <c r="H1724" i="1"/>
  <c r="J1724" i="1" s="1"/>
  <c r="H1725" i="1"/>
  <c r="J1725" i="1" s="1"/>
  <c r="H1726" i="1"/>
  <c r="H1727" i="1"/>
  <c r="H1728" i="1"/>
  <c r="J1728" i="1" s="1"/>
  <c r="H1729" i="1"/>
  <c r="J1729" i="1" s="1"/>
  <c r="H1730" i="1"/>
  <c r="H1731" i="1"/>
  <c r="H1732" i="1"/>
  <c r="J1732" i="1" s="1"/>
  <c r="H1733" i="1"/>
  <c r="J1733" i="1" s="1"/>
  <c r="H1734" i="1"/>
  <c r="H1735" i="1"/>
  <c r="H1736" i="1"/>
  <c r="J1736" i="1" s="1"/>
  <c r="H1737" i="1"/>
  <c r="J1737" i="1" s="1"/>
  <c r="H1738" i="1"/>
  <c r="H1739" i="1"/>
  <c r="H1740" i="1"/>
  <c r="J1740" i="1" s="1"/>
  <c r="H1741" i="1"/>
  <c r="J1741" i="1" s="1"/>
  <c r="H1742" i="1"/>
  <c r="H1743" i="1"/>
  <c r="H1744" i="1"/>
  <c r="J1744" i="1" s="1"/>
  <c r="H1745" i="1"/>
  <c r="J1745" i="1" s="1"/>
  <c r="H1746" i="1"/>
  <c r="H1747" i="1"/>
  <c r="H1748" i="1"/>
  <c r="J1748" i="1" s="1"/>
  <c r="H1749" i="1"/>
  <c r="J1749" i="1" s="1"/>
  <c r="H1750" i="1"/>
  <c r="H1751" i="1"/>
  <c r="H1752" i="1"/>
  <c r="J1752" i="1" s="1"/>
  <c r="H1753" i="1"/>
  <c r="J1753" i="1" s="1"/>
  <c r="H1754" i="1"/>
  <c r="H1755" i="1"/>
  <c r="H1756" i="1"/>
  <c r="J1756" i="1" s="1"/>
  <c r="H1757" i="1"/>
  <c r="J1757" i="1" s="1"/>
  <c r="H1758" i="1"/>
  <c r="H1759" i="1"/>
  <c r="H1760" i="1"/>
  <c r="J1760" i="1" s="1"/>
  <c r="H1761" i="1"/>
  <c r="J1761" i="1" s="1"/>
  <c r="H1762" i="1"/>
  <c r="H1763" i="1"/>
  <c r="H1764" i="1"/>
  <c r="J1764" i="1" s="1"/>
  <c r="H1765" i="1"/>
  <c r="J1765" i="1" s="1"/>
  <c r="H1766" i="1"/>
  <c r="H1767" i="1"/>
  <c r="H1768" i="1"/>
  <c r="J1768" i="1" s="1"/>
  <c r="H1769" i="1"/>
  <c r="J1769" i="1" s="1"/>
  <c r="H1770" i="1"/>
  <c r="H1771" i="1"/>
  <c r="H1772" i="1"/>
  <c r="J1772" i="1" s="1"/>
  <c r="H1773" i="1"/>
  <c r="J1773" i="1" s="1"/>
  <c r="H1774" i="1"/>
  <c r="H1775" i="1"/>
  <c r="H1776" i="1"/>
  <c r="J1776" i="1" s="1"/>
  <c r="H1777" i="1"/>
  <c r="J1777" i="1" s="1"/>
  <c r="H1778" i="1"/>
  <c r="H1779" i="1"/>
  <c r="H1780" i="1"/>
  <c r="J1780" i="1" s="1"/>
  <c r="H1781" i="1"/>
  <c r="J1781" i="1" s="1"/>
  <c r="H1782" i="1"/>
  <c r="H1783" i="1"/>
  <c r="H1784" i="1"/>
  <c r="J1784" i="1" s="1"/>
  <c r="H1785" i="1"/>
  <c r="J1785" i="1" s="1"/>
  <c r="H1786" i="1"/>
  <c r="H1787" i="1"/>
  <c r="H1788" i="1"/>
  <c r="J1788" i="1" s="1"/>
  <c r="H1789" i="1"/>
  <c r="J1789" i="1" s="1"/>
  <c r="H1790" i="1"/>
  <c r="H1791" i="1"/>
  <c r="H1792" i="1"/>
  <c r="J1792" i="1" s="1"/>
  <c r="H1793" i="1"/>
  <c r="J1793" i="1" s="1"/>
  <c r="H1794" i="1"/>
  <c r="H1795" i="1"/>
  <c r="H1796" i="1"/>
  <c r="J1796" i="1" s="1"/>
  <c r="H1797" i="1"/>
  <c r="J1797" i="1" s="1"/>
  <c r="H1798" i="1"/>
  <c r="H1799" i="1"/>
  <c r="H1800" i="1"/>
  <c r="J1800" i="1" s="1"/>
  <c r="H1801" i="1"/>
  <c r="J1801" i="1" s="1"/>
  <c r="H1802" i="1"/>
  <c r="H1803" i="1"/>
  <c r="H1804" i="1"/>
  <c r="J1804" i="1" s="1"/>
  <c r="H1805" i="1"/>
  <c r="J1805" i="1" s="1"/>
  <c r="H1806" i="1"/>
  <c r="H1807" i="1"/>
  <c r="H1808" i="1"/>
  <c r="J1808" i="1" s="1"/>
  <c r="H1809" i="1"/>
  <c r="J1809" i="1" s="1"/>
  <c r="H1810" i="1"/>
  <c r="H1811" i="1"/>
  <c r="H1812" i="1"/>
  <c r="J1812" i="1" s="1"/>
  <c r="H1813" i="1"/>
  <c r="J1813" i="1" s="1"/>
  <c r="H1814" i="1"/>
  <c r="H1815" i="1"/>
  <c r="H1816" i="1"/>
  <c r="J1816" i="1" s="1"/>
  <c r="H1817" i="1"/>
  <c r="J1817" i="1" s="1"/>
  <c r="H1818" i="1"/>
  <c r="H1819" i="1"/>
  <c r="H1820" i="1"/>
  <c r="J1820" i="1" s="1"/>
  <c r="H1821" i="1"/>
  <c r="J1821" i="1" s="1"/>
  <c r="H1822" i="1"/>
  <c r="H1823" i="1"/>
  <c r="H1824" i="1"/>
  <c r="J1824" i="1" s="1"/>
  <c r="H1825" i="1"/>
  <c r="J1825" i="1" s="1"/>
  <c r="H1826" i="1"/>
  <c r="H1827" i="1"/>
  <c r="H1828" i="1"/>
  <c r="J1828" i="1" s="1"/>
  <c r="H1829" i="1"/>
  <c r="J1829" i="1" s="1"/>
  <c r="H1830" i="1"/>
  <c r="H1831" i="1"/>
  <c r="H1832" i="1"/>
  <c r="J1832" i="1" s="1"/>
  <c r="H1833" i="1"/>
  <c r="J1833" i="1" s="1"/>
  <c r="H1834" i="1"/>
  <c r="H1835" i="1"/>
  <c r="H1836" i="1"/>
  <c r="J1836" i="1" s="1"/>
  <c r="H1837" i="1"/>
  <c r="J1837" i="1" s="1"/>
  <c r="H1838" i="1"/>
  <c r="H1839" i="1"/>
  <c r="H1840" i="1"/>
  <c r="J1840" i="1" s="1"/>
  <c r="H1841" i="1"/>
  <c r="J1841" i="1" s="1"/>
  <c r="H1842" i="1"/>
  <c r="H1843" i="1"/>
  <c r="H1844" i="1"/>
  <c r="J1844" i="1" s="1"/>
  <c r="H1845" i="1"/>
  <c r="J1845" i="1" s="1"/>
  <c r="H1846" i="1"/>
  <c r="H1847" i="1"/>
  <c r="H1848" i="1"/>
  <c r="J1848" i="1" s="1"/>
  <c r="H1849" i="1"/>
  <c r="J1849" i="1" s="1"/>
  <c r="H1850" i="1"/>
  <c r="H1851" i="1"/>
  <c r="H1852" i="1"/>
  <c r="J1852" i="1" s="1"/>
  <c r="H1853" i="1"/>
  <c r="J1853" i="1" s="1"/>
  <c r="H1854" i="1"/>
  <c r="H1855" i="1"/>
  <c r="H1856" i="1"/>
  <c r="J1856" i="1" s="1"/>
  <c r="H1857" i="1"/>
  <c r="J1857" i="1" s="1"/>
  <c r="H1858" i="1"/>
  <c r="H1859" i="1"/>
  <c r="H1860" i="1"/>
  <c r="J1860" i="1" s="1"/>
  <c r="H1861" i="1"/>
  <c r="J1861" i="1" s="1"/>
  <c r="H1862" i="1"/>
  <c r="H1863" i="1"/>
  <c r="H1864" i="1"/>
  <c r="J1864" i="1" s="1"/>
  <c r="H1865" i="1"/>
  <c r="J1865" i="1" s="1"/>
  <c r="H1866" i="1"/>
  <c r="H1867" i="1"/>
  <c r="H1868" i="1"/>
  <c r="J1868" i="1" s="1"/>
  <c r="H1869" i="1"/>
  <c r="J1869" i="1" s="1"/>
  <c r="H1870" i="1"/>
  <c r="H1871" i="1"/>
  <c r="H1872" i="1"/>
  <c r="J1872" i="1" s="1"/>
  <c r="H1873" i="1"/>
  <c r="J1873" i="1" s="1"/>
  <c r="H1874" i="1"/>
  <c r="H1875" i="1"/>
  <c r="H1876" i="1"/>
  <c r="J1876" i="1" s="1"/>
  <c r="H1877" i="1"/>
  <c r="J1877" i="1" s="1"/>
  <c r="H1878" i="1"/>
  <c r="H1879" i="1"/>
  <c r="H1880" i="1"/>
  <c r="J1880" i="1" s="1"/>
  <c r="H1881" i="1"/>
  <c r="J1881" i="1" s="1"/>
  <c r="H1882" i="1"/>
  <c r="H1883" i="1"/>
  <c r="H1884" i="1"/>
  <c r="J1884" i="1" s="1"/>
  <c r="H1885" i="1"/>
  <c r="J1885" i="1" s="1"/>
  <c r="H1886" i="1"/>
  <c r="H1887" i="1"/>
  <c r="H1888" i="1"/>
  <c r="J1888" i="1" s="1"/>
  <c r="H1889" i="1"/>
  <c r="J1889" i="1" s="1"/>
  <c r="H1890" i="1"/>
  <c r="H1891" i="1"/>
  <c r="H1892" i="1"/>
  <c r="J1892" i="1" s="1"/>
  <c r="H1893" i="1"/>
  <c r="J1893" i="1" s="1"/>
  <c r="H1894" i="1"/>
  <c r="H1895" i="1"/>
  <c r="H1896" i="1"/>
  <c r="J1896" i="1" s="1"/>
  <c r="H1897" i="1"/>
  <c r="J1897" i="1" s="1"/>
  <c r="H1898" i="1"/>
  <c r="H1899" i="1"/>
  <c r="H1900" i="1"/>
  <c r="J1900" i="1" s="1"/>
  <c r="H1901" i="1"/>
  <c r="J1901" i="1" s="1"/>
  <c r="H1902" i="1"/>
  <c r="H1903" i="1"/>
  <c r="H1904" i="1"/>
  <c r="J1904" i="1" s="1"/>
  <c r="H1905" i="1"/>
  <c r="J1905" i="1" s="1"/>
  <c r="H1906" i="1"/>
  <c r="H1907" i="1"/>
  <c r="H1908" i="1"/>
  <c r="J1908" i="1" s="1"/>
  <c r="H1909" i="1"/>
  <c r="J1909" i="1" s="1"/>
  <c r="H1910" i="1"/>
  <c r="H1911" i="1"/>
  <c r="H1912" i="1"/>
  <c r="J1912" i="1" s="1"/>
  <c r="H1913" i="1"/>
  <c r="J1913" i="1" s="1"/>
  <c r="H1914" i="1"/>
  <c r="H1915" i="1"/>
  <c r="H1916" i="1"/>
  <c r="J1916" i="1" s="1"/>
  <c r="H1917" i="1"/>
  <c r="J1917" i="1" s="1"/>
  <c r="H1918" i="1"/>
  <c r="H1919" i="1"/>
  <c r="H1920" i="1"/>
  <c r="J1920" i="1" s="1"/>
  <c r="H1921" i="1"/>
  <c r="J1921" i="1" s="1"/>
  <c r="H1922" i="1"/>
  <c r="H1923" i="1"/>
  <c r="H1924" i="1"/>
  <c r="J1924" i="1" s="1"/>
  <c r="H1925" i="1"/>
  <c r="J1925" i="1" s="1"/>
  <c r="H1926" i="1"/>
  <c r="H1927" i="1"/>
  <c r="H1928" i="1"/>
  <c r="J1928" i="1" s="1"/>
  <c r="H1929" i="1"/>
  <c r="J1929" i="1" s="1"/>
  <c r="H1930" i="1"/>
  <c r="H1931" i="1"/>
  <c r="H1932" i="1"/>
  <c r="J1932" i="1" s="1"/>
  <c r="H1933" i="1"/>
  <c r="J1933" i="1" s="1"/>
  <c r="H1934" i="1"/>
  <c r="H1935" i="1"/>
  <c r="H1936" i="1"/>
  <c r="J1936" i="1" s="1"/>
  <c r="H1937" i="1"/>
  <c r="J1937" i="1" s="1"/>
  <c r="H1938" i="1"/>
  <c r="H1939" i="1"/>
  <c r="H1940" i="1"/>
  <c r="J1940" i="1" s="1"/>
  <c r="H1941" i="1"/>
  <c r="J1941" i="1" s="1"/>
  <c r="H1942" i="1"/>
  <c r="H1943" i="1"/>
  <c r="H1944" i="1"/>
  <c r="J1944" i="1" s="1"/>
  <c r="H1945" i="1"/>
  <c r="J1945" i="1" s="1"/>
  <c r="H1946" i="1"/>
  <c r="H1947" i="1"/>
  <c r="H1948" i="1"/>
  <c r="J1948" i="1" s="1"/>
  <c r="H1949" i="1"/>
  <c r="J1949" i="1" s="1"/>
  <c r="H1950" i="1"/>
  <c r="H1951" i="1"/>
  <c r="H1952" i="1"/>
  <c r="J1952" i="1" s="1"/>
  <c r="H1953" i="1"/>
  <c r="J1953" i="1" s="1"/>
  <c r="H1954" i="1"/>
  <c r="H1955" i="1"/>
  <c r="H1956" i="1"/>
  <c r="J1956" i="1" s="1"/>
  <c r="H1957" i="1"/>
  <c r="J1957" i="1" s="1"/>
  <c r="H1958" i="1"/>
  <c r="H1959" i="1"/>
  <c r="H1960" i="1"/>
  <c r="J1960" i="1" s="1"/>
  <c r="H1961" i="1"/>
  <c r="J1961" i="1" s="1"/>
  <c r="H1962" i="1"/>
  <c r="H1963" i="1"/>
  <c r="H1964" i="1"/>
  <c r="J1964" i="1" s="1"/>
  <c r="H1965" i="1"/>
  <c r="J1965" i="1" s="1"/>
  <c r="H1966" i="1"/>
  <c r="H1967" i="1"/>
  <c r="H1968" i="1"/>
  <c r="J1968" i="1" s="1"/>
  <c r="H1969" i="1"/>
  <c r="J1969" i="1" s="1"/>
  <c r="H1970" i="1"/>
  <c r="H1971" i="1"/>
  <c r="H1972" i="1"/>
  <c r="J1972" i="1" s="1"/>
  <c r="H1973" i="1"/>
  <c r="J1973" i="1" s="1"/>
  <c r="H1974" i="1"/>
  <c r="H1975" i="1"/>
  <c r="H1976" i="1"/>
  <c r="J1976" i="1" s="1"/>
  <c r="H1977" i="1"/>
  <c r="J1977" i="1" s="1"/>
  <c r="H1978" i="1"/>
  <c r="H1979" i="1"/>
  <c r="H1980" i="1"/>
  <c r="J1980" i="1" s="1"/>
  <c r="H1981" i="1"/>
  <c r="J1981" i="1" s="1"/>
  <c r="H1982" i="1"/>
  <c r="H1983" i="1"/>
  <c r="H1984" i="1"/>
  <c r="J1984" i="1" s="1"/>
  <c r="H1985" i="1"/>
  <c r="J1985" i="1" s="1"/>
  <c r="H1986" i="1"/>
  <c r="H1987" i="1"/>
  <c r="H1988" i="1"/>
  <c r="J1988" i="1" s="1"/>
  <c r="H1989" i="1"/>
  <c r="J1989" i="1" s="1"/>
  <c r="H1990" i="1"/>
  <c r="H1991" i="1"/>
  <c r="H1992" i="1"/>
  <c r="J1992" i="1" s="1"/>
  <c r="H1993" i="1"/>
  <c r="J1993" i="1" s="1"/>
  <c r="H1994" i="1"/>
  <c r="H1995" i="1"/>
  <c r="H1996" i="1"/>
  <c r="J1996" i="1" s="1"/>
  <c r="H1997" i="1"/>
  <c r="J1997" i="1" s="1"/>
  <c r="H1998" i="1"/>
  <c r="H1999" i="1"/>
  <c r="H2000" i="1"/>
  <c r="J2000" i="1" s="1"/>
  <c r="H2001" i="1"/>
  <c r="J2001" i="1" s="1"/>
  <c r="H2002" i="1"/>
  <c r="H2003" i="1"/>
  <c r="H2004" i="1"/>
  <c r="J2004" i="1" s="1"/>
  <c r="H2005" i="1"/>
  <c r="J2005" i="1" s="1"/>
  <c r="H2006" i="1"/>
  <c r="H2007" i="1"/>
  <c r="H2008" i="1"/>
  <c r="J2008" i="1" s="1"/>
  <c r="H2009" i="1"/>
  <c r="J2009" i="1" s="1"/>
  <c r="H2010" i="1"/>
  <c r="H2011" i="1"/>
  <c r="H2012" i="1"/>
  <c r="J2012" i="1" s="1"/>
  <c r="H2013" i="1"/>
  <c r="J2013" i="1" s="1"/>
  <c r="H2014" i="1"/>
  <c r="H2015" i="1"/>
  <c r="H2016" i="1"/>
  <c r="J2016" i="1" s="1"/>
  <c r="H2017" i="1"/>
  <c r="J2017" i="1" s="1"/>
  <c r="H2018" i="1"/>
  <c r="H2019" i="1"/>
  <c r="H2020" i="1"/>
  <c r="J2020" i="1" s="1"/>
  <c r="H2021" i="1"/>
  <c r="J2021" i="1" s="1"/>
  <c r="H2022" i="1"/>
  <c r="H2023" i="1"/>
  <c r="H2024" i="1"/>
  <c r="J2024" i="1" s="1"/>
  <c r="H2025" i="1"/>
  <c r="J2025" i="1" s="1"/>
  <c r="H2026" i="1"/>
  <c r="H2027" i="1"/>
  <c r="H2028" i="1"/>
  <c r="J2028" i="1" s="1"/>
  <c r="H2029" i="1"/>
  <c r="J2029" i="1" s="1"/>
  <c r="H2030" i="1"/>
  <c r="H2031" i="1"/>
  <c r="H2032" i="1"/>
  <c r="J2032" i="1" s="1"/>
  <c r="H2033" i="1"/>
  <c r="J2033" i="1" s="1"/>
  <c r="H2034" i="1"/>
  <c r="H2035" i="1"/>
  <c r="H2036" i="1"/>
  <c r="J2036" i="1" s="1"/>
  <c r="H2037" i="1"/>
  <c r="J2037" i="1" s="1"/>
  <c r="H2038" i="1"/>
  <c r="H2039" i="1"/>
  <c r="H2040" i="1"/>
  <c r="J2040" i="1" s="1"/>
  <c r="H2041" i="1"/>
  <c r="J2041" i="1" s="1"/>
  <c r="H2042" i="1"/>
  <c r="H2043" i="1"/>
  <c r="H2044" i="1"/>
  <c r="J2044" i="1" s="1"/>
  <c r="H2045" i="1"/>
  <c r="J2045" i="1" s="1"/>
  <c r="H2046" i="1"/>
  <c r="H2047" i="1"/>
  <c r="H2048" i="1"/>
  <c r="J2048" i="1" s="1"/>
  <c r="H2049" i="1"/>
  <c r="J2049" i="1" s="1"/>
  <c r="H2050" i="1"/>
  <c r="H2051" i="1"/>
  <c r="H2052" i="1"/>
  <c r="J2052" i="1" s="1"/>
  <c r="H2053" i="1"/>
  <c r="J2053" i="1" s="1"/>
  <c r="H2054" i="1"/>
  <c r="H2055" i="1"/>
  <c r="H2056" i="1"/>
  <c r="J2056" i="1" s="1"/>
  <c r="H2057" i="1"/>
  <c r="J2057" i="1" s="1"/>
  <c r="H2058" i="1"/>
  <c r="H2059" i="1"/>
  <c r="H2060" i="1"/>
  <c r="J2060" i="1" s="1"/>
  <c r="H2061" i="1"/>
  <c r="J2061" i="1" s="1"/>
  <c r="H2062" i="1"/>
  <c r="H2063" i="1"/>
  <c r="H2064" i="1"/>
  <c r="J2064" i="1" s="1"/>
  <c r="H2065" i="1"/>
  <c r="J2065" i="1" s="1"/>
  <c r="H2066" i="1"/>
  <c r="H2067" i="1"/>
  <c r="H2068" i="1"/>
  <c r="J2068" i="1" s="1"/>
  <c r="H2069" i="1"/>
  <c r="J2069" i="1" s="1"/>
  <c r="H2070" i="1"/>
  <c r="H2071" i="1"/>
  <c r="H2072" i="1"/>
  <c r="J2072" i="1" s="1"/>
  <c r="H2073" i="1"/>
  <c r="J2073" i="1" s="1"/>
  <c r="H2074" i="1"/>
  <c r="H2075" i="1"/>
  <c r="H2076" i="1"/>
  <c r="J2076" i="1" s="1"/>
  <c r="H2077" i="1"/>
  <c r="J2077" i="1" s="1"/>
  <c r="H2078" i="1"/>
  <c r="H2079" i="1"/>
  <c r="H2080" i="1"/>
  <c r="J2080" i="1" s="1"/>
  <c r="H2081" i="1"/>
  <c r="J2081" i="1" s="1"/>
  <c r="H2082" i="1"/>
  <c r="H2083" i="1"/>
  <c r="H2084" i="1"/>
  <c r="J2084" i="1" s="1"/>
  <c r="H2085" i="1"/>
  <c r="J2085" i="1" s="1"/>
  <c r="H2086" i="1"/>
  <c r="H2087" i="1"/>
  <c r="H2088" i="1"/>
  <c r="J2088" i="1" s="1"/>
  <c r="H2089" i="1"/>
  <c r="J2089" i="1" s="1"/>
  <c r="H2090" i="1"/>
  <c r="H2091" i="1"/>
  <c r="H2092" i="1"/>
  <c r="J2092" i="1" s="1"/>
  <c r="H2093" i="1"/>
  <c r="J2093" i="1" s="1"/>
  <c r="H2094" i="1"/>
  <c r="H2095" i="1"/>
  <c r="H2096" i="1"/>
  <c r="J2096" i="1" s="1"/>
  <c r="H2097" i="1"/>
  <c r="J2097" i="1" s="1"/>
  <c r="H2098" i="1"/>
  <c r="H2099" i="1"/>
  <c r="H2100" i="1"/>
  <c r="J2100" i="1" s="1"/>
  <c r="H2101" i="1"/>
  <c r="J2101" i="1" s="1"/>
  <c r="H2102" i="1"/>
  <c r="H2103" i="1"/>
  <c r="H2104" i="1"/>
  <c r="J2104" i="1" s="1"/>
  <c r="H2105" i="1"/>
  <c r="J2105" i="1" s="1"/>
  <c r="H2106" i="1"/>
  <c r="H2107" i="1"/>
  <c r="H2108" i="1"/>
  <c r="J2108" i="1" s="1"/>
  <c r="H2109" i="1"/>
  <c r="J2109" i="1" s="1"/>
  <c r="H2110" i="1"/>
  <c r="H2111" i="1"/>
  <c r="H2112" i="1"/>
  <c r="J2112" i="1" s="1"/>
  <c r="H2113" i="1"/>
  <c r="J2113" i="1" s="1"/>
  <c r="H2114" i="1"/>
  <c r="H2115" i="1"/>
  <c r="H2116" i="1"/>
  <c r="J2116" i="1" s="1"/>
  <c r="H2117" i="1"/>
  <c r="J2117" i="1" s="1"/>
  <c r="H2118" i="1"/>
  <c r="H2119" i="1"/>
  <c r="H2120" i="1"/>
  <c r="J2120" i="1" s="1"/>
  <c r="H2121" i="1"/>
  <c r="J2121" i="1" s="1"/>
  <c r="H2122" i="1"/>
  <c r="H2123" i="1"/>
  <c r="H2124" i="1"/>
  <c r="J2124" i="1" s="1"/>
  <c r="H2125" i="1"/>
  <c r="J2125" i="1" s="1"/>
  <c r="H2126" i="1"/>
  <c r="H2127" i="1"/>
  <c r="H2128" i="1"/>
  <c r="J2128" i="1" s="1"/>
  <c r="H2129" i="1"/>
  <c r="J2129" i="1" s="1"/>
  <c r="H2130" i="1"/>
  <c r="H2131" i="1"/>
  <c r="H2132" i="1"/>
  <c r="J2132" i="1" s="1"/>
  <c r="H2133" i="1"/>
  <c r="J2133" i="1" s="1"/>
  <c r="H2134" i="1"/>
  <c r="H2135" i="1"/>
  <c r="H2136" i="1"/>
  <c r="J2136" i="1" s="1"/>
  <c r="H2137" i="1"/>
  <c r="J2137" i="1" s="1"/>
  <c r="H2138" i="1"/>
  <c r="H2139" i="1"/>
  <c r="H2140" i="1"/>
  <c r="J2140" i="1" s="1"/>
  <c r="H2141" i="1"/>
  <c r="J2141" i="1" s="1"/>
  <c r="H2142" i="1"/>
  <c r="H2143" i="1"/>
  <c r="H2144" i="1"/>
  <c r="J2144" i="1" s="1"/>
  <c r="H2145" i="1"/>
  <c r="J2145" i="1" s="1"/>
  <c r="H2146" i="1"/>
  <c r="H2147" i="1"/>
  <c r="H2148" i="1"/>
  <c r="J2148" i="1" s="1"/>
  <c r="H2149" i="1"/>
  <c r="J2149" i="1" s="1"/>
  <c r="H2150" i="1"/>
  <c r="H2151" i="1"/>
  <c r="H2152" i="1"/>
  <c r="J2152" i="1" s="1"/>
  <c r="H2153" i="1"/>
  <c r="J2153" i="1" s="1"/>
  <c r="H2154" i="1"/>
  <c r="H2155" i="1"/>
  <c r="H2156" i="1"/>
  <c r="J2156" i="1" s="1"/>
  <c r="H2157" i="1"/>
  <c r="J2157" i="1" s="1"/>
  <c r="H2158" i="1"/>
  <c r="H2159" i="1"/>
  <c r="H2160" i="1"/>
  <c r="J2160" i="1" s="1"/>
  <c r="H2161" i="1"/>
  <c r="J2161" i="1" s="1"/>
  <c r="H2162" i="1"/>
  <c r="H2163" i="1"/>
  <c r="H2164" i="1"/>
  <c r="J2164" i="1" s="1"/>
  <c r="H2165" i="1"/>
  <c r="J2165" i="1" s="1"/>
  <c r="H2166" i="1"/>
  <c r="H2167" i="1"/>
  <c r="H2168" i="1"/>
  <c r="J2168" i="1" s="1"/>
  <c r="H2169" i="1"/>
  <c r="J2169" i="1" s="1"/>
  <c r="H2170" i="1"/>
  <c r="H2171" i="1"/>
  <c r="H2172" i="1"/>
  <c r="J2172" i="1" s="1"/>
  <c r="H2173" i="1"/>
  <c r="J2173" i="1" s="1"/>
  <c r="H2174" i="1"/>
  <c r="H2175" i="1"/>
  <c r="H2176" i="1"/>
  <c r="J2176" i="1" s="1"/>
  <c r="H2177" i="1"/>
  <c r="J2177" i="1" s="1"/>
  <c r="H2178" i="1"/>
  <c r="H2179" i="1"/>
  <c r="H2180" i="1"/>
  <c r="J2180" i="1" s="1"/>
  <c r="H2181" i="1"/>
  <c r="J2181" i="1" s="1"/>
  <c r="H2182" i="1"/>
  <c r="H2183" i="1"/>
  <c r="H2184" i="1"/>
  <c r="J2184" i="1" s="1"/>
  <c r="H2185" i="1"/>
  <c r="J2185" i="1" s="1"/>
  <c r="H2186" i="1"/>
  <c r="H2187" i="1"/>
  <c r="H2188" i="1"/>
  <c r="J2188" i="1" s="1"/>
  <c r="H2189" i="1"/>
  <c r="J2189" i="1" s="1"/>
  <c r="H2190" i="1"/>
  <c r="H2191" i="1"/>
  <c r="H2192" i="1"/>
  <c r="J2192" i="1" s="1"/>
  <c r="H2193" i="1"/>
  <c r="J2193" i="1" s="1"/>
  <c r="H2194" i="1"/>
  <c r="H2195" i="1"/>
  <c r="H2196" i="1"/>
  <c r="J2196" i="1" s="1"/>
  <c r="H2197" i="1"/>
  <c r="J2197" i="1" s="1"/>
  <c r="H2198" i="1"/>
  <c r="H2199" i="1"/>
  <c r="H2200" i="1"/>
  <c r="J2200" i="1" s="1"/>
  <c r="H2201" i="1"/>
  <c r="J2201" i="1" s="1"/>
  <c r="H2202" i="1"/>
  <c r="H2203" i="1"/>
  <c r="H2204" i="1"/>
  <c r="J2204" i="1" s="1"/>
  <c r="H2205" i="1"/>
  <c r="J2205" i="1" s="1"/>
  <c r="H2206" i="1"/>
  <c r="H2207" i="1"/>
  <c r="H2208" i="1"/>
  <c r="J2208" i="1" s="1"/>
  <c r="H2209" i="1"/>
  <c r="J2209" i="1" s="1"/>
  <c r="H2210" i="1"/>
  <c r="H2211" i="1"/>
  <c r="H2212" i="1"/>
  <c r="J2212" i="1" s="1"/>
  <c r="H2213" i="1"/>
  <c r="J2213" i="1" s="1"/>
  <c r="H2214" i="1"/>
  <c r="H2215" i="1"/>
  <c r="H2216" i="1"/>
  <c r="J2216" i="1" s="1"/>
  <c r="H2217" i="1"/>
  <c r="J2217" i="1" s="1"/>
  <c r="H2218" i="1"/>
  <c r="H2219" i="1"/>
  <c r="H2220" i="1"/>
  <c r="J2220" i="1" s="1"/>
  <c r="H2221" i="1"/>
  <c r="J2221" i="1" s="1"/>
  <c r="H2222" i="1"/>
  <c r="H2223" i="1"/>
  <c r="H2224" i="1"/>
  <c r="J2224" i="1" s="1"/>
  <c r="H2225" i="1"/>
  <c r="J2225" i="1" s="1"/>
  <c r="H2226" i="1"/>
  <c r="H2227" i="1"/>
  <c r="H2228" i="1"/>
  <c r="J2228" i="1" s="1"/>
  <c r="H2229" i="1"/>
  <c r="J2229" i="1" s="1"/>
  <c r="H2230" i="1"/>
  <c r="H2231" i="1"/>
  <c r="H2232" i="1"/>
  <c r="J2232" i="1" s="1"/>
  <c r="H2233" i="1"/>
  <c r="J2233" i="1" s="1"/>
  <c r="H2234" i="1"/>
  <c r="H2235" i="1"/>
  <c r="H2236" i="1"/>
  <c r="J2236" i="1" s="1"/>
  <c r="H2237" i="1"/>
  <c r="J2237" i="1" s="1"/>
  <c r="H2238" i="1"/>
  <c r="H2239" i="1"/>
  <c r="H2240" i="1"/>
  <c r="J2240" i="1" s="1"/>
  <c r="H2241" i="1"/>
  <c r="J2241" i="1" s="1"/>
  <c r="H2242" i="1"/>
  <c r="H2243" i="1"/>
  <c r="H2244" i="1"/>
  <c r="J2244" i="1" s="1"/>
  <c r="H2245" i="1"/>
  <c r="J2245" i="1" s="1"/>
  <c r="H2246" i="1"/>
  <c r="H2247" i="1"/>
  <c r="H2248" i="1"/>
  <c r="J2248" i="1" s="1"/>
  <c r="H2249" i="1"/>
  <c r="J2249" i="1" s="1"/>
  <c r="H2250" i="1"/>
  <c r="H2251" i="1"/>
  <c r="H2252" i="1"/>
  <c r="J2252" i="1" s="1"/>
  <c r="H2253" i="1"/>
  <c r="J2253" i="1" s="1"/>
  <c r="H2254" i="1"/>
  <c r="H2255" i="1"/>
  <c r="H2256" i="1"/>
  <c r="J2256" i="1" s="1"/>
  <c r="H2257" i="1"/>
  <c r="J2257" i="1" s="1"/>
  <c r="H2258" i="1"/>
  <c r="H2259" i="1"/>
  <c r="H2260" i="1"/>
  <c r="J2260" i="1" s="1"/>
  <c r="H2261" i="1"/>
  <c r="J2261" i="1" s="1"/>
  <c r="H2262" i="1"/>
  <c r="H2263" i="1"/>
  <c r="H2264" i="1"/>
  <c r="J2264" i="1" s="1"/>
  <c r="H2265" i="1"/>
  <c r="J2265" i="1" s="1"/>
  <c r="H2266" i="1"/>
  <c r="H2267" i="1"/>
  <c r="H2268" i="1"/>
  <c r="J2268" i="1" s="1"/>
  <c r="H2269" i="1"/>
  <c r="J2269" i="1" s="1"/>
  <c r="H2270" i="1"/>
  <c r="H2271" i="1"/>
  <c r="H2272" i="1"/>
  <c r="J2272" i="1" s="1"/>
  <c r="H2273" i="1"/>
  <c r="J2273" i="1" s="1"/>
  <c r="H2274" i="1"/>
  <c r="H2275" i="1"/>
  <c r="H2276" i="1"/>
  <c r="J2276" i="1" s="1"/>
  <c r="H2277" i="1"/>
  <c r="J2277" i="1" s="1"/>
  <c r="H2278" i="1"/>
  <c r="H2279" i="1"/>
  <c r="H2280" i="1"/>
  <c r="J2280" i="1" s="1"/>
  <c r="H2281" i="1"/>
  <c r="J2281" i="1" s="1"/>
  <c r="H2282" i="1"/>
  <c r="H2283" i="1"/>
  <c r="H2284" i="1"/>
  <c r="J2284" i="1" s="1"/>
  <c r="H2285" i="1"/>
  <c r="J2285" i="1" s="1"/>
  <c r="H2286" i="1"/>
  <c r="H2287" i="1"/>
  <c r="H2288" i="1"/>
  <c r="J2288" i="1" s="1"/>
  <c r="H2289" i="1"/>
  <c r="J2289" i="1" s="1"/>
  <c r="H2290" i="1"/>
  <c r="H2291" i="1"/>
  <c r="H2292" i="1"/>
  <c r="J2292" i="1" s="1"/>
  <c r="H2293" i="1"/>
  <c r="J2293" i="1" s="1"/>
  <c r="H2294" i="1"/>
  <c r="H2295" i="1"/>
  <c r="H2296" i="1"/>
  <c r="J2296" i="1" s="1"/>
  <c r="H2297" i="1"/>
  <c r="J2297" i="1" s="1"/>
  <c r="H2298" i="1"/>
  <c r="H2299" i="1"/>
  <c r="H2300" i="1"/>
  <c r="J2300" i="1" s="1"/>
  <c r="H2301" i="1"/>
  <c r="J2301" i="1" s="1"/>
  <c r="H2302" i="1"/>
  <c r="H2303" i="1"/>
  <c r="H2304" i="1"/>
  <c r="J2304" i="1" s="1"/>
  <c r="H2305" i="1"/>
  <c r="J2305" i="1" s="1"/>
  <c r="H2306" i="1"/>
  <c r="H2307" i="1"/>
  <c r="H2308" i="1"/>
  <c r="J2308" i="1" s="1"/>
  <c r="H2309" i="1"/>
  <c r="J2309" i="1" s="1"/>
  <c r="H2310" i="1"/>
  <c r="H2311" i="1"/>
  <c r="H2312" i="1"/>
  <c r="J2312" i="1" s="1"/>
  <c r="H2313" i="1"/>
  <c r="J2313" i="1" s="1"/>
  <c r="H2314" i="1"/>
  <c r="H2315" i="1"/>
  <c r="H2316" i="1"/>
  <c r="J2316" i="1" s="1"/>
  <c r="H2317" i="1"/>
  <c r="J2317" i="1" s="1"/>
  <c r="H2318" i="1"/>
  <c r="H2319" i="1"/>
  <c r="H2320" i="1"/>
  <c r="J2320" i="1" s="1"/>
  <c r="H2321" i="1"/>
  <c r="J2321" i="1" s="1"/>
  <c r="H2322" i="1"/>
  <c r="H2323" i="1"/>
  <c r="H2324" i="1"/>
  <c r="J2324" i="1" s="1"/>
  <c r="H2325" i="1"/>
  <c r="J2325" i="1" s="1"/>
  <c r="H2326" i="1"/>
  <c r="H2327" i="1"/>
  <c r="H2328" i="1"/>
  <c r="J2328" i="1" s="1"/>
  <c r="H2329" i="1"/>
  <c r="J2329" i="1" s="1"/>
  <c r="H2330" i="1"/>
  <c r="H2331" i="1"/>
  <c r="H2332" i="1"/>
  <c r="J2332" i="1" s="1"/>
  <c r="H2333" i="1"/>
  <c r="J2333" i="1" s="1"/>
  <c r="H2334" i="1"/>
  <c r="H2335" i="1"/>
  <c r="H2336" i="1"/>
  <c r="J2336" i="1" s="1"/>
  <c r="H2337" i="1"/>
  <c r="J2337" i="1" s="1"/>
  <c r="H2338" i="1"/>
  <c r="H2339" i="1"/>
  <c r="H2340" i="1"/>
  <c r="J2340" i="1" s="1"/>
  <c r="H2341" i="1"/>
  <c r="J2341" i="1" s="1"/>
  <c r="H2342" i="1"/>
  <c r="H2343" i="1"/>
  <c r="H2344" i="1"/>
  <c r="J2344" i="1" s="1"/>
  <c r="H2345" i="1"/>
  <c r="J2345" i="1" s="1"/>
  <c r="H2346" i="1"/>
  <c r="H2347" i="1"/>
  <c r="H2348" i="1"/>
  <c r="J2348" i="1" s="1"/>
  <c r="H2349" i="1"/>
  <c r="J2349" i="1" s="1"/>
  <c r="H2350" i="1"/>
  <c r="H2351" i="1"/>
  <c r="H2352" i="1"/>
  <c r="J2352" i="1" s="1"/>
  <c r="H2353" i="1"/>
  <c r="J2353" i="1" s="1"/>
  <c r="H2354" i="1"/>
  <c r="H2355" i="1"/>
  <c r="H2356" i="1"/>
  <c r="J2356" i="1" s="1"/>
  <c r="H2357" i="1"/>
  <c r="J2357" i="1" s="1"/>
  <c r="H2358" i="1"/>
  <c r="H2359" i="1"/>
  <c r="H2360" i="1"/>
  <c r="J2360" i="1" s="1"/>
  <c r="H2361" i="1"/>
  <c r="J2361" i="1" s="1"/>
  <c r="H2362" i="1"/>
  <c r="H2363" i="1"/>
  <c r="H2364" i="1"/>
  <c r="J2364" i="1" s="1"/>
  <c r="H2365" i="1"/>
  <c r="J2365" i="1" s="1"/>
  <c r="H2366" i="1"/>
  <c r="H2367" i="1"/>
  <c r="H2368" i="1"/>
  <c r="J2368" i="1" s="1"/>
  <c r="H2369" i="1"/>
  <c r="J2369" i="1" s="1"/>
  <c r="H2370" i="1"/>
  <c r="H2371" i="1"/>
  <c r="H2372" i="1"/>
  <c r="J2372" i="1" s="1"/>
  <c r="H2373" i="1"/>
  <c r="J2373" i="1" s="1"/>
  <c r="H2374" i="1"/>
  <c r="H2375" i="1"/>
  <c r="H2376" i="1"/>
  <c r="J2376" i="1" s="1"/>
  <c r="H2377" i="1"/>
  <c r="J2377" i="1" s="1"/>
  <c r="H2378" i="1"/>
  <c r="H2379" i="1"/>
  <c r="H2380" i="1"/>
  <c r="J2380" i="1" s="1"/>
  <c r="H2381" i="1"/>
  <c r="J2381" i="1" s="1"/>
  <c r="H2382" i="1"/>
  <c r="H2383" i="1"/>
  <c r="H2384" i="1"/>
  <c r="J2384" i="1" s="1"/>
  <c r="H2385" i="1"/>
  <c r="J2385" i="1" s="1"/>
  <c r="H2386" i="1"/>
  <c r="H2387" i="1"/>
  <c r="H2388" i="1"/>
  <c r="J2388" i="1" s="1"/>
  <c r="H2389" i="1"/>
  <c r="J2389" i="1" s="1"/>
  <c r="H2390" i="1"/>
  <c r="H2391" i="1"/>
  <c r="H2392" i="1"/>
  <c r="J2392" i="1" s="1"/>
  <c r="H2393" i="1"/>
  <c r="J2393" i="1" s="1"/>
  <c r="H2394" i="1"/>
  <c r="H2395" i="1"/>
  <c r="H2396" i="1"/>
  <c r="J2396" i="1" s="1"/>
  <c r="H2397" i="1"/>
  <c r="J2397" i="1" s="1"/>
  <c r="H2398" i="1"/>
  <c r="H2399" i="1"/>
  <c r="H2400" i="1"/>
  <c r="J2400" i="1" s="1"/>
  <c r="H2401" i="1"/>
  <c r="J2401" i="1" s="1"/>
  <c r="H2402" i="1"/>
  <c r="H2403" i="1"/>
  <c r="H2404" i="1"/>
  <c r="J2404" i="1" s="1"/>
  <c r="H2405" i="1"/>
  <c r="J2405" i="1" s="1"/>
  <c r="H2406" i="1"/>
  <c r="H2407" i="1"/>
  <c r="H2408" i="1"/>
  <c r="J2408" i="1" s="1"/>
  <c r="H2409" i="1"/>
  <c r="J2409" i="1" s="1"/>
  <c r="H2410" i="1"/>
  <c r="H2411" i="1"/>
  <c r="H2412" i="1"/>
  <c r="J2412" i="1" s="1"/>
  <c r="H2413" i="1"/>
  <c r="J2413" i="1" s="1"/>
  <c r="H2414" i="1"/>
  <c r="H2415" i="1"/>
  <c r="H2416" i="1"/>
  <c r="J2416" i="1" s="1"/>
  <c r="H2417" i="1"/>
  <c r="J2417" i="1" s="1"/>
  <c r="H2418" i="1"/>
  <c r="H2419" i="1"/>
  <c r="H2420" i="1"/>
  <c r="J2420" i="1" s="1"/>
  <c r="H2421" i="1"/>
  <c r="J2421" i="1" s="1"/>
  <c r="H2422" i="1"/>
  <c r="H2423" i="1"/>
  <c r="H2424" i="1"/>
  <c r="J2424" i="1" s="1"/>
  <c r="H2425" i="1"/>
  <c r="J2425" i="1" s="1"/>
  <c r="H2426" i="1"/>
  <c r="H2427" i="1"/>
  <c r="H2428" i="1"/>
  <c r="J2428" i="1" s="1"/>
  <c r="H2429" i="1"/>
  <c r="J2429" i="1" s="1"/>
  <c r="H2430" i="1"/>
  <c r="H2431" i="1"/>
  <c r="H2432" i="1"/>
  <c r="J2432" i="1" s="1"/>
  <c r="H2433" i="1"/>
  <c r="J2433" i="1" s="1"/>
  <c r="H2434" i="1"/>
  <c r="H2435" i="1"/>
  <c r="H2436" i="1"/>
  <c r="J2436" i="1" s="1"/>
  <c r="H2437" i="1"/>
  <c r="J2437" i="1" s="1"/>
  <c r="H2438" i="1"/>
  <c r="H2439" i="1"/>
  <c r="H2440" i="1"/>
  <c r="J2440" i="1" s="1"/>
  <c r="H2441" i="1"/>
  <c r="J2441" i="1" s="1"/>
  <c r="H2442" i="1"/>
  <c r="H2443" i="1"/>
  <c r="H2444" i="1"/>
  <c r="J2444" i="1" s="1"/>
  <c r="H2445" i="1"/>
  <c r="J2445" i="1" s="1"/>
  <c r="H2446" i="1"/>
  <c r="H2447" i="1"/>
  <c r="H2448" i="1"/>
  <c r="J2448" i="1" s="1"/>
  <c r="H2449" i="1"/>
  <c r="J2449" i="1" s="1"/>
  <c r="H2450" i="1"/>
  <c r="H2451" i="1"/>
  <c r="H2452" i="1"/>
  <c r="J2452" i="1" s="1"/>
  <c r="H2453" i="1"/>
  <c r="J2453" i="1" s="1"/>
  <c r="H2454" i="1"/>
  <c r="H2455" i="1"/>
  <c r="H2456" i="1"/>
  <c r="J2456" i="1" s="1"/>
  <c r="H2457" i="1"/>
  <c r="J2457" i="1" s="1"/>
  <c r="H2458" i="1"/>
  <c r="H2459" i="1"/>
  <c r="H2460" i="1"/>
  <c r="J2460" i="1" s="1"/>
  <c r="H2461" i="1"/>
  <c r="J2461" i="1" s="1"/>
  <c r="H2462" i="1"/>
  <c r="H2463" i="1"/>
  <c r="H2464" i="1"/>
  <c r="J2464" i="1" s="1"/>
  <c r="H2465" i="1"/>
  <c r="J2465" i="1" s="1"/>
  <c r="H2466" i="1"/>
  <c r="H2467" i="1"/>
  <c r="H2468" i="1"/>
  <c r="J2468" i="1" s="1"/>
  <c r="H2469" i="1"/>
  <c r="J2469" i="1" s="1"/>
  <c r="H2470" i="1"/>
  <c r="H2471" i="1"/>
  <c r="H2472" i="1"/>
  <c r="J2472" i="1" s="1"/>
  <c r="H2473" i="1"/>
  <c r="J2473" i="1" s="1"/>
  <c r="H2474" i="1"/>
  <c r="H2475" i="1"/>
  <c r="H2476" i="1"/>
  <c r="J2476" i="1" s="1"/>
  <c r="H2477" i="1"/>
  <c r="J2477" i="1" s="1"/>
  <c r="H2478" i="1"/>
  <c r="H2479" i="1"/>
  <c r="H2480" i="1"/>
  <c r="J2480" i="1" s="1"/>
  <c r="H2481" i="1"/>
  <c r="J2481" i="1" s="1"/>
  <c r="H2482" i="1"/>
  <c r="H2483" i="1"/>
  <c r="H2484" i="1"/>
  <c r="J2484" i="1" s="1"/>
  <c r="H2485" i="1"/>
  <c r="J2485" i="1" s="1"/>
  <c r="H2486" i="1"/>
  <c r="H2487" i="1"/>
  <c r="H2488" i="1"/>
  <c r="J2488" i="1" s="1"/>
  <c r="H2489" i="1"/>
  <c r="J2489" i="1" s="1"/>
  <c r="H2490" i="1"/>
  <c r="H2491" i="1"/>
  <c r="H2492" i="1"/>
  <c r="J2492" i="1" s="1"/>
  <c r="H2493" i="1"/>
  <c r="J2493" i="1" s="1"/>
  <c r="H2494" i="1"/>
  <c r="H2495" i="1"/>
  <c r="H2496" i="1"/>
  <c r="J2496" i="1" s="1"/>
  <c r="H2497" i="1"/>
  <c r="J2497" i="1" s="1"/>
  <c r="H2498" i="1"/>
  <c r="H2499" i="1"/>
  <c r="H2500" i="1"/>
  <c r="J2500" i="1" s="1"/>
  <c r="H2501" i="1"/>
  <c r="J2501" i="1" s="1"/>
  <c r="H2502" i="1"/>
  <c r="H2503" i="1"/>
  <c r="H2504" i="1"/>
  <c r="J2504" i="1" s="1"/>
  <c r="H2505" i="1"/>
  <c r="J2505" i="1" s="1"/>
  <c r="H2506" i="1"/>
  <c r="H2507" i="1"/>
  <c r="H2508" i="1"/>
  <c r="J2508" i="1" s="1"/>
  <c r="H2509" i="1"/>
  <c r="J2509" i="1" s="1"/>
  <c r="H2510" i="1"/>
  <c r="H2511" i="1"/>
  <c r="H2512" i="1"/>
  <c r="J2512" i="1" s="1"/>
  <c r="H2513" i="1"/>
  <c r="J2513" i="1" s="1"/>
  <c r="H2514" i="1"/>
  <c r="H2515" i="1"/>
  <c r="H2516" i="1"/>
  <c r="J2516" i="1" s="1"/>
  <c r="H2517" i="1"/>
  <c r="J2517" i="1" s="1"/>
  <c r="H2518" i="1"/>
  <c r="H2519" i="1"/>
  <c r="H2520" i="1"/>
  <c r="J2520" i="1" s="1"/>
  <c r="H2521" i="1"/>
  <c r="J2521" i="1" s="1"/>
  <c r="H2522" i="1"/>
  <c r="H2523" i="1"/>
  <c r="H2524" i="1"/>
  <c r="J2524" i="1" s="1"/>
  <c r="H2525" i="1"/>
  <c r="J2525" i="1" s="1"/>
  <c r="H2526" i="1"/>
  <c r="H2527" i="1"/>
  <c r="H2528" i="1"/>
  <c r="J2528" i="1" s="1"/>
  <c r="H2529" i="1"/>
  <c r="J2529" i="1" s="1"/>
  <c r="H2530" i="1"/>
  <c r="H2531" i="1"/>
  <c r="H2532" i="1"/>
  <c r="J2532" i="1" s="1"/>
  <c r="H2533" i="1"/>
  <c r="J2533" i="1" s="1"/>
  <c r="H2534" i="1"/>
  <c r="H2535" i="1"/>
  <c r="H2536" i="1"/>
  <c r="J2536" i="1" s="1"/>
  <c r="H2537" i="1"/>
  <c r="J2537" i="1" s="1"/>
  <c r="H2538" i="1"/>
  <c r="H2539" i="1"/>
  <c r="H2540" i="1"/>
  <c r="J2540" i="1" s="1"/>
  <c r="H2541" i="1"/>
  <c r="J2541" i="1" s="1"/>
  <c r="H2542" i="1"/>
  <c r="H2543" i="1"/>
  <c r="H2544" i="1"/>
  <c r="J2544" i="1" s="1"/>
  <c r="H2545" i="1"/>
  <c r="J2545" i="1" s="1"/>
  <c r="H2546" i="1"/>
  <c r="H2547" i="1"/>
  <c r="H2548" i="1"/>
  <c r="J2548" i="1" s="1"/>
  <c r="H2549" i="1"/>
  <c r="J2549" i="1" s="1"/>
  <c r="H2550" i="1"/>
  <c r="H2551" i="1"/>
  <c r="H2552" i="1"/>
  <c r="J2552" i="1" s="1"/>
  <c r="H2553" i="1"/>
  <c r="J2553" i="1" s="1"/>
  <c r="H2554" i="1"/>
  <c r="H2555" i="1"/>
  <c r="H2556" i="1"/>
  <c r="J2556" i="1" s="1"/>
  <c r="H2557" i="1"/>
  <c r="J2557" i="1" s="1"/>
  <c r="H2558" i="1"/>
  <c r="H2559" i="1"/>
  <c r="H2560" i="1"/>
  <c r="J2560" i="1" s="1"/>
  <c r="H2561" i="1"/>
  <c r="J2561" i="1" s="1"/>
  <c r="H2562" i="1"/>
  <c r="H2563" i="1"/>
  <c r="H2564" i="1"/>
  <c r="J2564" i="1" s="1"/>
  <c r="H2565" i="1"/>
  <c r="J2565" i="1" s="1"/>
  <c r="H2566" i="1"/>
  <c r="H2567" i="1"/>
  <c r="H2568" i="1"/>
  <c r="J2568" i="1" s="1"/>
  <c r="H2569" i="1"/>
  <c r="J2569" i="1" s="1"/>
  <c r="H2570" i="1"/>
  <c r="H2571" i="1"/>
  <c r="H2572" i="1"/>
  <c r="J2572" i="1" s="1"/>
  <c r="H2573" i="1"/>
  <c r="J2573" i="1" s="1"/>
  <c r="H2574" i="1"/>
  <c r="H2575" i="1"/>
  <c r="H2576" i="1"/>
  <c r="J2576" i="1" s="1"/>
  <c r="H2577" i="1"/>
  <c r="J2577" i="1" s="1"/>
  <c r="H2578" i="1"/>
  <c r="H2579" i="1"/>
  <c r="H2580" i="1"/>
  <c r="J2580" i="1" s="1"/>
  <c r="H2581" i="1"/>
  <c r="J2581" i="1" s="1"/>
  <c r="H2582" i="1"/>
  <c r="H2583" i="1"/>
  <c r="H2584" i="1"/>
  <c r="J2584" i="1" s="1"/>
  <c r="H2585" i="1"/>
  <c r="J2585" i="1" s="1"/>
  <c r="H2586" i="1"/>
  <c r="H2587" i="1"/>
  <c r="H2588" i="1"/>
  <c r="J2588" i="1" s="1"/>
  <c r="H2589" i="1"/>
  <c r="J2589" i="1" s="1"/>
  <c r="H2590" i="1"/>
  <c r="H2591" i="1"/>
  <c r="H2592" i="1"/>
  <c r="J2592" i="1" s="1"/>
  <c r="H2593" i="1"/>
  <c r="J2593" i="1" s="1"/>
  <c r="H2594" i="1"/>
  <c r="H2595" i="1"/>
  <c r="H2596" i="1"/>
  <c r="J2596" i="1" s="1"/>
  <c r="H2597" i="1"/>
  <c r="J2597" i="1" s="1"/>
  <c r="H2598" i="1"/>
  <c r="H2599" i="1"/>
  <c r="H2600" i="1"/>
  <c r="J2600" i="1" s="1"/>
  <c r="H2601" i="1"/>
  <c r="J2601" i="1" s="1"/>
  <c r="H2602" i="1"/>
  <c r="H2603" i="1"/>
  <c r="H2604" i="1"/>
  <c r="J2604" i="1" s="1"/>
  <c r="H2605" i="1"/>
  <c r="J2605" i="1" s="1"/>
  <c r="H2606" i="1"/>
  <c r="H2607" i="1"/>
  <c r="H2608" i="1"/>
  <c r="J2608" i="1" s="1"/>
  <c r="H2609" i="1"/>
  <c r="J2609" i="1" s="1"/>
  <c r="H2610" i="1"/>
  <c r="H2611" i="1"/>
  <c r="H2612" i="1"/>
  <c r="J2612" i="1" s="1"/>
  <c r="H2613" i="1"/>
  <c r="J2613" i="1" s="1"/>
  <c r="H2614" i="1"/>
  <c r="H2615" i="1"/>
  <c r="H2616" i="1"/>
  <c r="J2616" i="1" s="1"/>
  <c r="H2617" i="1"/>
  <c r="J2617" i="1" s="1"/>
  <c r="H2618" i="1"/>
  <c r="H2619" i="1"/>
  <c r="H2620" i="1"/>
  <c r="J2620" i="1" s="1"/>
  <c r="H2621" i="1"/>
  <c r="J2621" i="1" s="1"/>
  <c r="H2622" i="1"/>
  <c r="H2623" i="1"/>
  <c r="H2624" i="1"/>
  <c r="J2624" i="1" s="1"/>
  <c r="H2625" i="1"/>
  <c r="J2625" i="1" s="1"/>
  <c r="H2626" i="1"/>
  <c r="H2627" i="1"/>
  <c r="H2628" i="1"/>
  <c r="J2628" i="1" s="1"/>
  <c r="H2629" i="1"/>
  <c r="J2629" i="1" s="1"/>
  <c r="H2630" i="1"/>
  <c r="H2631" i="1"/>
  <c r="H2632" i="1"/>
  <c r="J2632" i="1" s="1"/>
  <c r="H2633" i="1"/>
  <c r="J2633" i="1" s="1"/>
  <c r="H2634" i="1"/>
  <c r="H2635" i="1"/>
  <c r="H2636" i="1"/>
  <c r="J2636" i="1" s="1"/>
  <c r="H2637" i="1"/>
  <c r="J2637" i="1" s="1"/>
  <c r="H2638" i="1"/>
  <c r="H2639" i="1"/>
  <c r="H2640" i="1"/>
  <c r="J2640" i="1" s="1"/>
  <c r="H2641" i="1"/>
  <c r="J2641" i="1" s="1"/>
  <c r="H2642" i="1"/>
  <c r="H2643" i="1"/>
  <c r="H2644" i="1"/>
  <c r="J2644" i="1" s="1"/>
  <c r="H2645" i="1"/>
  <c r="J2645" i="1" s="1"/>
  <c r="H2646" i="1"/>
  <c r="H2647" i="1"/>
  <c r="H2648" i="1"/>
  <c r="J2648" i="1" s="1"/>
  <c r="H2649" i="1"/>
  <c r="J2649" i="1" s="1"/>
  <c r="H2650" i="1"/>
  <c r="H2651" i="1"/>
  <c r="H2652" i="1"/>
  <c r="J2652" i="1" s="1"/>
  <c r="H2653" i="1"/>
  <c r="J2653" i="1" s="1"/>
  <c r="H2654" i="1"/>
  <c r="H2655" i="1"/>
  <c r="H2656" i="1"/>
  <c r="J2656" i="1" s="1"/>
  <c r="H2657" i="1"/>
  <c r="J2657" i="1" s="1"/>
  <c r="H2658" i="1"/>
  <c r="H2659" i="1"/>
  <c r="H2660" i="1"/>
  <c r="J2660" i="1" s="1"/>
  <c r="H2661" i="1"/>
  <c r="J2661" i="1" s="1"/>
  <c r="H2662" i="1"/>
  <c r="H2663" i="1"/>
  <c r="H2664" i="1"/>
  <c r="J2664" i="1" s="1"/>
  <c r="H2665" i="1"/>
  <c r="J2665" i="1" s="1"/>
  <c r="H2666" i="1"/>
  <c r="H2667" i="1"/>
  <c r="H2668" i="1"/>
  <c r="J2668" i="1" s="1"/>
  <c r="H2669" i="1"/>
  <c r="J2669" i="1" s="1"/>
  <c r="H2670" i="1"/>
  <c r="H2671" i="1"/>
  <c r="H2672" i="1"/>
  <c r="J2672" i="1" s="1"/>
  <c r="H2673" i="1"/>
  <c r="J2673" i="1" s="1"/>
  <c r="H2674" i="1"/>
  <c r="H2675" i="1"/>
  <c r="H2676" i="1"/>
  <c r="J2676" i="1" s="1"/>
  <c r="H2677" i="1"/>
  <c r="J2677" i="1" s="1"/>
  <c r="H2678" i="1"/>
  <c r="H2679" i="1"/>
  <c r="H2680" i="1"/>
  <c r="J2680" i="1" s="1"/>
  <c r="H2681" i="1"/>
  <c r="J2681" i="1" s="1"/>
  <c r="H2682" i="1"/>
  <c r="H2683" i="1"/>
  <c r="H2684" i="1"/>
  <c r="J2684" i="1" s="1"/>
  <c r="H2685" i="1"/>
  <c r="J2685" i="1" s="1"/>
  <c r="H2686" i="1"/>
  <c r="H2687" i="1"/>
  <c r="H2688" i="1"/>
  <c r="J2688" i="1" s="1"/>
  <c r="H2689" i="1"/>
  <c r="J2689" i="1" s="1"/>
  <c r="H2690" i="1"/>
  <c r="H2691" i="1"/>
  <c r="H2692" i="1"/>
  <c r="J2692" i="1" s="1"/>
  <c r="H2693" i="1"/>
  <c r="J2693" i="1" s="1"/>
  <c r="H2694" i="1"/>
  <c r="H2695" i="1"/>
  <c r="H2696" i="1"/>
  <c r="J2696" i="1" s="1"/>
  <c r="H2697" i="1"/>
  <c r="J2697" i="1" s="1"/>
  <c r="H2698" i="1"/>
  <c r="H2699" i="1"/>
  <c r="H2700" i="1"/>
  <c r="J2700" i="1" s="1"/>
  <c r="H2701" i="1"/>
  <c r="J2701" i="1" s="1"/>
  <c r="H2702" i="1"/>
  <c r="H2703" i="1"/>
  <c r="H2704" i="1"/>
  <c r="J2704" i="1" s="1"/>
  <c r="H2705" i="1"/>
  <c r="J2705" i="1" s="1"/>
  <c r="H2706" i="1"/>
  <c r="H2707" i="1"/>
  <c r="H2708" i="1"/>
  <c r="J2708" i="1" s="1"/>
  <c r="H2709" i="1"/>
  <c r="J2709" i="1" s="1"/>
  <c r="H2710" i="1"/>
  <c r="H2711" i="1"/>
  <c r="H2712" i="1"/>
  <c r="J2712" i="1" s="1"/>
  <c r="H2713" i="1"/>
  <c r="J2713" i="1" s="1"/>
  <c r="H2714" i="1"/>
  <c r="H2715" i="1"/>
  <c r="H2716" i="1"/>
  <c r="J2716" i="1" s="1"/>
  <c r="H2717" i="1"/>
  <c r="J2717" i="1" s="1"/>
  <c r="H2718" i="1"/>
  <c r="H2719" i="1"/>
  <c r="H2720" i="1"/>
  <c r="J2720" i="1" s="1"/>
  <c r="H2721" i="1"/>
  <c r="J2721" i="1" s="1"/>
  <c r="H2722" i="1"/>
  <c r="H2723" i="1"/>
  <c r="H2724" i="1"/>
  <c r="J2724" i="1" s="1"/>
  <c r="H2725" i="1"/>
  <c r="J2725" i="1" s="1"/>
  <c r="H2726" i="1"/>
  <c r="H2727" i="1"/>
  <c r="H2728" i="1"/>
  <c r="J2728" i="1" s="1"/>
  <c r="H2729" i="1"/>
  <c r="J2729" i="1" s="1"/>
  <c r="H2730" i="1"/>
  <c r="H2731" i="1"/>
  <c r="H2732" i="1"/>
  <c r="J2732" i="1" s="1"/>
  <c r="H2733" i="1"/>
  <c r="J2733" i="1" s="1"/>
  <c r="H2734" i="1"/>
  <c r="H2735" i="1"/>
  <c r="H2736" i="1"/>
  <c r="J2736" i="1" s="1"/>
  <c r="H2737" i="1"/>
  <c r="J2737" i="1" s="1"/>
  <c r="H2738" i="1"/>
  <c r="H2739" i="1"/>
  <c r="H2740" i="1"/>
  <c r="J2740" i="1" s="1"/>
  <c r="H2741" i="1"/>
  <c r="J2741" i="1" s="1"/>
  <c r="H2742" i="1"/>
  <c r="H2743" i="1"/>
  <c r="H2744" i="1"/>
  <c r="J2744" i="1" s="1"/>
  <c r="H2745" i="1"/>
  <c r="J2745" i="1" s="1"/>
  <c r="H2746" i="1"/>
  <c r="H2747" i="1"/>
  <c r="H2748" i="1"/>
  <c r="J2748" i="1" s="1"/>
  <c r="H2749" i="1"/>
  <c r="J2749" i="1" s="1"/>
  <c r="H2750" i="1"/>
  <c r="H2751" i="1"/>
  <c r="H2752" i="1"/>
  <c r="J2752" i="1" s="1"/>
  <c r="H2753" i="1"/>
  <c r="J2753" i="1" s="1"/>
  <c r="H2754" i="1"/>
  <c r="H2755" i="1"/>
  <c r="H2756" i="1"/>
  <c r="J2756" i="1" s="1"/>
  <c r="H2757" i="1"/>
  <c r="J2757" i="1" s="1"/>
  <c r="H2758" i="1"/>
  <c r="H2759" i="1"/>
  <c r="H2760" i="1"/>
  <c r="J2760" i="1" s="1"/>
  <c r="H2761" i="1"/>
  <c r="J2761" i="1" s="1"/>
  <c r="H2762" i="1"/>
  <c r="H2763" i="1"/>
  <c r="H2764" i="1"/>
  <c r="J2764" i="1" s="1"/>
  <c r="H2765" i="1"/>
  <c r="J2765" i="1" s="1"/>
  <c r="H2766" i="1"/>
  <c r="H2767" i="1"/>
  <c r="H2768" i="1"/>
  <c r="J2768" i="1" s="1"/>
  <c r="H2769" i="1"/>
  <c r="J2769" i="1" s="1"/>
  <c r="H2770" i="1"/>
  <c r="H2771" i="1"/>
  <c r="H2772" i="1"/>
  <c r="J2772" i="1" s="1"/>
  <c r="H2773" i="1"/>
  <c r="J2773" i="1" s="1"/>
  <c r="H2774" i="1"/>
  <c r="H2775" i="1"/>
  <c r="H2776" i="1"/>
  <c r="J2776" i="1" s="1"/>
  <c r="H2777" i="1"/>
  <c r="J2777" i="1" s="1"/>
  <c r="H2778" i="1"/>
  <c r="H2779" i="1"/>
  <c r="H2780" i="1"/>
  <c r="J2780" i="1" s="1"/>
  <c r="H2781" i="1"/>
  <c r="J2781" i="1" s="1"/>
  <c r="H2782" i="1"/>
  <c r="H2783" i="1"/>
  <c r="H2784" i="1"/>
  <c r="J2784" i="1" s="1"/>
  <c r="H2785" i="1"/>
  <c r="J2785" i="1" s="1"/>
  <c r="H2786" i="1"/>
  <c r="H2787" i="1"/>
  <c r="H2788" i="1"/>
  <c r="J2788" i="1" s="1"/>
  <c r="H2789" i="1"/>
  <c r="J2789" i="1" s="1"/>
  <c r="H2790" i="1"/>
  <c r="H2791" i="1"/>
  <c r="H2792" i="1"/>
  <c r="J2792" i="1" s="1"/>
  <c r="H2793" i="1"/>
  <c r="J2793" i="1" s="1"/>
  <c r="H2794" i="1"/>
  <c r="H2795" i="1"/>
  <c r="H2796" i="1"/>
  <c r="J2796" i="1" s="1"/>
  <c r="H2797" i="1"/>
  <c r="J2797" i="1" s="1"/>
  <c r="H2798" i="1"/>
  <c r="H2799" i="1"/>
  <c r="H2800" i="1"/>
  <c r="J2800" i="1" s="1"/>
  <c r="H2801" i="1"/>
  <c r="J2801" i="1" s="1"/>
  <c r="H2802" i="1"/>
  <c r="H2803" i="1"/>
  <c r="H2804" i="1"/>
  <c r="J2804" i="1" s="1"/>
  <c r="H2805" i="1"/>
  <c r="J2805" i="1" s="1"/>
  <c r="H2806" i="1"/>
  <c r="H2807" i="1"/>
  <c r="H2808" i="1"/>
  <c r="J2808" i="1" s="1"/>
  <c r="H2809" i="1"/>
  <c r="J2809" i="1" s="1"/>
  <c r="H2810" i="1"/>
  <c r="H2811" i="1"/>
  <c r="H2812" i="1"/>
  <c r="J2812" i="1" s="1"/>
  <c r="H2813" i="1"/>
  <c r="J2813" i="1" s="1"/>
  <c r="H2814" i="1"/>
  <c r="H2815" i="1"/>
  <c r="H2816" i="1"/>
  <c r="J2816" i="1" s="1"/>
  <c r="H2817" i="1"/>
  <c r="J2817" i="1" s="1"/>
  <c r="H2818" i="1"/>
  <c r="H2819" i="1"/>
  <c r="H2820" i="1"/>
  <c r="J2820" i="1" s="1"/>
  <c r="H2821" i="1"/>
  <c r="J2821" i="1" s="1"/>
  <c r="H2822" i="1"/>
  <c r="H2823" i="1"/>
  <c r="H2824" i="1"/>
  <c r="J2824" i="1" s="1"/>
  <c r="H2825" i="1"/>
  <c r="J2825" i="1" s="1"/>
  <c r="H2826" i="1"/>
  <c r="H2827" i="1"/>
  <c r="H2828" i="1"/>
  <c r="J2828" i="1" s="1"/>
  <c r="H2829" i="1"/>
  <c r="J2829" i="1" s="1"/>
  <c r="H2830" i="1"/>
  <c r="H2831" i="1"/>
  <c r="H2832" i="1"/>
  <c r="J2832" i="1" s="1"/>
  <c r="H2833" i="1"/>
  <c r="J2833" i="1" s="1"/>
  <c r="H2834" i="1"/>
  <c r="H2835" i="1"/>
  <c r="H2836" i="1"/>
  <c r="J2836" i="1" s="1"/>
  <c r="H2837" i="1"/>
  <c r="J2837" i="1" s="1"/>
  <c r="H2838" i="1"/>
  <c r="H2839" i="1"/>
  <c r="H2840" i="1"/>
  <c r="J2840" i="1" s="1"/>
  <c r="H2841" i="1"/>
  <c r="J2841" i="1" s="1"/>
  <c r="H2842" i="1"/>
  <c r="H2843" i="1"/>
  <c r="H2844" i="1"/>
  <c r="J2844" i="1" s="1"/>
  <c r="H2845" i="1"/>
  <c r="J2845" i="1" s="1"/>
  <c r="H2846" i="1"/>
  <c r="H2847" i="1"/>
  <c r="H2848" i="1"/>
  <c r="J2848" i="1" s="1"/>
  <c r="H2849" i="1"/>
  <c r="J2849" i="1" s="1"/>
  <c r="H2850" i="1"/>
  <c r="H2851" i="1"/>
  <c r="H2852" i="1"/>
  <c r="J2852" i="1" s="1"/>
  <c r="H2853" i="1"/>
  <c r="J2853" i="1" s="1"/>
  <c r="H2854" i="1"/>
  <c r="H2855" i="1"/>
  <c r="H2856" i="1"/>
  <c r="J2856" i="1" s="1"/>
  <c r="H2857" i="1"/>
  <c r="J2857" i="1" s="1"/>
  <c r="H2858" i="1"/>
  <c r="H2859" i="1"/>
  <c r="H2860" i="1"/>
  <c r="J2860" i="1" s="1"/>
  <c r="H2861" i="1"/>
  <c r="J2861" i="1" s="1"/>
  <c r="H2862" i="1"/>
  <c r="H2863" i="1"/>
  <c r="H2864" i="1"/>
  <c r="J2864" i="1" s="1"/>
  <c r="H2865" i="1"/>
  <c r="J2865" i="1" s="1"/>
  <c r="H2866" i="1"/>
  <c r="H2867" i="1"/>
  <c r="H2868" i="1"/>
  <c r="J2868" i="1" s="1"/>
  <c r="H2869" i="1"/>
  <c r="J2869" i="1" s="1"/>
  <c r="H2870" i="1"/>
  <c r="H2871" i="1"/>
  <c r="H2872" i="1"/>
  <c r="J2872" i="1" s="1"/>
  <c r="H2873" i="1"/>
  <c r="J2873" i="1" s="1"/>
  <c r="H2874" i="1"/>
  <c r="H2875" i="1"/>
  <c r="H2876" i="1"/>
  <c r="J2876" i="1" s="1"/>
  <c r="H2877" i="1"/>
  <c r="J2877" i="1" s="1"/>
  <c r="H2878" i="1"/>
  <c r="H2879" i="1"/>
  <c r="H2880" i="1"/>
  <c r="J2880" i="1" s="1"/>
  <c r="H2881" i="1"/>
  <c r="J2881" i="1" s="1"/>
  <c r="H2882" i="1"/>
  <c r="H2883" i="1"/>
  <c r="H2884" i="1"/>
  <c r="J2884" i="1" s="1"/>
  <c r="H2885" i="1"/>
  <c r="J2885" i="1" s="1"/>
  <c r="H2886" i="1"/>
  <c r="H2887" i="1"/>
  <c r="H2888" i="1"/>
  <c r="J2888" i="1" s="1"/>
  <c r="H2889" i="1"/>
  <c r="J2889" i="1" s="1"/>
  <c r="H2890" i="1"/>
  <c r="H2891" i="1"/>
  <c r="H2892" i="1"/>
  <c r="J2892" i="1" s="1"/>
  <c r="H2893" i="1"/>
  <c r="J2893" i="1" s="1"/>
  <c r="H2894" i="1"/>
  <c r="H2895" i="1"/>
  <c r="H2896" i="1"/>
  <c r="J2896" i="1" s="1"/>
  <c r="H2897" i="1"/>
  <c r="J2897" i="1" s="1"/>
  <c r="H2898" i="1"/>
  <c r="H2899" i="1"/>
  <c r="H2900" i="1"/>
  <c r="J2900" i="1" s="1"/>
  <c r="H2901" i="1"/>
  <c r="J2901" i="1" s="1"/>
  <c r="H2902" i="1"/>
  <c r="H2903" i="1"/>
  <c r="H2904" i="1"/>
  <c r="J2904" i="1" s="1"/>
  <c r="H2905" i="1"/>
  <c r="J2905" i="1" s="1"/>
  <c r="H2906" i="1"/>
  <c r="H2907" i="1"/>
  <c r="H2908" i="1"/>
  <c r="J2908" i="1" s="1"/>
  <c r="H2909" i="1"/>
  <c r="J2909" i="1" s="1"/>
  <c r="H2910" i="1"/>
  <c r="H2911" i="1"/>
  <c r="H2912" i="1"/>
  <c r="J2912" i="1" s="1"/>
  <c r="H2913" i="1"/>
  <c r="J2913" i="1" s="1"/>
  <c r="H2914" i="1"/>
  <c r="H2915" i="1"/>
  <c r="H2916" i="1"/>
  <c r="J2916" i="1" s="1"/>
  <c r="H2917" i="1"/>
  <c r="J2917" i="1" s="1"/>
  <c r="H2918" i="1"/>
  <c r="H2919" i="1"/>
  <c r="H2920" i="1"/>
  <c r="J2920" i="1" s="1"/>
  <c r="H2921" i="1"/>
  <c r="J2921" i="1" s="1"/>
  <c r="H2922" i="1"/>
  <c r="H2923" i="1"/>
  <c r="H2924" i="1"/>
  <c r="J2924" i="1" s="1"/>
  <c r="H2925" i="1"/>
  <c r="J2925" i="1" s="1"/>
  <c r="H2926" i="1"/>
  <c r="H2927" i="1"/>
  <c r="H2928" i="1"/>
  <c r="J2928" i="1" s="1"/>
  <c r="H2929" i="1"/>
  <c r="J2929" i="1" s="1"/>
  <c r="H2930" i="1"/>
  <c r="H2931" i="1"/>
  <c r="H2932" i="1"/>
  <c r="J2932" i="1" s="1"/>
  <c r="H2933" i="1"/>
  <c r="J2933" i="1" s="1"/>
  <c r="H2934" i="1"/>
  <c r="H2935" i="1"/>
  <c r="H2936" i="1"/>
  <c r="J2936" i="1" s="1"/>
  <c r="H2937" i="1"/>
  <c r="J2937" i="1" s="1"/>
  <c r="H2938" i="1"/>
  <c r="H2939" i="1"/>
  <c r="H2940" i="1"/>
  <c r="J2940" i="1" s="1"/>
  <c r="H2941" i="1"/>
  <c r="J2941" i="1" s="1"/>
  <c r="H2942" i="1"/>
  <c r="H2943" i="1"/>
  <c r="H2944" i="1"/>
  <c r="J2944" i="1" s="1"/>
  <c r="H2945" i="1"/>
  <c r="J2945" i="1" s="1"/>
  <c r="H2946" i="1"/>
  <c r="H2947" i="1"/>
  <c r="H2948" i="1"/>
  <c r="J2948" i="1" s="1"/>
  <c r="H2949" i="1"/>
  <c r="J2949" i="1" s="1"/>
  <c r="H2950" i="1"/>
  <c r="H2951" i="1"/>
  <c r="H2952" i="1"/>
  <c r="J2952" i="1" s="1"/>
  <c r="H2953" i="1"/>
  <c r="J2953" i="1" s="1"/>
  <c r="H2954" i="1"/>
  <c r="H2955" i="1"/>
  <c r="H2956" i="1"/>
  <c r="J2956" i="1" s="1"/>
  <c r="H2957" i="1"/>
  <c r="J2957" i="1" s="1"/>
  <c r="H2958" i="1"/>
  <c r="H2959" i="1"/>
  <c r="H2960" i="1"/>
  <c r="J2960" i="1" s="1"/>
  <c r="H2961" i="1"/>
  <c r="J2961" i="1" s="1"/>
  <c r="H2962" i="1"/>
  <c r="H2963" i="1"/>
  <c r="H2964" i="1"/>
  <c r="J2964" i="1" s="1"/>
  <c r="H2965" i="1"/>
  <c r="J2965" i="1" s="1"/>
  <c r="H2966" i="1"/>
  <c r="H2967" i="1"/>
  <c r="H2968" i="1"/>
  <c r="J2968" i="1" s="1"/>
  <c r="H2969" i="1"/>
  <c r="J2969" i="1" s="1"/>
  <c r="H2970" i="1"/>
  <c r="H2971" i="1"/>
  <c r="H2972" i="1"/>
  <c r="J2972" i="1" s="1"/>
  <c r="H2973" i="1"/>
  <c r="J2973" i="1" s="1"/>
  <c r="H2974" i="1"/>
  <c r="H2975" i="1"/>
  <c r="H2976" i="1"/>
  <c r="J2976" i="1" s="1"/>
  <c r="H2977" i="1"/>
  <c r="J2977" i="1" s="1"/>
  <c r="H2978" i="1"/>
  <c r="H2979" i="1"/>
  <c r="H2980" i="1"/>
  <c r="J2980" i="1" s="1"/>
  <c r="H2981" i="1"/>
  <c r="J2981" i="1" s="1"/>
  <c r="H2982" i="1"/>
  <c r="H2983" i="1"/>
  <c r="H2984" i="1"/>
  <c r="J2984" i="1" s="1"/>
  <c r="H2985" i="1"/>
  <c r="J2985" i="1" s="1"/>
  <c r="H2986" i="1"/>
  <c r="H2987" i="1"/>
  <c r="H2988" i="1"/>
  <c r="J2988" i="1" s="1"/>
  <c r="H2989" i="1"/>
  <c r="J2989" i="1" s="1"/>
  <c r="H2990" i="1"/>
  <c r="H2991" i="1"/>
  <c r="H2992" i="1"/>
  <c r="J2992" i="1" s="1"/>
  <c r="H2993" i="1"/>
  <c r="J2993" i="1" s="1"/>
  <c r="H2994" i="1"/>
  <c r="H2995" i="1"/>
  <c r="H2996" i="1"/>
  <c r="J2996" i="1" s="1"/>
  <c r="H2997" i="1"/>
  <c r="J2997" i="1" s="1"/>
  <c r="H2998" i="1"/>
  <c r="H2999" i="1"/>
  <c r="H3000" i="1"/>
  <c r="J3000" i="1" s="1"/>
  <c r="H3001" i="1"/>
  <c r="J3001" i="1" s="1"/>
  <c r="H3002" i="1"/>
  <c r="H3003" i="1"/>
  <c r="H3004" i="1"/>
  <c r="J3004" i="1" s="1"/>
  <c r="H3005" i="1"/>
  <c r="J3005" i="1" s="1"/>
  <c r="H3006" i="1"/>
  <c r="H3007" i="1"/>
  <c r="H3008" i="1"/>
  <c r="J3008" i="1" s="1"/>
  <c r="H3009" i="1"/>
  <c r="J3009" i="1" s="1"/>
  <c r="H3010" i="1"/>
  <c r="H3011" i="1"/>
  <c r="H3012" i="1"/>
  <c r="J3012" i="1" s="1"/>
  <c r="H3013" i="1"/>
  <c r="J3013" i="1" s="1"/>
  <c r="H3014" i="1"/>
  <c r="H3015" i="1"/>
  <c r="H3016" i="1"/>
  <c r="J3016" i="1" s="1"/>
  <c r="H3017" i="1"/>
  <c r="J3017" i="1" s="1"/>
  <c r="H3018" i="1"/>
  <c r="H3019" i="1"/>
  <c r="H3020" i="1"/>
  <c r="J3020" i="1" s="1"/>
  <c r="H3021" i="1"/>
  <c r="J3021" i="1" s="1"/>
  <c r="H3022" i="1"/>
  <c r="H3023" i="1"/>
  <c r="H3024" i="1"/>
  <c r="J3024" i="1" s="1"/>
  <c r="H3025" i="1"/>
  <c r="J3025" i="1" s="1"/>
  <c r="H3026" i="1"/>
  <c r="H3027" i="1"/>
  <c r="H3028" i="1"/>
  <c r="J3028" i="1" s="1"/>
  <c r="H3029" i="1"/>
  <c r="J3029" i="1" s="1"/>
  <c r="H3030" i="1"/>
  <c r="H3031" i="1"/>
  <c r="H3032" i="1"/>
  <c r="J3032" i="1" s="1"/>
  <c r="H3033" i="1"/>
  <c r="J3033" i="1" s="1"/>
  <c r="H3034" i="1"/>
  <c r="H3035" i="1"/>
  <c r="H3036" i="1"/>
  <c r="J3036" i="1" s="1"/>
  <c r="H3037" i="1"/>
  <c r="J3037" i="1" s="1"/>
  <c r="H3038" i="1"/>
  <c r="H3039" i="1"/>
  <c r="H3040" i="1"/>
  <c r="J3040" i="1" s="1"/>
  <c r="H3041" i="1"/>
  <c r="J3041" i="1" s="1"/>
  <c r="H3042" i="1"/>
  <c r="H3043" i="1"/>
  <c r="H3044" i="1"/>
  <c r="J3044" i="1" s="1"/>
  <c r="H3045" i="1"/>
  <c r="J3045" i="1" s="1"/>
  <c r="H3046" i="1"/>
  <c r="H3047" i="1"/>
  <c r="H3048" i="1"/>
  <c r="J3048" i="1" s="1"/>
  <c r="H3049" i="1"/>
  <c r="J3049" i="1" s="1"/>
  <c r="H3050" i="1"/>
  <c r="H3051" i="1"/>
  <c r="H3052" i="1"/>
  <c r="J3052" i="1" s="1"/>
  <c r="H3053" i="1"/>
  <c r="J3053" i="1" s="1"/>
  <c r="H3054" i="1"/>
  <c r="H3055" i="1"/>
  <c r="H3056" i="1"/>
  <c r="J3056" i="1" s="1"/>
  <c r="H3057" i="1"/>
  <c r="J3057" i="1" s="1"/>
  <c r="H3058" i="1"/>
  <c r="H3059" i="1"/>
  <c r="H3060" i="1"/>
  <c r="J3060" i="1" s="1"/>
  <c r="H3061" i="1"/>
  <c r="J3061" i="1" s="1"/>
  <c r="H3062" i="1"/>
  <c r="H3063" i="1"/>
  <c r="H3064" i="1"/>
  <c r="J3064" i="1" s="1"/>
  <c r="H3065" i="1"/>
  <c r="J3065" i="1" s="1"/>
  <c r="H3066" i="1"/>
  <c r="H3067" i="1"/>
  <c r="H3068" i="1"/>
  <c r="J3068" i="1" s="1"/>
  <c r="H3069" i="1"/>
  <c r="J3069" i="1" s="1"/>
  <c r="H3070" i="1"/>
  <c r="H3071" i="1"/>
  <c r="H3072" i="1"/>
  <c r="J3072" i="1" s="1"/>
  <c r="H3073" i="1"/>
  <c r="J3073" i="1" s="1"/>
  <c r="H3074" i="1"/>
  <c r="H3075" i="1"/>
  <c r="H3076" i="1"/>
  <c r="J3076" i="1" s="1"/>
  <c r="H3077" i="1"/>
  <c r="J3077" i="1" s="1"/>
  <c r="H3078" i="1"/>
  <c r="H3079" i="1"/>
  <c r="H3080" i="1"/>
  <c r="J3080" i="1" s="1"/>
  <c r="H3081" i="1"/>
  <c r="J3081" i="1" s="1"/>
  <c r="H3082" i="1"/>
  <c r="H3083" i="1"/>
  <c r="H3084" i="1"/>
  <c r="J3084" i="1" s="1"/>
  <c r="H3085" i="1"/>
  <c r="J3085" i="1" s="1"/>
  <c r="H3086" i="1"/>
  <c r="H3087" i="1"/>
  <c r="H3088" i="1"/>
  <c r="J3088" i="1" s="1"/>
  <c r="H3089" i="1"/>
  <c r="J3089" i="1" s="1"/>
  <c r="H3090" i="1"/>
  <c r="H3091" i="1"/>
  <c r="H3092" i="1"/>
  <c r="J3092" i="1" s="1"/>
  <c r="H3093" i="1"/>
  <c r="J3093" i="1" s="1"/>
  <c r="H3094" i="1"/>
  <c r="H3095" i="1"/>
  <c r="H3096" i="1"/>
  <c r="J3096" i="1" s="1"/>
  <c r="H3097" i="1"/>
  <c r="J3097" i="1" s="1"/>
  <c r="H3098" i="1"/>
  <c r="H3099" i="1"/>
  <c r="H3100" i="1"/>
  <c r="J3100" i="1" s="1"/>
  <c r="H3101" i="1"/>
  <c r="J3101" i="1" s="1"/>
  <c r="H3102" i="1"/>
  <c r="H3103" i="1"/>
  <c r="H3104" i="1"/>
  <c r="J3104" i="1" s="1"/>
  <c r="H3105" i="1"/>
  <c r="J3105" i="1" s="1"/>
  <c r="H3106" i="1"/>
  <c r="H3107" i="1"/>
  <c r="H3108" i="1"/>
  <c r="J3108" i="1" s="1"/>
  <c r="H3109" i="1"/>
  <c r="J3109" i="1" s="1"/>
  <c r="H3110" i="1"/>
  <c r="H3111" i="1"/>
  <c r="H3112" i="1"/>
  <c r="J3112" i="1" s="1"/>
  <c r="H3113" i="1"/>
  <c r="J3113" i="1" s="1"/>
  <c r="H3114" i="1"/>
  <c r="H3115" i="1"/>
  <c r="H3116" i="1"/>
  <c r="J3116" i="1" s="1"/>
  <c r="H3117" i="1"/>
  <c r="J3117" i="1" s="1"/>
  <c r="H3118" i="1"/>
  <c r="H3119" i="1"/>
  <c r="H3120" i="1"/>
  <c r="J3120" i="1" s="1"/>
  <c r="H3121" i="1"/>
  <c r="J3121" i="1" s="1"/>
  <c r="H3122" i="1"/>
  <c r="H3123" i="1"/>
  <c r="H3124" i="1"/>
  <c r="J3124" i="1" s="1"/>
  <c r="H3125" i="1"/>
  <c r="J3125" i="1" s="1"/>
  <c r="H3126" i="1"/>
  <c r="H3127" i="1"/>
  <c r="H3128" i="1"/>
  <c r="J3128" i="1" s="1"/>
  <c r="H3129" i="1"/>
  <c r="J3129" i="1" s="1"/>
  <c r="H3130" i="1"/>
  <c r="H3131" i="1"/>
  <c r="H3132" i="1"/>
  <c r="J3132" i="1" s="1"/>
  <c r="H3133" i="1"/>
  <c r="J3133" i="1" s="1"/>
  <c r="H3134" i="1"/>
  <c r="H3135" i="1"/>
  <c r="H3136" i="1"/>
  <c r="J3136" i="1" s="1"/>
  <c r="H3137" i="1"/>
  <c r="J3137" i="1" s="1"/>
  <c r="H3138" i="1"/>
  <c r="H3139" i="1"/>
  <c r="H3140" i="1"/>
  <c r="J3140" i="1" s="1"/>
  <c r="H3141" i="1"/>
  <c r="J3141" i="1" s="1"/>
  <c r="H3142" i="1"/>
  <c r="H3143" i="1"/>
  <c r="H3144" i="1"/>
  <c r="J3144" i="1" s="1"/>
  <c r="H3145" i="1"/>
  <c r="J3145" i="1" s="1"/>
  <c r="H3146" i="1"/>
  <c r="H3147" i="1"/>
  <c r="H3148" i="1"/>
  <c r="J3148" i="1" s="1"/>
  <c r="H3149" i="1"/>
  <c r="J3149" i="1" s="1"/>
  <c r="H3150" i="1"/>
  <c r="H3151" i="1"/>
  <c r="H3152" i="1"/>
  <c r="J3152" i="1" s="1"/>
  <c r="H3153" i="1"/>
  <c r="J3153" i="1" s="1"/>
  <c r="H3154" i="1"/>
  <c r="H3155" i="1"/>
  <c r="H3156" i="1"/>
  <c r="J3156" i="1" s="1"/>
  <c r="H3157" i="1"/>
  <c r="J3157" i="1" s="1"/>
  <c r="H3158" i="1"/>
  <c r="H3159" i="1"/>
  <c r="H3160" i="1"/>
  <c r="J3160" i="1" s="1"/>
  <c r="H3161" i="1"/>
  <c r="J3161" i="1" s="1"/>
  <c r="H3162" i="1"/>
  <c r="H3163" i="1"/>
  <c r="H3164" i="1"/>
  <c r="J3164" i="1" s="1"/>
  <c r="H3165" i="1"/>
  <c r="J3165" i="1" s="1"/>
  <c r="H3166" i="1"/>
  <c r="H3167" i="1"/>
  <c r="H3168" i="1"/>
  <c r="J3168" i="1" s="1"/>
  <c r="H3169" i="1"/>
  <c r="J3169" i="1" s="1"/>
  <c r="H3170" i="1"/>
  <c r="H3171" i="1"/>
  <c r="H3172" i="1"/>
  <c r="J3172" i="1" s="1"/>
  <c r="H3173" i="1"/>
  <c r="J3173" i="1" s="1"/>
  <c r="H3174" i="1"/>
  <c r="H3175" i="1"/>
  <c r="H3176" i="1"/>
  <c r="J3176" i="1" s="1"/>
  <c r="H3177" i="1"/>
  <c r="J3177" i="1" s="1"/>
  <c r="H3178" i="1"/>
  <c r="H3179" i="1"/>
  <c r="H3180" i="1"/>
  <c r="J3180" i="1" s="1"/>
  <c r="H3181" i="1"/>
  <c r="J3181" i="1" s="1"/>
  <c r="H3182" i="1"/>
  <c r="H3183" i="1"/>
  <c r="H3184" i="1"/>
  <c r="J3184" i="1" s="1"/>
  <c r="H3185" i="1"/>
  <c r="J3185" i="1" s="1"/>
  <c r="H3186" i="1"/>
  <c r="H3187" i="1"/>
  <c r="H3188" i="1"/>
  <c r="J3188" i="1" s="1"/>
  <c r="H3189" i="1"/>
  <c r="J3189" i="1" s="1"/>
  <c r="H3190" i="1"/>
  <c r="H3191" i="1"/>
  <c r="H3192" i="1"/>
  <c r="J3192" i="1" s="1"/>
  <c r="H3193" i="1"/>
  <c r="J3193" i="1" s="1"/>
  <c r="H3194" i="1"/>
  <c r="H3195" i="1"/>
  <c r="H3196" i="1"/>
  <c r="J3196" i="1" s="1"/>
  <c r="H3197" i="1"/>
  <c r="J3197" i="1" s="1"/>
  <c r="H3198" i="1"/>
  <c r="H3199" i="1"/>
  <c r="H3200" i="1"/>
  <c r="J3200" i="1" s="1"/>
  <c r="H3201" i="1"/>
  <c r="J3201" i="1" s="1"/>
  <c r="H3202" i="1"/>
  <c r="H3203" i="1"/>
  <c r="H3204" i="1"/>
  <c r="J3204" i="1" s="1"/>
  <c r="H3205" i="1"/>
  <c r="J3205" i="1" s="1"/>
  <c r="H3206" i="1"/>
  <c r="H3207" i="1"/>
  <c r="H3208" i="1"/>
  <c r="J3208" i="1" s="1"/>
  <c r="H3209" i="1"/>
  <c r="J3209" i="1" s="1"/>
  <c r="H3210" i="1"/>
  <c r="H3211" i="1"/>
  <c r="H3212" i="1"/>
  <c r="J3212" i="1" s="1"/>
  <c r="H3213" i="1"/>
  <c r="J3213" i="1" s="1"/>
  <c r="H3214" i="1"/>
  <c r="H3215" i="1"/>
  <c r="H3216" i="1"/>
  <c r="J3216" i="1" s="1"/>
  <c r="H3217" i="1"/>
  <c r="J3217" i="1" s="1"/>
  <c r="H3218" i="1"/>
  <c r="H3219" i="1"/>
  <c r="H3220" i="1"/>
  <c r="J3220" i="1" s="1"/>
  <c r="H3221" i="1"/>
  <c r="J3221" i="1" s="1"/>
  <c r="H3222" i="1"/>
  <c r="H3223" i="1"/>
  <c r="H3224" i="1"/>
  <c r="J3224" i="1" s="1"/>
  <c r="H3225" i="1"/>
  <c r="J3225" i="1" s="1"/>
  <c r="H3226" i="1"/>
  <c r="H3227" i="1"/>
  <c r="H3228" i="1"/>
  <c r="J3228" i="1" s="1"/>
  <c r="H3229" i="1"/>
  <c r="J3229" i="1" s="1"/>
  <c r="H3230" i="1"/>
  <c r="H3231" i="1"/>
  <c r="H3232" i="1"/>
  <c r="J3232" i="1" s="1"/>
  <c r="H3233" i="1"/>
  <c r="J3233" i="1" s="1"/>
  <c r="H3234" i="1"/>
  <c r="H3235" i="1"/>
  <c r="H3236" i="1"/>
  <c r="J3236" i="1" s="1"/>
  <c r="H3237" i="1"/>
  <c r="J3237" i="1" s="1"/>
  <c r="H3238" i="1"/>
  <c r="H3239" i="1"/>
  <c r="H3240" i="1"/>
  <c r="J3240" i="1" s="1"/>
  <c r="H3241" i="1"/>
  <c r="J3241" i="1" s="1"/>
  <c r="H3242" i="1"/>
  <c r="H3243" i="1"/>
  <c r="H3244" i="1"/>
  <c r="J3244" i="1" s="1"/>
  <c r="H3245" i="1"/>
  <c r="J3245" i="1" s="1"/>
  <c r="H3246" i="1"/>
  <c r="H3247" i="1"/>
  <c r="H3248" i="1"/>
  <c r="J3248" i="1" s="1"/>
  <c r="H3249" i="1"/>
  <c r="J3249" i="1" s="1"/>
  <c r="H3250" i="1"/>
  <c r="H3251" i="1"/>
  <c r="H3252" i="1"/>
  <c r="J3252" i="1" s="1"/>
  <c r="H3253" i="1"/>
  <c r="J3253" i="1" s="1"/>
  <c r="H3254" i="1"/>
  <c r="H3255" i="1"/>
  <c r="H3256" i="1"/>
  <c r="J3256" i="1" s="1"/>
  <c r="H3257" i="1"/>
  <c r="J3257" i="1" s="1"/>
  <c r="H3258" i="1"/>
  <c r="H3259" i="1"/>
  <c r="H3260" i="1"/>
  <c r="J3260" i="1" s="1"/>
  <c r="H3261" i="1"/>
  <c r="J3261" i="1" s="1"/>
  <c r="H3262" i="1"/>
  <c r="H3263" i="1"/>
  <c r="H3264" i="1"/>
  <c r="J3264" i="1" s="1"/>
  <c r="H3265" i="1"/>
  <c r="J3265" i="1" s="1"/>
  <c r="H3266" i="1"/>
  <c r="H3267" i="1"/>
  <c r="H3268" i="1"/>
  <c r="J3268" i="1" s="1"/>
  <c r="H3269" i="1"/>
  <c r="J3269" i="1" s="1"/>
  <c r="H3270" i="1"/>
  <c r="H3271" i="1"/>
  <c r="H3272" i="1"/>
  <c r="J3272" i="1" s="1"/>
  <c r="H3273" i="1"/>
  <c r="J3273" i="1" s="1"/>
  <c r="H3274" i="1"/>
  <c r="H3275" i="1"/>
  <c r="H3276" i="1"/>
  <c r="J3276" i="1" s="1"/>
  <c r="H3277" i="1"/>
  <c r="J3277" i="1" s="1"/>
  <c r="H3278" i="1"/>
  <c r="H3279" i="1"/>
  <c r="H3280" i="1"/>
  <c r="J3280" i="1" s="1"/>
  <c r="H3281" i="1"/>
  <c r="J3281" i="1" s="1"/>
  <c r="H3282" i="1"/>
  <c r="H3283" i="1"/>
  <c r="H3284" i="1"/>
  <c r="J3284" i="1" s="1"/>
  <c r="H3285" i="1"/>
  <c r="J3285" i="1" s="1"/>
  <c r="H3286" i="1"/>
  <c r="H3287" i="1"/>
  <c r="H3288" i="1"/>
  <c r="J3288" i="1" s="1"/>
  <c r="H3289" i="1"/>
  <c r="J3289" i="1" s="1"/>
  <c r="H3290" i="1"/>
  <c r="H3291" i="1"/>
  <c r="H3292" i="1"/>
  <c r="J3292" i="1" s="1"/>
  <c r="H3293" i="1"/>
  <c r="J3293" i="1" s="1"/>
  <c r="H3294" i="1"/>
  <c r="H3295" i="1"/>
  <c r="H3296" i="1"/>
  <c r="J3296" i="1" s="1"/>
  <c r="H3297" i="1"/>
  <c r="J3297" i="1" s="1"/>
  <c r="H3298" i="1"/>
  <c r="H3299" i="1"/>
  <c r="H3300" i="1"/>
  <c r="J3300" i="1" s="1"/>
  <c r="H3301" i="1"/>
  <c r="J3301" i="1" s="1"/>
  <c r="H3302" i="1"/>
  <c r="H3303" i="1"/>
  <c r="H3304" i="1"/>
  <c r="J3304" i="1" s="1"/>
  <c r="H3305" i="1"/>
  <c r="J3305" i="1" s="1"/>
  <c r="H3306" i="1"/>
  <c r="H3307" i="1"/>
  <c r="H3308" i="1"/>
  <c r="J3308" i="1" s="1"/>
  <c r="H3309" i="1"/>
  <c r="J3309" i="1" s="1"/>
  <c r="H3310" i="1"/>
  <c r="H3311" i="1"/>
  <c r="H3312" i="1"/>
  <c r="J3312" i="1" s="1"/>
  <c r="H3313" i="1"/>
  <c r="J3313" i="1" s="1"/>
  <c r="H3314" i="1"/>
  <c r="H3315" i="1"/>
  <c r="H3316" i="1"/>
  <c r="J3316" i="1" s="1"/>
  <c r="H3317" i="1"/>
  <c r="J3317" i="1" s="1"/>
  <c r="H3318" i="1"/>
  <c r="H3319" i="1"/>
  <c r="H3320" i="1"/>
  <c r="J3320" i="1" s="1"/>
  <c r="H3321" i="1"/>
  <c r="J3321" i="1" s="1"/>
  <c r="H3322" i="1"/>
  <c r="H3323" i="1"/>
  <c r="H3324" i="1"/>
  <c r="J3324" i="1" s="1"/>
  <c r="H3325" i="1"/>
  <c r="J3325" i="1" s="1"/>
  <c r="H3326" i="1"/>
  <c r="H3327" i="1"/>
  <c r="H3328" i="1"/>
  <c r="J3328" i="1" s="1"/>
  <c r="H3329" i="1"/>
  <c r="J3329" i="1" s="1"/>
  <c r="H3330" i="1"/>
  <c r="H3331" i="1"/>
  <c r="H3332" i="1"/>
  <c r="J3332" i="1" s="1"/>
  <c r="H3333" i="1"/>
  <c r="J3333" i="1" s="1"/>
  <c r="H3334" i="1"/>
  <c r="H3335" i="1"/>
  <c r="H3336" i="1"/>
  <c r="J3336" i="1" s="1"/>
  <c r="H3337" i="1"/>
  <c r="J3337" i="1" s="1"/>
  <c r="H3338" i="1"/>
  <c r="H3339" i="1"/>
  <c r="H3340" i="1"/>
  <c r="J3340" i="1" s="1"/>
  <c r="H3341" i="1"/>
  <c r="J3341" i="1" s="1"/>
  <c r="H3342" i="1"/>
  <c r="H3343" i="1"/>
  <c r="H3344" i="1"/>
  <c r="J3344" i="1" s="1"/>
  <c r="H3345" i="1"/>
  <c r="J3345" i="1" s="1"/>
  <c r="H3346" i="1"/>
  <c r="H3347" i="1"/>
  <c r="H3348" i="1"/>
  <c r="J3348" i="1" s="1"/>
  <c r="H3349" i="1"/>
  <c r="J3349" i="1" s="1"/>
  <c r="H3350" i="1"/>
  <c r="H3351" i="1"/>
  <c r="H3352" i="1"/>
  <c r="J3352" i="1" s="1"/>
  <c r="H3353" i="1"/>
  <c r="J3353" i="1" s="1"/>
  <c r="H3354" i="1"/>
  <c r="H3355" i="1"/>
  <c r="H3356" i="1"/>
  <c r="J3356" i="1" s="1"/>
  <c r="H3357" i="1"/>
  <c r="J3357" i="1" s="1"/>
  <c r="H3358" i="1"/>
  <c r="H3359" i="1"/>
  <c r="H3360" i="1"/>
  <c r="J3360" i="1" s="1"/>
  <c r="H3361" i="1"/>
  <c r="J3361" i="1" s="1"/>
  <c r="H3362" i="1"/>
  <c r="H3363" i="1"/>
  <c r="H3364" i="1"/>
  <c r="J3364" i="1" s="1"/>
  <c r="H3365" i="1"/>
  <c r="J3365" i="1" s="1"/>
  <c r="H3366" i="1"/>
  <c r="H3367" i="1"/>
  <c r="H3368" i="1"/>
  <c r="J3368" i="1" s="1"/>
  <c r="H3369" i="1"/>
  <c r="J3369" i="1" s="1"/>
  <c r="H3370" i="1"/>
  <c r="H3371" i="1"/>
  <c r="H3372" i="1"/>
  <c r="J3372" i="1" s="1"/>
  <c r="H3373" i="1"/>
  <c r="J3373" i="1" s="1"/>
  <c r="H3374" i="1"/>
  <c r="H3375" i="1"/>
  <c r="H3376" i="1"/>
  <c r="J3376" i="1" s="1"/>
  <c r="H3377" i="1"/>
  <c r="J3377" i="1" s="1"/>
  <c r="H3378" i="1"/>
  <c r="H3379" i="1"/>
  <c r="H3380" i="1"/>
  <c r="J3380" i="1" s="1"/>
  <c r="H3381" i="1"/>
  <c r="J3381" i="1" s="1"/>
  <c r="H3382" i="1"/>
  <c r="H3383" i="1"/>
  <c r="H3384" i="1"/>
  <c r="J3384" i="1" s="1"/>
  <c r="H3385" i="1"/>
  <c r="J3385" i="1" s="1"/>
  <c r="H3386" i="1"/>
  <c r="H3387" i="1"/>
  <c r="H3388" i="1"/>
  <c r="J3388" i="1" s="1"/>
  <c r="H3389" i="1"/>
  <c r="J3389" i="1" s="1"/>
  <c r="H3390" i="1"/>
  <c r="H3391" i="1"/>
  <c r="H3392" i="1"/>
  <c r="J3392" i="1" s="1"/>
  <c r="H3393" i="1"/>
  <c r="J3393" i="1" s="1"/>
  <c r="H3394" i="1"/>
  <c r="H3395" i="1"/>
  <c r="H3396" i="1"/>
  <c r="J3396" i="1" s="1"/>
  <c r="H3397" i="1"/>
  <c r="J3397" i="1" s="1"/>
  <c r="H3398" i="1"/>
  <c r="H3399" i="1"/>
  <c r="H3400" i="1"/>
  <c r="J3400" i="1" s="1"/>
  <c r="H3401" i="1"/>
  <c r="J3401" i="1" s="1"/>
  <c r="H3402" i="1"/>
  <c r="H3403" i="1"/>
  <c r="H3404" i="1"/>
  <c r="J3404" i="1" s="1"/>
  <c r="H3405" i="1"/>
  <c r="J3405" i="1" s="1"/>
  <c r="H3406" i="1"/>
  <c r="H3407" i="1"/>
  <c r="H3408" i="1"/>
  <c r="J3408" i="1" s="1"/>
  <c r="H3409" i="1"/>
  <c r="J3409" i="1" s="1"/>
  <c r="H3410" i="1"/>
  <c r="H3411" i="1"/>
  <c r="H3412" i="1"/>
  <c r="J3412" i="1" s="1"/>
  <c r="H3413" i="1"/>
  <c r="J3413" i="1" s="1"/>
  <c r="H3414" i="1"/>
  <c r="H3415" i="1"/>
  <c r="H3416" i="1"/>
  <c r="J3416" i="1" s="1"/>
  <c r="H3417" i="1"/>
  <c r="J3417" i="1" s="1"/>
  <c r="H3418" i="1"/>
  <c r="H3419" i="1"/>
  <c r="H3420" i="1"/>
  <c r="J3420" i="1" s="1"/>
  <c r="H3421" i="1"/>
  <c r="J3421" i="1" s="1"/>
  <c r="H3422" i="1"/>
  <c r="H3423" i="1"/>
  <c r="H3424" i="1"/>
  <c r="J3424" i="1" s="1"/>
  <c r="H3425" i="1"/>
  <c r="J3425" i="1" s="1"/>
  <c r="H3426" i="1"/>
  <c r="H3427" i="1"/>
  <c r="H3428" i="1"/>
  <c r="J3428" i="1" s="1"/>
  <c r="H3429" i="1"/>
  <c r="J3429" i="1" s="1"/>
  <c r="H3430" i="1"/>
  <c r="H3431" i="1"/>
  <c r="H3432" i="1"/>
  <c r="J3432" i="1" s="1"/>
  <c r="H3433" i="1"/>
  <c r="J3433" i="1" s="1"/>
  <c r="H3434" i="1"/>
  <c r="H3435" i="1"/>
  <c r="H3436" i="1"/>
  <c r="J3436" i="1" s="1"/>
  <c r="H3437" i="1"/>
  <c r="J3437" i="1" s="1"/>
  <c r="H3438" i="1"/>
  <c r="H3439" i="1"/>
  <c r="H3440" i="1"/>
  <c r="J3440" i="1" s="1"/>
  <c r="H3441" i="1"/>
  <c r="J3441" i="1" s="1"/>
  <c r="H3442" i="1"/>
  <c r="H3443" i="1"/>
  <c r="H3444" i="1"/>
  <c r="J3444" i="1" s="1"/>
  <c r="H3445" i="1"/>
  <c r="J3445" i="1" s="1"/>
  <c r="H3446" i="1"/>
  <c r="H3447" i="1"/>
  <c r="H3448" i="1"/>
  <c r="J3448" i="1" s="1"/>
  <c r="H3449" i="1"/>
  <c r="J3449" i="1" s="1"/>
  <c r="H3450" i="1"/>
  <c r="H3451" i="1"/>
  <c r="H3452" i="1"/>
  <c r="J3452" i="1" s="1"/>
  <c r="H3453" i="1"/>
  <c r="J3453" i="1" s="1"/>
  <c r="H3454" i="1"/>
  <c r="H3455" i="1"/>
  <c r="H3456" i="1"/>
  <c r="J3456" i="1" s="1"/>
  <c r="H3457" i="1"/>
  <c r="J3457" i="1" s="1"/>
  <c r="H3458" i="1"/>
  <c r="H3459" i="1"/>
  <c r="H3460" i="1"/>
  <c r="J3460" i="1" s="1"/>
  <c r="H3461" i="1"/>
  <c r="J3461" i="1" s="1"/>
  <c r="H3462" i="1"/>
  <c r="H3463" i="1"/>
  <c r="H3464" i="1"/>
  <c r="J3464" i="1" s="1"/>
  <c r="H3465" i="1"/>
  <c r="J3465" i="1" s="1"/>
  <c r="H3466" i="1"/>
  <c r="H3467" i="1"/>
  <c r="H3468" i="1"/>
  <c r="J3468" i="1" s="1"/>
  <c r="H3469" i="1"/>
  <c r="J3469" i="1" s="1"/>
  <c r="H3470" i="1"/>
  <c r="H3471" i="1"/>
  <c r="H3472" i="1"/>
  <c r="J3472" i="1" s="1"/>
  <c r="H3473" i="1"/>
  <c r="J3473" i="1" s="1"/>
  <c r="H3474" i="1"/>
  <c r="H3475" i="1"/>
  <c r="H3476" i="1"/>
  <c r="J3476" i="1" s="1"/>
  <c r="H3477" i="1"/>
  <c r="J3477" i="1" s="1"/>
  <c r="H3478" i="1"/>
  <c r="H3479" i="1"/>
  <c r="H3480" i="1"/>
  <c r="J3480" i="1" s="1"/>
  <c r="H3481" i="1"/>
  <c r="J3481" i="1" s="1"/>
  <c r="H3482" i="1"/>
  <c r="H3483" i="1"/>
  <c r="H3484" i="1"/>
  <c r="J3484" i="1" s="1"/>
  <c r="H3485" i="1"/>
  <c r="J3485" i="1" s="1"/>
  <c r="H3486" i="1"/>
  <c r="H3487" i="1"/>
  <c r="H3488" i="1"/>
  <c r="J3488" i="1" s="1"/>
  <c r="H3489" i="1"/>
  <c r="J3489" i="1" s="1"/>
  <c r="H3490" i="1"/>
  <c r="H3491" i="1"/>
  <c r="H3492" i="1"/>
  <c r="J3492" i="1" s="1"/>
  <c r="H3493" i="1"/>
  <c r="J3493" i="1" s="1"/>
  <c r="H3494" i="1"/>
  <c r="H3495" i="1"/>
  <c r="H3496" i="1"/>
  <c r="J3496" i="1" s="1"/>
  <c r="H3497" i="1"/>
  <c r="J3497" i="1" s="1"/>
  <c r="H3498" i="1"/>
  <c r="H3499" i="1"/>
  <c r="H3500" i="1"/>
  <c r="J3500" i="1" s="1"/>
  <c r="H3501" i="1"/>
  <c r="J3501" i="1" s="1"/>
  <c r="H3502" i="1"/>
  <c r="H3503" i="1"/>
  <c r="H3504" i="1"/>
  <c r="J3504" i="1" s="1"/>
  <c r="H3505" i="1"/>
  <c r="J3505" i="1" s="1"/>
  <c r="H3506" i="1"/>
  <c r="H3507" i="1"/>
  <c r="H3508" i="1"/>
  <c r="J3508" i="1" s="1"/>
  <c r="H3509" i="1"/>
  <c r="J3509" i="1" s="1"/>
  <c r="H3510" i="1"/>
  <c r="H3511" i="1"/>
  <c r="H3512" i="1"/>
  <c r="J3512" i="1" s="1"/>
  <c r="H3513" i="1"/>
  <c r="J3513" i="1" s="1"/>
  <c r="H3514" i="1"/>
  <c r="H3515" i="1"/>
  <c r="H3516" i="1"/>
  <c r="J3516" i="1" s="1"/>
  <c r="H3517" i="1"/>
  <c r="J3517" i="1" s="1"/>
  <c r="H3518" i="1"/>
  <c r="H3519" i="1"/>
  <c r="H3520" i="1"/>
  <c r="J3520" i="1" s="1"/>
  <c r="H3521" i="1"/>
  <c r="J3521" i="1" s="1"/>
  <c r="H3522" i="1"/>
  <c r="H3523" i="1"/>
  <c r="H3524" i="1"/>
  <c r="J3524" i="1" s="1"/>
  <c r="H3525" i="1"/>
  <c r="J3525" i="1" s="1"/>
  <c r="H3526" i="1"/>
  <c r="H3527" i="1"/>
  <c r="H3528" i="1"/>
  <c r="J3528" i="1" s="1"/>
  <c r="H3529" i="1"/>
  <c r="J3529" i="1" s="1"/>
  <c r="H3530" i="1"/>
  <c r="H3531" i="1"/>
  <c r="H3532" i="1"/>
  <c r="J3532" i="1" s="1"/>
  <c r="H3533" i="1"/>
  <c r="J3533" i="1" s="1"/>
  <c r="H3534" i="1"/>
  <c r="H3535" i="1"/>
  <c r="H3536" i="1"/>
  <c r="J3536" i="1" s="1"/>
  <c r="H3537" i="1"/>
  <c r="J3537" i="1" s="1"/>
  <c r="H3538" i="1"/>
  <c r="H3539" i="1"/>
  <c r="H3540" i="1"/>
  <c r="J3540" i="1" s="1"/>
  <c r="H3541" i="1"/>
  <c r="J3541" i="1" s="1"/>
  <c r="H3542" i="1"/>
  <c r="H3543" i="1"/>
  <c r="H3544" i="1"/>
  <c r="J3544" i="1" s="1"/>
  <c r="H3545" i="1"/>
  <c r="J3545" i="1" s="1"/>
  <c r="H3546" i="1"/>
  <c r="H3547" i="1"/>
  <c r="H3548" i="1"/>
  <c r="J3548" i="1" s="1"/>
  <c r="H3549" i="1"/>
  <c r="J3549" i="1" s="1"/>
  <c r="H3550" i="1"/>
  <c r="H3551" i="1"/>
  <c r="H3552" i="1"/>
  <c r="J3552" i="1" s="1"/>
  <c r="H3553" i="1"/>
  <c r="J3553" i="1" s="1"/>
  <c r="H3554" i="1"/>
  <c r="H3555" i="1"/>
  <c r="H3556" i="1"/>
  <c r="J3556" i="1" s="1"/>
  <c r="H3557" i="1"/>
  <c r="J3557" i="1" s="1"/>
  <c r="H3558" i="1"/>
  <c r="H3559" i="1"/>
  <c r="H3560" i="1"/>
  <c r="J3560" i="1" s="1"/>
  <c r="H3561" i="1"/>
  <c r="J3561" i="1" s="1"/>
  <c r="H3562" i="1"/>
  <c r="H3563" i="1"/>
  <c r="H3564" i="1"/>
  <c r="J3564" i="1" s="1"/>
  <c r="H3565" i="1"/>
  <c r="J3565" i="1" s="1"/>
  <c r="H3566" i="1"/>
  <c r="H3567" i="1"/>
  <c r="H3568" i="1"/>
  <c r="J3568" i="1" s="1"/>
  <c r="H3569" i="1"/>
  <c r="J3569" i="1" s="1"/>
  <c r="H3570" i="1"/>
  <c r="H3571" i="1"/>
  <c r="H3572" i="1"/>
  <c r="J3572" i="1" s="1"/>
  <c r="H3573" i="1"/>
  <c r="J3573" i="1" s="1"/>
  <c r="H3574" i="1"/>
  <c r="H3575" i="1"/>
  <c r="H3576" i="1"/>
  <c r="J3576" i="1" s="1"/>
  <c r="H3577" i="1"/>
  <c r="J3577" i="1" s="1"/>
  <c r="H3578" i="1"/>
  <c r="H3579" i="1"/>
  <c r="H3580" i="1"/>
  <c r="J3580" i="1" s="1"/>
  <c r="H3581" i="1"/>
  <c r="J3581" i="1" s="1"/>
  <c r="H3582" i="1"/>
  <c r="H3583" i="1"/>
  <c r="H3584" i="1"/>
  <c r="J3584" i="1" s="1"/>
  <c r="H3585" i="1"/>
  <c r="J3585" i="1" s="1"/>
  <c r="H3586" i="1"/>
  <c r="H3587" i="1"/>
  <c r="H3588" i="1"/>
  <c r="J3588" i="1" s="1"/>
  <c r="H3589" i="1"/>
  <c r="J3589" i="1" s="1"/>
  <c r="H3590" i="1"/>
  <c r="H3591" i="1"/>
  <c r="H3592" i="1"/>
  <c r="J3592" i="1" s="1"/>
  <c r="H3593" i="1"/>
  <c r="J3593" i="1" s="1"/>
  <c r="H3594" i="1"/>
  <c r="H3595" i="1"/>
  <c r="H3596" i="1"/>
  <c r="J3596" i="1" s="1"/>
  <c r="H3597" i="1"/>
  <c r="J3597" i="1" s="1"/>
  <c r="H3598" i="1"/>
  <c r="H3599" i="1"/>
  <c r="H3600" i="1"/>
  <c r="J3600" i="1" s="1"/>
  <c r="H3601" i="1"/>
  <c r="J3601" i="1" s="1"/>
  <c r="H3602" i="1"/>
  <c r="H3603" i="1"/>
  <c r="H3604" i="1"/>
  <c r="J3604" i="1" s="1"/>
  <c r="H3605" i="1"/>
  <c r="J3605" i="1" s="1"/>
  <c r="H3606" i="1"/>
  <c r="H3607" i="1"/>
  <c r="H3608" i="1"/>
  <c r="J3608" i="1" s="1"/>
  <c r="H3609" i="1"/>
  <c r="J3609" i="1" s="1"/>
  <c r="H3610" i="1"/>
  <c r="H3611" i="1"/>
  <c r="H3612" i="1"/>
  <c r="J3612" i="1" s="1"/>
  <c r="H3613" i="1"/>
  <c r="J3613" i="1" s="1"/>
  <c r="H3614" i="1"/>
  <c r="H3615" i="1"/>
  <c r="H3616" i="1"/>
  <c r="J3616" i="1" s="1"/>
  <c r="H3617" i="1"/>
  <c r="J3617" i="1" s="1"/>
  <c r="H3618" i="1"/>
  <c r="H3619" i="1"/>
  <c r="H3620" i="1"/>
  <c r="J3620" i="1" s="1"/>
  <c r="H3621" i="1"/>
  <c r="J3621" i="1" s="1"/>
  <c r="H3622" i="1"/>
  <c r="H3623" i="1"/>
  <c r="H3624" i="1"/>
  <c r="J3624" i="1" s="1"/>
  <c r="H3625" i="1"/>
  <c r="J3625" i="1" s="1"/>
  <c r="H3626" i="1"/>
  <c r="H3627" i="1"/>
  <c r="H3628" i="1"/>
  <c r="J3628" i="1" s="1"/>
  <c r="H3629" i="1"/>
  <c r="J3629" i="1" s="1"/>
  <c r="H3630" i="1"/>
  <c r="H3631" i="1"/>
  <c r="H3632" i="1"/>
  <c r="J3632" i="1" s="1"/>
  <c r="H3633" i="1"/>
  <c r="J3633" i="1" s="1"/>
  <c r="H3634" i="1"/>
  <c r="H3635" i="1"/>
  <c r="H3636" i="1"/>
  <c r="J3636" i="1" s="1"/>
  <c r="H3637" i="1"/>
  <c r="J3637" i="1" s="1"/>
  <c r="H3638" i="1"/>
  <c r="H3639" i="1"/>
  <c r="H3640" i="1"/>
  <c r="J3640" i="1" s="1"/>
  <c r="H3641" i="1"/>
  <c r="J3641" i="1" s="1"/>
  <c r="H3642" i="1"/>
  <c r="H3643" i="1"/>
  <c r="H3644" i="1"/>
  <c r="J3644" i="1" s="1"/>
  <c r="H3645" i="1"/>
  <c r="J3645" i="1" s="1"/>
  <c r="H3646" i="1"/>
  <c r="H3647" i="1"/>
  <c r="H3648" i="1"/>
  <c r="J3648" i="1" s="1"/>
  <c r="H3649" i="1"/>
  <c r="J3649" i="1" s="1"/>
  <c r="H3650" i="1"/>
  <c r="H3651" i="1"/>
  <c r="H3652" i="1"/>
  <c r="J3652" i="1" s="1"/>
  <c r="H3653" i="1"/>
  <c r="J3653" i="1" s="1"/>
  <c r="H3654" i="1"/>
  <c r="H3655" i="1"/>
  <c r="H3656" i="1"/>
  <c r="J3656" i="1" s="1"/>
  <c r="H3657" i="1"/>
  <c r="J3657" i="1" s="1"/>
  <c r="H3658" i="1"/>
  <c r="H3659" i="1"/>
  <c r="H3660" i="1"/>
  <c r="J3660" i="1" s="1"/>
  <c r="H3661" i="1"/>
  <c r="J3661" i="1" s="1"/>
  <c r="H3662" i="1"/>
  <c r="H3663" i="1"/>
  <c r="H3664" i="1"/>
  <c r="J3664" i="1" s="1"/>
  <c r="H3665" i="1"/>
  <c r="J3665" i="1" s="1"/>
  <c r="H3666" i="1"/>
  <c r="H3667" i="1"/>
  <c r="H3668" i="1"/>
  <c r="J3668" i="1" s="1"/>
  <c r="H3669" i="1"/>
  <c r="J3669" i="1" s="1"/>
  <c r="H3670" i="1"/>
  <c r="H3671" i="1"/>
  <c r="H3672" i="1"/>
  <c r="J3672" i="1" s="1"/>
  <c r="H3673" i="1"/>
  <c r="J3673" i="1" s="1"/>
  <c r="H3674" i="1"/>
  <c r="H3675" i="1"/>
  <c r="H3676" i="1"/>
  <c r="J3676" i="1" s="1"/>
  <c r="H3677" i="1"/>
  <c r="J3677" i="1" s="1"/>
  <c r="H3678" i="1"/>
  <c r="H3679" i="1"/>
  <c r="H3680" i="1"/>
  <c r="J3680" i="1" s="1"/>
  <c r="H3681" i="1"/>
  <c r="J3681" i="1" s="1"/>
  <c r="H3682" i="1"/>
  <c r="H3683" i="1"/>
  <c r="H3684" i="1"/>
  <c r="J3684" i="1" s="1"/>
  <c r="H3685" i="1"/>
  <c r="J3685" i="1" s="1"/>
  <c r="H3686" i="1"/>
  <c r="H3687" i="1"/>
  <c r="H3688" i="1"/>
  <c r="J3688" i="1" s="1"/>
  <c r="H3689" i="1"/>
  <c r="J3689" i="1" s="1"/>
  <c r="H3690" i="1"/>
  <c r="H3691" i="1"/>
  <c r="H3692" i="1"/>
  <c r="J3692" i="1" s="1"/>
  <c r="H3693" i="1"/>
  <c r="J3693" i="1" s="1"/>
  <c r="H3694" i="1"/>
  <c r="H3695" i="1"/>
  <c r="H3696" i="1"/>
  <c r="J3696" i="1" s="1"/>
  <c r="H3697" i="1"/>
  <c r="J3697" i="1" s="1"/>
  <c r="H3698" i="1"/>
  <c r="H3699" i="1"/>
  <c r="H3700" i="1"/>
  <c r="J3700" i="1" s="1"/>
  <c r="H3701" i="1"/>
  <c r="J3701" i="1" s="1"/>
  <c r="H3702" i="1"/>
  <c r="H3703" i="1"/>
  <c r="H3704" i="1"/>
  <c r="J3704" i="1" s="1"/>
  <c r="H3705" i="1"/>
  <c r="J3705" i="1" s="1"/>
  <c r="H3706" i="1"/>
  <c r="H3707" i="1"/>
  <c r="H3708" i="1"/>
  <c r="J3708" i="1" s="1"/>
  <c r="H3709" i="1"/>
  <c r="J3709" i="1" s="1"/>
  <c r="H3710" i="1"/>
  <c r="H3711" i="1"/>
  <c r="H3712" i="1"/>
  <c r="J3712" i="1" s="1"/>
  <c r="H3713" i="1"/>
  <c r="J3713" i="1" s="1"/>
  <c r="H3714" i="1"/>
  <c r="H3715" i="1"/>
  <c r="H3716" i="1"/>
  <c r="J3716" i="1" s="1"/>
  <c r="H3717" i="1"/>
  <c r="J3717" i="1" s="1"/>
  <c r="H3718" i="1"/>
  <c r="H3719" i="1"/>
  <c r="H3720" i="1"/>
  <c r="J3720" i="1" s="1"/>
  <c r="H3721" i="1"/>
  <c r="J3721" i="1" s="1"/>
  <c r="H3722" i="1"/>
  <c r="H3723" i="1"/>
  <c r="H3724" i="1"/>
  <c r="J3724" i="1" s="1"/>
  <c r="H3725" i="1"/>
  <c r="J3725" i="1" s="1"/>
  <c r="H3726" i="1"/>
  <c r="H3727" i="1"/>
  <c r="H3728" i="1"/>
  <c r="J3728" i="1" s="1"/>
  <c r="H3729" i="1"/>
  <c r="J3729" i="1" s="1"/>
  <c r="H3730" i="1"/>
  <c r="H3731" i="1"/>
  <c r="H3732" i="1"/>
  <c r="J3732" i="1" s="1"/>
  <c r="H3733" i="1"/>
  <c r="J3733" i="1" s="1"/>
  <c r="H3734" i="1"/>
  <c r="H3735" i="1"/>
  <c r="H3736" i="1"/>
  <c r="J3736" i="1" s="1"/>
  <c r="H3737" i="1"/>
  <c r="J3737" i="1" s="1"/>
  <c r="H3738" i="1"/>
  <c r="H3739" i="1"/>
  <c r="H3740" i="1"/>
  <c r="J3740" i="1" s="1"/>
  <c r="H3741" i="1"/>
  <c r="J3741" i="1" s="1"/>
  <c r="H3742" i="1"/>
  <c r="H3743" i="1"/>
  <c r="H3744" i="1"/>
  <c r="J3744" i="1" s="1"/>
  <c r="H3745" i="1"/>
  <c r="J3745" i="1" s="1"/>
  <c r="H3746" i="1"/>
  <c r="H3747" i="1"/>
  <c r="H3748" i="1"/>
  <c r="J3748" i="1" s="1"/>
  <c r="H3749" i="1"/>
  <c r="J3749" i="1" s="1"/>
  <c r="H3750" i="1"/>
  <c r="H3751" i="1"/>
  <c r="H3752" i="1"/>
  <c r="J3752" i="1" s="1"/>
  <c r="H3753" i="1"/>
  <c r="J3753" i="1" s="1"/>
  <c r="H3754" i="1"/>
  <c r="H3755" i="1"/>
  <c r="H3756" i="1"/>
  <c r="J3756" i="1" s="1"/>
  <c r="H3757" i="1"/>
  <c r="J3757" i="1" s="1"/>
  <c r="H3758" i="1"/>
  <c r="H3759" i="1"/>
  <c r="H3760" i="1"/>
  <c r="J3760" i="1" s="1"/>
  <c r="H3761" i="1"/>
  <c r="J3761" i="1" s="1"/>
  <c r="H3762" i="1"/>
  <c r="H3763" i="1"/>
  <c r="H3764" i="1"/>
  <c r="J3764" i="1" s="1"/>
  <c r="H3765" i="1"/>
  <c r="J3765" i="1" s="1"/>
  <c r="H3766" i="1"/>
  <c r="H3767" i="1"/>
  <c r="H3768" i="1"/>
  <c r="J3768" i="1" s="1"/>
  <c r="H3769" i="1"/>
  <c r="J3769" i="1" s="1"/>
  <c r="H3770" i="1"/>
  <c r="H3771" i="1"/>
  <c r="H3772" i="1"/>
  <c r="J3772" i="1" s="1"/>
  <c r="H3773" i="1"/>
  <c r="J3773" i="1" s="1"/>
  <c r="H3774" i="1"/>
  <c r="H3775" i="1"/>
  <c r="H3776" i="1"/>
  <c r="J3776" i="1" s="1"/>
  <c r="H3777" i="1"/>
  <c r="J3777" i="1" s="1"/>
  <c r="H3778" i="1"/>
  <c r="H3779" i="1"/>
  <c r="H3780" i="1"/>
  <c r="J3780" i="1" s="1"/>
  <c r="H3781" i="1"/>
  <c r="J3781" i="1" s="1"/>
  <c r="H3782" i="1"/>
  <c r="H3783" i="1"/>
  <c r="H3784" i="1"/>
  <c r="J3784" i="1" s="1"/>
  <c r="H3785" i="1"/>
  <c r="J3785" i="1" s="1"/>
  <c r="H3786" i="1"/>
  <c r="H3787" i="1"/>
  <c r="H3788" i="1"/>
  <c r="J3788" i="1" s="1"/>
  <c r="H3789" i="1"/>
  <c r="J3789" i="1" s="1"/>
  <c r="H3790" i="1"/>
  <c r="H3791" i="1"/>
  <c r="H3792" i="1"/>
  <c r="J3792" i="1" s="1"/>
  <c r="H3793" i="1"/>
  <c r="J3793" i="1" s="1"/>
  <c r="H3794" i="1"/>
  <c r="H3795" i="1"/>
  <c r="H3796" i="1"/>
  <c r="J3796" i="1" s="1"/>
  <c r="H3797" i="1"/>
  <c r="J3797" i="1" s="1"/>
  <c r="H3798" i="1"/>
  <c r="H3799" i="1"/>
  <c r="H3800" i="1"/>
  <c r="J3800" i="1" s="1"/>
  <c r="H3801" i="1"/>
  <c r="J3801" i="1" s="1"/>
  <c r="H3802" i="1"/>
  <c r="H3803" i="1"/>
  <c r="H3804" i="1"/>
  <c r="J3804" i="1" s="1"/>
  <c r="H3805" i="1"/>
  <c r="J3805" i="1" s="1"/>
  <c r="H3806" i="1"/>
  <c r="H3807" i="1"/>
  <c r="H3808" i="1"/>
  <c r="J3808" i="1" s="1"/>
  <c r="H3809" i="1"/>
  <c r="J3809" i="1" s="1"/>
  <c r="H3810" i="1"/>
  <c r="H3811" i="1"/>
  <c r="H3812" i="1"/>
  <c r="J3812" i="1" s="1"/>
  <c r="H3813" i="1"/>
  <c r="J3813" i="1" s="1"/>
  <c r="H3814" i="1"/>
  <c r="H3815" i="1"/>
  <c r="H3816" i="1"/>
  <c r="J3816" i="1" s="1"/>
  <c r="H3817" i="1"/>
  <c r="J3817" i="1" s="1"/>
  <c r="H3818" i="1"/>
  <c r="H3819" i="1"/>
  <c r="H3820" i="1"/>
  <c r="J3820" i="1" s="1"/>
  <c r="H3821" i="1"/>
  <c r="J3821" i="1" s="1"/>
  <c r="H3822" i="1"/>
  <c r="H3823" i="1"/>
  <c r="H3824" i="1"/>
  <c r="J3824" i="1" s="1"/>
  <c r="H3825" i="1"/>
  <c r="J3825" i="1" s="1"/>
  <c r="H3826" i="1"/>
  <c r="H3827" i="1"/>
  <c r="H3828" i="1"/>
  <c r="J3828" i="1" s="1"/>
  <c r="H3829" i="1"/>
  <c r="J3829" i="1" s="1"/>
  <c r="H3830" i="1"/>
  <c r="H3831" i="1"/>
  <c r="H3832" i="1"/>
  <c r="J3832" i="1" s="1"/>
  <c r="H3833" i="1"/>
  <c r="J3833" i="1" s="1"/>
  <c r="H3834" i="1"/>
  <c r="H3835" i="1"/>
  <c r="H3836" i="1"/>
  <c r="J3836" i="1" s="1"/>
  <c r="H3837" i="1"/>
  <c r="J3837" i="1" s="1"/>
  <c r="H3838" i="1"/>
  <c r="H3839" i="1"/>
  <c r="H3840" i="1"/>
  <c r="J3840" i="1" s="1"/>
  <c r="H3841" i="1"/>
  <c r="J3841" i="1" s="1"/>
  <c r="H3842" i="1"/>
  <c r="H3843" i="1"/>
  <c r="H3844" i="1"/>
  <c r="J3844" i="1" s="1"/>
  <c r="H3845" i="1"/>
  <c r="J3845" i="1" s="1"/>
  <c r="H3846" i="1"/>
  <c r="H3847" i="1"/>
  <c r="H3848" i="1"/>
  <c r="J3848" i="1" s="1"/>
  <c r="H3849" i="1"/>
  <c r="J3849" i="1" s="1"/>
  <c r="H3850" i="1"/>
  <c r="H3851" i="1"/>
  <c r="H3852" i="1"/>
  <c r="J3852" i="1" s="1"/>
  <c r="H3853" i="1"/>
  <c r="J3853" i="1" s="1"/>
  <c r="H3854" i="1"/>
  <c r="H3855" i="1"/>
  <c r="H3856" i="1"/>
  <c r="J3856" i="1" s="1"/>
  <c r="H3857" i="1"/>
  <c r="J3857" i="1" s="1"/>
  <c r="H3858" i="1"/>
  <c r="H3859" i="1"/>
  <c r="H3860" i="1"/>
  <c r="J3860" i="1" s="1"/>
  <c r="H3861" i="1"/>
  <c r="J3861" i="1" s="1"/>
  <c r="H3862" i="1"/>
  <c r="H3863" i="1"/>
  <c r="H3864" i="1"/>
  <c r="J3864" i="1" s="1"/>
  <c r="H3865" i="1"/>
  <c r="J3865" i="1" s="1"/>
  <c r="H3866" i="1"/>
  <c r="H3867" i="1"/>
  <c r="H3868" i="1"/>
  <c r="J3868" i="1" s="1"/>
  <c r="H3869" i="1"/>
  <c r="J3869" i="1" s="1"/>
  <c r="H3870" i="1"/>
  <c r="H3871" i="1"/>
  <c r="H3872" i="1"/>
  <c r="J3872" i="1" s="1"/>
  <c r="H3873" i="1"/>
  <c r="J3873" i="1" s="1"/>
  <c r="H3874" i="1"/>
  <c r="H3875" i="1"/>
  <c r="H3876" i="1"/>
  <c r="J3876" i="1" s="1"/>
  <c r="H3877" i="1"/>
  <c r="J3877" i="1" s="1"/>
  <c r="H3878" i="1"/>
  <c r="H3879" i="1"/>
  <c r="H3880" i="1"/>
  <c r="J3880" i="1" s="1"/>
  <c r="H3881" i="1"/>
  <c r="J3881" i="1" s="1"/>
  <c r="H3882" i="1"/>
  <c r="H3883" i="1"/>
  <c r="H3884" i="1"/>
  <c r="J3884" i="1" s="1"/>
  <c r="H3885" i="1"/>
  <c r="J3885" i="1" s="1"/>
  <c r="H3886" i="1"/>
  <c r="H3887" i="1"/>
  <c r="H3888" i="1"/>
  <c r="J3888" i="1" s="1"/>
  <c r="H3889" i="1"/>
  <c r="J3889" i="1" s="1"/>
  <c r="H3890" i="1"/>
  <c r="H3891" i="1"/>
  <c r="H3892" i="1"/>
  <c r="J3892" i="1" s="1"/>
  <c r="H3893" i="1"/>
  <c r="J3893" i="1" s="1"/>
  <c r="H3894" i="1"/>
  <c r="H3895" i="1"/>
  <c r="H3896" i="1"/>
  <c r="J3896" i="1" s="1"/>
  <c r="H3897" i="1"/>
  <c r="J3897" i="1" s="1"/>
  <c r="H3898" i="1"/>
  <c r="H3899" i="1"/>
  <c r="H3900" i="1"/>
  <c r="J3900" i="1" s="1"/>
  <c r="H3901" i="1"/>
  <c r="J3901" i="1" s="1"/>
  <c r="H3902" i="1"/>
  <c r="H3903" i="1"/>
  <c r="H3904" i="1"/>
  <c r="J3904" i="1" s="1"/>
  <c r="H3905" i="1"/>
  <c r="J3905" i="1" s="1"/>
  <c r="H3906" i="1"/>
  <c r="H3907" i="1"/>
  <c r="H3908" i="1"/>
  <c r="J3908" i="1" s="1"/>
  <c r="H3909" i="1"/>
  <c r="J3909" i="1" s="1"/>
  <c r="H3910" i="1"/>
  <c r="H3911" i="1"/>
  <c r="H3912" i="1"/>
  <c r="J3912" i="1" s="1"/>
  <c r="H3913" i="1"/>
  <c r="J3913" i="1" s="1"/>
  <c r="H3914" i="1"/>
  <c r="H3915" i="1"/>
  <c r="H3916" i="1"/>
  <c r="J3916" i="1" s="1"/>
  <c r="H3917" i="1"/>
  <c r="J3917" i="1" s="1"/>
  <c r="H3918" i="1"/>
  <c r="H3919" i="1"/>
  <c r="H3920" i="1"/>
  <c r="J3920" i="1" s="1"/>
  <c r="H3921" i="1"/>
  <c r="J3921" i="1" s="1"/>
  <c r="H3922" i="1"/>
  <c r="H3923" i="1"/>
  <c r="H3924" i="1"/>
  <c r="J3924" i="1" s="1"/>
  <c r="H3925" i="1"/>
  <c r="J3925" i="1" s="1"/>
  <c r="H3926" i="1"/>
  <c r="H3927" i="1"/>
  <c r="H3928" i="1"/>
  <c r="J3928" i="1" s="1"/>
  <c r="H3929" i="1"/>
  <c r="J3929" i="1" s="1"/>
  <c r="H3930" i="1"/>
  <c r="H3931" i="1"/>
  <c r="H3932" i="1"/>
  <c r="J3932" i="1" s="1"/>
  <c r="H3933" i="1"/>
  <c r="J3933" i="1" s="1"/>
  <c r="H3934" i="1"/>
  <c r="H3935" i="1"/>
  <c r="H3936" i="1"/>
  <c r="J3936" i="1" s="1"/>
  <c r="H3937" i="1"/>
  <c r="J3937" i="1" s="1"/>
  <c r="H3938" i="1"/>
  <c r="H3939" i="1"/>
  <c r="H3940" i="1"/>
  <c r="J3940" i="1" s="1"/>
  <c r="H3941" i="1"/>
  <c r="J3941" i="1" s="1"/>
  <c r="H3942" i="1"/>
  <c r="H3943" i="1"/>
  <c r="H3944" i="1"/>
  <c r="J3944" i="1" s="1"/>
  <c r="H3945" i="1"/>
  <c r="J3945" i="1" s="1"/>
  <c r="H3946" i="1"/>
  <c r="H3947" i="1"/>
  <c r="H3948" i="1"/>
  <c r="J3948" i="1" s="1"/>
  <c r="H3949" i="1"/>
  <c r="J3949" i="1" s="1"/>
  <c r="H3950" i="1"/>
  <c r="H3951" i="1"/>
  <c r="H3952" i="1"/>
  <c r="J3952" i="1" s="1"/>
  <c r="H3953" i="1"/>
  <c r="J3953" i="1" s="1"/>
  <c r="H3954" i="1"/>
  <c r="H3955" i="1"/>
  <c r="H3956" i="1"/>
  <c r="J3956" i="1" s="1"/>
  <c r="H3957" i="1"/>
  <c r="J3957" i="1" s="1"/>
  <c r="H3958" i="1"/>
  <c r="H3959" i="1"/>
  <c r="H3960" i="1"/>
  <c r="J3960" i="1" s="1"/>
  <c r="H3961" i="1"/>
  <c r="J3961" i="1" s="1"/>
  <c r="H3962" i="1"/>
  <c r="H3963" i="1"/>
  <c r="H3964" i="1"/>
  <c r="J3964" i="1" s="1"/>
  <c r="H3965" i="1"/>
  <c r="J3965" i="1" s="1"/>
  <c r="H3966" i="1"/>
  <c r="H3967" i="1"/>
  <c r="H3968" i="1"/>
  <c r="J3968" i="1" s="1"/>
  <c r="H3969" i="1"/>
  <c r="J3969" i="1" s="1"/>
  <c r="H3970" i="1"/>
  <c r="H3971" i="1"/>
  <c r="H3972" i="1"/>
  <c r="J3972" i="1" s="1"/>
  <c r="H3973" i="1"/>
  <c r="J3973" i="1" s="1"/>
  <c r="H3974" i="1"/>
  <c r="H3975" i="1"/>
  <c r="H3976" i="1"/>
  <c r="J3976" i="1" s="1"/>
  <c r="H3977" i="1"/>
  <c r="J3977" i="1" s="1"/>
  <c r="H3978" i="1"/>
  <c r="H3979" i="1"/>
  <c r="H3980" i="1"/>
  <c r="J3980" i="1" s="1"/>
  <c r="H3981" i="1"/>
  <c r="J3981" i="1" s="1"/>
  <c r="H3982" i="1"/>
  <c r="H3983" i="1"/>
  <c r="H3984" i="1"/>
  <c r="J3984" i="1" s="1"/>
  <c r="H3985" i="1"/>
  <c r="J3985" i="1" s="1"/>
  <c r="H3986" i="1"/>
  <c r="H3987" i="1"/>
  <c r="H3988" i="1"/>
  <c r="J3988" i="1" s="1"/>
  <c r="H3989" i="1"/>
  <c r="J3989" i="1" s="1"/>
  <c r="H3990" i="1"/>
  <c r="H3991" i="1"/>
  <c r="H3992" i="1"/>
  <c r="J3992" i="1" s="1"/>
  <c r="H3993" i="1"/>
  <c r="J3993" i="1" s="1"/>
  <c r="H3994" i="1"/>
  <c r="H3995" i="1"/>
  <c r="H3996" i="1"/>
  <c r="J3996" i="1" s="1"/>
  <c r="H3997" i="1"/>
  <c r="J3997" i="1" s="1"/>
  <c r="H3998" i="1"/>
  <c r="H3999" i="1"/>
  <c r="H4000" i="1"/>
  <c r="J4000" i="1" s="1"/>
  <c r="H4001" i="1"/>
  <c r="J4001" i="1" s="1"/>
  <c r="H4002" i="1"/>
  <c r="H4003" i="1"/>
  <c r="H4004" i="1"/>
  <c r="J4004" i="1" s="1"/>
  <c r="H4005" i="1"/>
  <c r="J4005" i="1" s="1"/>
  <c r="H4006" i="1"/>
  <c r="H4007" i="1"/>
  <c r="H4008" i="1"/>
  <c r="J4008" i="1" s="1"/>
  <c r="H4009" i="1"/>
  <c r="J4009" i="1" s="1"/>
  <c r="H4010" i="1"/>
  <c r="H4011" i="1"/>
  <c r="H4012" i="1"/>
  <c r="J4012" i="1" s="1"/>
  <c r="H4013" i="1"/>
  <c r="J4013" i="1" s="1"/>
  <c r="H4014" i="1"/>
  <c r="H4015" i="1"/>
  <c r="H4016" i="1"/>
  <c r="J4016" i="1" s="1"/>
  <c r="H4017" i="1"/>
  <c r="J4017" i="1" s="1"/>
  <c r="H4018" i="1"/>
  <c r="H4019" i="1"/>
  <c r="H4020" i="1"/>
  <c r="J4020" i="1" s="1"/>
  <c r="H4021" i="1"/>
  <c r="J4021" i="1" s="1"/>
  <c r="H4022" i="1"/>
  <c r="H4023" i="1"/>
  <c r="H4024" i="1"/>
  <c r="J4024" i="1" s="1"/>
  <c r="H4025" i="1"/>
  <c r="J4025" i="1" s="1"/>
  <c r="H4026" i="1"/>
  <c r="H4027" i="1"/>
  <c r="H4028" i="1"/>
  <c r="J4028" i="1" s="1"/>
  <c r="H4029" i="1"/>
  <c r="J4029" i="1" s="1"/>
  <c r="H4030" i="1"/>
  <c r="H4031" i="1"/>
  <c r="H4032" i="1"/>
  <c r="J4032" i="1" s="1"/>
  <c r="H4033" i="1"/>
  <c r="J4033" i="1" s="1"/>
  <c r="H4034" i="1"/>
  <c r="H4035" i="1"/>
  <c r="H4036" i="1"/>
  <c r="J4036" i="1" s="1"/>
  <c r="H4037" i="1"/>
  <c r="J4037" i="1" s="1"/>
  <c r="H4038" i="1"/>
  <c r="H4039" i="1"/>
  <c r="H4040" i="1"/>
  <c r="J4040" i="1" s="1"/>
  <c r="H4041" i="1"/>
  <c r="J4041" i="1" s="1"/>
  <c r="H4042" i="1"/>
  <c r="H4043" i="1"/>
  <c r="H4044" i="1"/>
  <c r="J4044" i="1" s="1"/>
  <c r="H4045" i="1"/>
  <c r="J4045" i="1" s="1"/>
  <c r="H4046" i="1"/>
  <c r="H4047" i="1"/>
  <c r="H4048" i="1"/>
  <c r="J4048" i="1" s="1"/>
  <c r="H4049" i="1"/>
  <c r="J4049" i="1" s="1"/>
  <c r="H4050" i="1"/>
  <c r="H4051" i="1"/>
  <c r="H4052" i="1"/>
  <c r="J4052" i="1" s="1"/>
  <c r="H4053" i="1"/>
  <c r="J4053" i="1" s="1"/>
  <c r="H4054" i="1"/>
  <c r="H4055" i="1"/>
  <c r="H4056" i="1"/>
  <c r="J4056" i="1" s="1"/>
  <c r="H4057" i="1"/>
  <c r="J4057" i="1" s="1"/>
  <c r="H4058" i="1"/>
  <c r="H4059" i="1"/>
  <c r="H4060" i="1"/>
  <c r="J4060" i="1" s="1"/>
  <c r="H4061" i="1"/>
  <c r="J4061" i="1" s="1"/>
  <c r="H4062" i="1"/>
  <c r="H4063" i="1"/>
  <c r="H4064" i="1"/>
  <c r="J4064" i="1" s="1"/>
  <c r="H4065" i="1"/>
  <c r="J4065" i="1" s="1"/>
  <c r="H4066" i="1"/>
  <c r="H4067" i="1"/>
  <c r="H4068" i="1"/>
  <c r="J4068" i="1" s="1"/>
  <c r="H4069" i="1"/>
  <c r="J4069" i="1" s="1"/>
  <c r="H4070" i="1"/>
  <c r="H4071" i="1"/>
  <c r="H4072" i="1"/>
  <c r="J4072" i="1" s="1"/>
  <c r="H4073" i="1"/>
  <c r="J4073" i="1" s="1"/>
  <c r="H4074" i="1"/>
  <c r="H4075" i="1"/>
  <c r="H4076" i="1"/>
  <c r="J4076" i="1" s="1"/>
  <c r="H4077" i="1"/>
  <c r="J4077" i="1" s="1"/>
  <c r="H4078" i="1"/>
  <c r="H4079" i="1"/>
  <c r="H4080" i="1"/>
  <c r="J4080" i="1" s="1"/>
  <c r="H4081" i="1"/>
  <c r="J4081" i="1" s="1"/>
  <c r="H4082" i="1"/>
  <c r="H4083" i="1"/>
  <c r="H4084" i="1"/>
  <c r="J4084" i="1" s="1"/>
  <c r="H4085" i="1"/>
  <c r="J4085" i="1" s="1"/>
  <c r="H4086" i="1"/>
  <c r="H4087" i="1"/>
  <c r="H4088" i="1"/>
  <c r="J4088" i="1" s="1"/>
  <c r="H4089" i="1"/>
  <c r="J4089" i="1" s="1"/>
  <c r="H4090" i="1"/>
  <c r="H4091" i="1"/>
  <c r="H4092" i="1"/>
  <c r="J4092" i="1" s="1"/>
  <c r="H4093" i="1"/>
  <c r="J4093" i="1" s="1"/>
  <c r="H4094" i="1"/>
  <c r="H4095" i="1"/>
  <c r="H4096" i="1"/>
  <c r="J4096" i="1" s="1"/>
  <c r="H4097" i="1"/>
  <c r="J4097" i="1" s="1"/>
  <c r="H4098" i="1"/>
  <c r="H4099" i="1"/>
  <c r="H4100" i="1"/>
  <c r="J4100" i="1" s="1"/>
  <c r="H4101" i="1"/>
  <c r="J4101" i="1" s="1"/>
  <c r="H4102" i="1"/>
  <c r="H4103" i="1"/>
  <c r="H4104" i="1"/>
  <c r="J4104" i="1" s="1"/>
  <c r="H4105" i="1"/>
  <c r="J4105" i="1" s="1"/>
  <c r="H4106" i="1"/>
  <c r="H4107" i="1"/>
  <c r="H4108" i="1"/>
  <c r="J4108" i="1" s="1"/>
  <c r="H4109" i="1"/>
  <c r="J4109" i="1" s="1"/>
  <c r="H4110" i="1"/>
  <c r="H4111" i="1"/>
  <c r="H4112" i="1"/>
  <c r="J4112" i="1" s="1"/>
  <c r="H4113" i="1"/>
  <c r="J4113" i="1" s="1"/>
  <c r="H4114" i="1"/>
  <c r="H4115" i="1"/>
  <c r="H4116" i="1"/>
  <c r="J4116" i="1" s="1"/>
  <c r="H4117" i="1"/>
  <c r="J4117" i="1" s="1"/>
  <c r="H4118" i="1"/>
  <c r="H4119" i="1"/>
  <c r="H4120" i="1"/>
  <c r="J4120" i="1" s="1"/>
  <c r="H4121" i="1"/>
  <c r="J4121" i="1" s="1"/>
  <c r="H4122" i="1"/>
  <c r="H4123" i="1"/>
  <c r="H4124" i="1"/>
  <c r="J4124" i="1" s="1"/>
  <c r="H4125" i="1"/>
  <c r="J4125" i="1" s="1"/>
  <c r="H4126" i="1"/>
  <c r="H4127" i="1"/>
  <c r="H4128" i="1"/>
  <c r="J4128" i="1" s="1"/>
  <c r="H4129" i="1"/>
  <c r="J4129" i="1" s="1"/>
  <c r="H4130" i="1"/>
  <c r="H4131" i="1"/>
  <c r="H4132" i="1"/>
  <c r="J4132" i="1" s="1"/>
  <c r="H4133" i="1"/>
  <c r="J4133" i="1" s="1"/>
  <c r="H4134" i="1"/>
  <c r="H4135" i="1"/>
  <c r="H4136" i="1"/>
  <c r="J4136" i="1" s="1"/>
  <c r="H4137" i="1"/>
  <c r="J4137" i="1" s="1"/>
  <c r="H4138" i="1"/>
  <c r="H4139" i="1"/>
  <c r="H4140" i="1"/>
  <c r="J4140" i="1" s="1"/>
  <c r="H4141" i="1"/>
  <c r="J4141" i="1" s="1"/>
  <c r="H4142" i="1"/>
  <c r="H4143" i="1"/>
  <c r="H4144" i="1"/>
  <c r="J4144" i="1" s="1"/>
  <c r="H4145" i="1"/>
  <c r="J4145" i="1" s="1"/>
  <c r="H4146" i="1"/>
  <c r="H4147" i="1"/>
  <c r="H4148" i="1"/>
  <c r="J4148" i="1" s="1"/>
  <c r="H4149" i="1"/>
  <c r="J4149" i="1" s="1"/>
  <c r="H4150" i="1"/>
  <c r="H4151" i="1"/>
  <c r="H4152" i="1"/>
  <c r="J4152" i="1" s="1"/>
  <c r="H4153" i="1"/>
  <c r="J4153" i="1" s="1"/>
  <c r="H4154" i="1"/>
  <c r="H4155" i="1"/>
  <c r="H4156" i="1"/>
  <c r="J4156" i="1" s="1"/>
  <c r="H4157" i="1"/>
  <c r="J4157" i="1" s="1"/>
  <c r="H4158" i="1"/>
  <c r="H4159" i="1"/>
  <c r="H4160" i="1"/>
  <c r="J4160" i="1" s="1"/>
  <c r="H4161" i="1"/>
  <c r="J4161" i="1" s="1"/>
  <c r="H4162" i="1"/>
  <c r="H4163" i="1"/>
  <c r="H4164" i="1"/>
  <c r="J4164" i="1" s="1"/>
  <c r="H4165" i="1"/>
  <c r="J4165" i="1" s="1"/>
  <c r="H4166" i="1"/>
  <c r="H4167" i="1"/>
  <c r="H4168" i="1"/>
  <c r="J4168" i="1" s="1"/>
  <c r="H4169" i="1"/>
  <c r="J4169" i="1" s="1"/>
  <c r="H4170" i="1"/>
  <c r="H4171" i="1"/>
  <c r="H4172" i="1"/>
  <c r="J4172" i="1" s="1"/>
  <c r="H4173" i="1"/>
  <c r="J4173" i="1" s="1"/>
  <c r="H4174" i="1"/>
  <c r="H4175" i="1"/>
  <c r="H4176" i="1"/>
  <c r="J4176" i="1" s="1"/>
  <c r="H4177" i="1"/>
  <c r="J4177" i="1" s="1"/>
  <c r="H4178" i="1"/>
  <c r="H4179" i="1"/>
  <c r="H4180" i="1"/>
  <c r="J4180" i="1" s="1"/>
  <c r="H4181" i="1"/>
  <c r="J4181" i="1" s="1"/>
  <c r="H4182" i="1"/>
  <c r="H4183" i="1"/>
  <c r="H4184" i="1"/>
  <c r="J4184" i="1" s="1"/>
  <c r="H4185" i="1"/>
  <c r="J4185" i="1" s="1"/>
  <c r="H4186" i="1"/>
  <c r="H4187" i="1"/>
  <c r="H4188" i="1"/>
  <c r="J4188" i="1" s="1"/>
  <c r="H4189" i="1"/>
  <c r="J4189" i="1" s="1"/>
  <c r="H4190" i="1"/>
  <c r="H4191" i="1"/>
  <c r="H4192" i="1"/>
  <c r="J4192" i="1" s="1"/>
  <c r="H4193" i="1"/>
  <c r="J4193" i="1" s="1"/>
  <c r="H4194" i="1"/>
  <c r="H4195" i="1"/>
  <c r="H4196" i="1"/>
  <c r="J4196" i="1" s="1"/>
  <c r="H4197" i="1"/>
  <c r="J4197" i="1" s="1"/>
  <c r="H4198" i="1"/>
  <c r="H4199" i="1"/>
  <c r="H4200" i="1"/>
  <c r="J4200" i="1" s="1"/>
  <c r="H4201" i="1"/>
  <c r="J4201" i="1" s="1"/>
  <c r="H4202" i="1"/>
  <c r="H4203" i="1"/>
  <c r="H4204" i="1"/>
  <c r="J4204" i="1" s="1"/>
  <c r="H4205" i="1"/>
  <c r="J4205" i="1" s="1"/>
  <c r="H4206" i="1"/>
  <c r="H4207" i="1"/>
  <c r="H4208" i="1"/>
  <c r="J4208" i="1" s="1"/>
  <c r="H4209" i="1"/>
  <c r="J4209" i="1" s="1"/>
  <c r="H4210" i="1"/>
  <c r="H4211" i="1"/>
  <c r="H4212" i="1"/>
  <c r="J4212" i="1" s="1"/>
  <c r="H4213" i="1"/>
  <c r="J4213" i="1" s="1"/>
  <c r="H4214" i="1"/>
  <c r="H4215" i="1"/>
  <c r="H4216" i="1"/>
  <c r="J4216" i="1" s="1"/>
  <c r="H4217" i="1"/>
  <c r="J4217" i="1" s="1"/>
  <c r="H4218" i="1"/>
  <c r="H4219" i="1"/>
  <c r="H4220" i="1"/>
  <c r="J4220" i="1" s="1"/>
  <c r="H4221" i="1"/>
  <c r="J4221" i="1" s="1"/>
  <c r="H4222" i="1"/>
  <c r="H4223" i="1"/>
  <c r="H4224" i="1"/>
  <c r="J4224" i="1" s="1"/>
  <c r="H4225" i="1"/>
  <c r="J4225" i="1" s="1"/>
  <c r="H4226" i="1"/>
  <c r="H4227" i="1"/>
  <c r="H4228" i="1"/>
  <c r="J4228" i="1" s="1"/>
  <c r="H4229" i="1"/>
  <c r="J4229" i="1" s="1"/>
  <c r="H4230" i="1"/>
  <c r="H4231" i="1"/>
  <c r="H4232" i="1"/>
  <c r="J4232" i="1" s="1"/>
  <c r="H4233" i="1"/>
  <c r="J4233" i="1" s="1"/>
  <c r="H4234" i="1"/>
  <c r="H4235" i="1"/>
  <c r="H4236" i="1"/>
  <c r="J4236" i="1" s="1"/>
  <c r="H4237" i="1"/>
  <c r="J4237" i="1" s="1"/>
  <c r="H4238" i="1"/>
  <c r="H4239" i="1"/>
  <c r="H4240" i="1"/>
  <c r="J4240" i="1" s="1"/>
  <c r="H4241" i="1"/>
  <c r="J4241" i="1" s="1"/>
  <c r="H4242" i="1"/>
  <c r="H4243" i="1"/>
  <c r="H4244" i="1"/>
  <c r="J4244" i="1" s="1"/>
  <c r="H4245" i="1"/>
  <c r="J4245" i="1" s="1"/>
  <c r="H4246" i="1"/>
  <c r="H4247" i="1"/>
  <c r="H4248" i="1"/>
  <c r="J4248" i="1" s="1"/>
  <c r="H4249" i="1"/>
  <c r="J4249" i="1" s="1"/>
  <c r="H4250" i="1"/>
  <c r="H4251" i="1"/>
  <c r="H4252" i="1"/>
  <c r="J4252" i="1" s="1"/>
  <c r="H4253" i="1"/>
  <c r="J4253" i="1" s="1"/>
  <c r="H4254" i="1"/>
  <c r="H4255" i="1"/>
  <c r="H4256" i="1"/>
  <c r="J4256" i="1" s="1"/>
  <c r="H4257" i="1"/>
  <c r="J4257" i="1" s="1"/>
  <c r="H4258" i="1"/>
  <c r="H4259" i="1"/>
  <c r="H4260" i="1"/>
  <c r="J4260" i="1" s="1"/>
  <c r="H4261" i="1"/>
  <c r="J4261" i="1" s="1"/>
  <c r="H4262" i="1"/>
  <c r="H4263" i="1"/>
  <c r="H4264" i="1"/>
  <c r="J4264" i="1" s="1"/>
  <c r="H4265" i="1"/>
  <c r="J4265" i="1" s="1"/>
  <c r="H4266" i="1"/>
  <c r="H4267" i="1"/>
  <c r="H4268" i="1"/>
  <c r="J4268" i="1" s="1"/>
  <c r="H4269" i="1"/>
  <c r="J4269" i="1" s="1"/>
  <c r="H4270" i="1"/>
  <c r="H4271" i="1"/>
  <c r="H4272" i="1"/>
  <c r="J4272" i="1" s="1"/>
  <c r="H4273" i="1"/>
  <c r="J4273" i="1" s="1"/>
  <c r="H4274" i="1"/>
  <c r="H4275" i="1"/>
  <c r="H4276" i="1"/>
  <c r="J4276" i="1" s="1"/>
  <c r="H4277" i="1"/>
  <c r="J4277" i="1" s="1"/>
  <c r="H4278" i="1"/>
  <c r="H4279" i="1"/>
  <c r="H4280" i="1"/>
  <c r="J4280" i="1" s="1"/>
  <c r="H4281" i="1"/>
  <c r="J4281" i="1" s="1"/>
  <c r="H4282" i="1"/>
  <c r="H4283" i="1"/>
  <c r="H4284" i="1"/>
  <c r="J4284" i="1" s="1"/>
  <c r="H4285" i="1"/>
  <c r="J4285" i="1" s="1"/>
  <c r="H4286" i="1"/>
  <c r="H4287" i="1"/>
  <c r="H4288" i="1"/>
  <c r="J4288" i="1" s="1"/>
  <c r="H4289" i="1"/>
  <c r="J4289" i="1" s="1"/>
  <c r="H4290" i="1"/>
  <c r="H4291" i="1"/>
  <c r="H4292" i="1"/>
  <c r="J4292" i="1" s="1"/>
  <c r="H4293" i="1"/>
  <c r="J4293" i="1" s="1"/>
  <c r="H4294" i="1"/>
  <c r="H4295" i="1"/>
  <c r="H4296" i="1"/>
  <c r="J4296" i="1" s="1"/>
  <c r="H4297" i="1"/>
  <c r="J4297" i="1" s="1"/>
  <c r="H4298" i="1"/>
  <c r="H4299" i="1"/>
  <c r="H4300" i="1"/>
  <c r="J4300" i="1" s="1"/>
  <c r="H4301" i="1"/>
  <c r="J4301" i="1" s="1"/>
  <c r="H4302" i="1"/>
  <c r="H4303" i="1"/>
  <c r="H4304" i="1"/>
  <c r="J4304" i="1" s="1"/>
  <c r="H4305" i="1"/>
  <c r="J4305" i="1" s="1"/>
  <c r="H4306" i="1"/>
  <c r="H4307" i="1"/>
  <c r="H4308" i="1"/>
  <c r="J4308" i="1" s="1"/>
  <c r="H4309" i="1"/>
  <c r="J4309" i="1" s="1"/>
  <c r="H4310" i="1"/>
  <c r="H4311" i="1"/>
  <c r="H4312" i="1"/>
  <c r="J4312" i="1" s="1"/>
  <c r="H4313" i="1"/>
  <c r="J4313" i="1" s="1"/>
  <c r="H4314" i="1"/>
  <c r="H4315" i="1"/>
  <c r="H4316" i="1"/>
  <c r="J4316" i="1" s="1"/>
  <c r="H4317" i="1"/>
  <c r="J4317" i="1" s="1"/>
  <c r="H4318" i="1"/>
  <c r="H4319" i="1"/>
  <c r="H4320" i="1"/>
  <c r="J4320" i="1" s="1"/>
  <c r="H4321" i="1"/>
  <c r="J4321" i="1" s="1"/>
  <c r="H4322" i="1"/>
  <c r="H4323" i="1"/>
  <c r="H4324" i="1"/>
  <c r="J4324" i="1" s="1"/>
  <c r="H4325" i="1"/>
  <c r="J4325" i="1" s="1"/>
  <c r="H4326" i="1"/>
  <c r="H4327" i="1"/>
  <c r="H4328" i="1"/>
  <c r="J4328" i="1" s="1"/>
  <c r="H4329" i="1"/>
  <c r="J4329" i="1" s="1"/>
  <c r="H4330" i="1"/>
  <c r="H4331" i="1"/>
  <c r="H4332" i="1"/>
  <c r="J4332" i="1" s="1"/>
  <c r="H4333" i="1"/>
  <c r="J4333" i="1" s="1"/>
  <c r="H4334" i="1"/>
  <c r="H4335" i="1"/>
  <c r="H4336" i="1"/>
  <c r="J4336" i="1" s="1"/>
  <c r="H4337" i="1"/>
  <c r="J4337" i="1" s="1"/>
  <c r="H4338" i="1"/>
  <c r="H4339" i="1"/>
  <c r="H4340" i="1"/>
  <c r="J4340" i="1" s="1"/>
  <c r="H4341" i="1"/>
  <c r="J4341" i="1" s="1"/>
  <c r="H4342" i="1"/>
  <c r="H4343" i="1"/>
  <c r="H4344" i="1"/>
  <c r="J4344" i="1" s="1"/>
  <c r="H4345" i="1"/>
  <c r="J4345" i="1" s="1"/>
  <c r="H4346" i="1"/>
  <c r="H4347" i="1"/>
  <c r="H4348" i="1"/>
  <c r="J4348" i="1" s="1"/>
  <c r="H4349" i="1"/>
  <c r="J4349" i="1" s="1"/>
  <c r="H4350" i="1"/>
  <c r="H4351" i="1"/>
  <c r="H4352" i="1"/>
  <c r="J4352" i="1" s="1"/>
  <c r="H4353" i="1"/>
  <c r="J4353" i="1" s="1"/>
  <c r="H4354" i="1"/>
  <c r="H4355" i="1"/>
  <c r="H4356" i="1"/>
  <c r="J4356" i="1" s="1"/>
  <c r="H4357" i="1"/>
  <c r="J4357" i="1" s="1"/>
  <c r="H4358" i="1"/>
  <c r="H4359" i="1"/>
  <c r="H4360" i="1"/>
  <c r="J4360" i="1" s="1"/>
  <c r="H4361" i="1"/>
  <c r="J4361" i="1" s="1"/>
  <c r="H4362" i="1"/>
  <c r="H4363" i="1"/>
  <c r="H4364" i="1"/>
  <c r="J4364" i="1" s="1"/>
  <c r="H4365" i="1"/>
  <c r="J4365" i="1" s="1"/>
  <c r="H4366" i="1"/>
  <c r="H4367" i="1"/>
  <c r="H4368" i="1"/>
  <c r="J4368" i="1" s="1"/>
  <c r="H4369" i="1"/>
  <c r="J4369" i="1" s="1"/>
  <c r="H4370" i="1"/>
  <c r="H4371" i="1"/>
  <c r="H4372" i="1"/>
  <c r="J4372" i="1" s="1"/>
  <c r="H4373" i="1"/>
  <c r="J4373" i="1" s="1"/>
  <c r="H4374" i="1"/>
  <c r="H4375" i="1"/>
  <c r="H4376" i="1"/>
  <c r="J4376" i="1" s="1"/>
  <c r="H4377" i="1"/>
  <c r="J4377" i="1" s="1"/>
  <c r="H4378" i="1"/>
  <c r="H4379" i="1"/>
  <c r="H4380" i="1"/>
  <c r="J4380" i="1" s="1"/>
  <c r="H4381" i="1"/>
  <c r="J4381" i="1" s="1"/>
  <c r="H4382" i="1"/>
  <c r="H4383" i="1"/>
  <c r="H4384" i="1"/>
  <c r="J4384" i="1" s="1"/>
  <c r="H4385" i="1"/>
  <c r="J4385" i="1" s="1"/>
  <c r="H4386" i="1"/>
  <c r="H4387" i="1"/>
  <c r="H4388" i="1"/>
  <c r="J4388" i="1" s="1"/>
  <c r="H4389" i="1"/>
  <c r="J4389" i="1" s="1"/>
  <c r="H4390" i="1"/>
  <c r="H4391" i="1"/>
  <c r="H4392" i="1"/>
  <c r="J4392" i="1" s="1"/>
  <c r="H4393" i="1"/>
  <c r="J4393" i="1" s="1"/>
  <c r="H4394" i="1"/>
  <c r="H4395" i="1"/>
  <c r="H4396" i="1"/>
  <c r="J4396" i="1" s="1"/>
  <c r="H4397" i="1"/>
  <c r="J4397" i="1" s="1"/>
  <c r="H4398" i="1"/>
  <c r="H4399" i="1"/>
  <c r="H4400" i="1"/>
  <c r="J4400" i="1" s="1"/>
  <c r="H4401" i="1"/>
  <c r="J4401" i="1" s="1"/>
  <c r="H4402" i="1"/>
  <c r="H4403" i="1"/>
  <c r="H4404" i="1"/>
  <c r="J4404" i="1" s="1"/>
  <c r="H4405" i="1"/>
  <c r="J4405" i="1" s="1"/>
  <c r="H4406" i="1"/>
  <c r="H4407" i="1"/>
  <c r="H4408" i="1"/>
  <c r="J4408" i="1" s="1"/>
  <c r="H4409" i="1"/>
  <c r="J4409" i="1" s="1"/>
  <c r="H4410" i="1"/>
  <c r="H4411" i="1"/>
  <c r="H4412" i="1"/>
  <c r="J4412" i="1" s="1"/>
  <c r="H4413" i="1"/>
  <c r="J4413" i="1" s="1"/>
  <c r="H4414" i="1"/>
  <c r="H4415" i="1"/>
  <c r="H4416" i="1"/>
  <c r="J4416" i="1" s="1"/>
  <c r="H4417" i="1"/>
  <c r="J4417" i="1" s="1"/>
  <c r="H4418" i="1"/>
  <c r="H4419" i="1"/>
  <c r="H4420" i="1"/>
  <c r="J4420" i="1" s="1"/>
  <c r="H4421" i="1"/>
  <c r="J4421" i="1" s="1"/>
  <c r="H4422" i="1"/>
  <c r="H4423" i="1"/>
  <c r="H4424" i="1"/>
  <c r="J4424" i="1" s="1"/>
  <c r="H4425" i="1"/>
  <c r="J4425" i="1" s="1"/>
  <c r="H4426" i="1"/>
  <c r="H4427" i="1"/>
  <c r="H4428" i="1"/>
  <c r="J4428" i="1" s="1"/>
  <c r="H4429" i="1"/>
  <c r="J4429" i="1" s="1"/>
  <c r="H4430" i="1"/>
  <c r="H4431" i="1"/>
  <c r="H4432" i="1"/>
  <c r="J4432" i="1" s="1"/>
  <c r="H4433" i="1"/>
  <c r="J4433" i="1" s="1"/>
  <c r="H4434" i="1"/>
  <c r="H4435" i="1"/>
  <c r="H4436" i="1"/>
  <c r="J4436" i="1" s="1"/>
  <c r="H4437" i="1"/>
  <c r="J4437" i="1" s="1"/>
  <c r="H4438" i="1"/>
  <c r="H4439" i="1"/>
  <c r="H4440" i="1"/>
  <c r="J4440" i="1" s="1"/>
  <c r="H4441" i="1"/>
  <c r="J4441" i="1" s="1"/>
  <c r="H4442" i="1"/>
  <c r="H4443" i="1"/>
  <c r="H4444" i="1"/>
  <c r="J4444" i="1" s="1"/>
  <c r="H4445" i="1"/>
  <c r="J4445" i="1" s="1"/>
  <c r="H4446" i="1"/>
  <c r="H4447" i="1"/>
  <c r="H4448" i="1"/>
  <c r="J4448" i="1" s="1"/>
  <c r="H4449" i="1"/>
  <c r="J4449" i="1" s="1"/>
  <c r="H4450" i="1"/>
  <c r="H4451" i="1"/>
  <c r="H4452" i="1"/>
  <c r="J4452" i="1" s="1"/>
  <c r="H4453" i="1"/>
  <c r="J4453" i="1" s="1"/>
  <c r="H4454" i="1"/>
  <c r="H4455" i="1"/>
  <c r="H4456" i="1"/>
  <c r="J4456" i="1" s="1"/>
  <c r="H4457" i="1"/>
  <c r="J4457" i="1" s="1"/>
  <c r="H4458" i="1"/>
  <c r="H4459" i="1"/>
  <c r="H4460" i="1"/>
  <c r="J4460" i="1" s="1"/>
  <c r="H4461" i="1"/>
  <c r="J4461" i="1" s="1"/>
  <c r="H4462" i="1"/>
  <c r="H4463" i="1"/>
  <c r="H4464" i="1"/>
  <c r="J4464" i="1" s="1"/>
  <c r="H4465" i="1"/>
  <c r="J4465" i="1" s="1"/>
  <c r="H4466" i="1"/>
  <c r="H4467" i="1"/>
  <c r="H4468" i="1"/>
  <c r="J4468" i="1" s="1"/>
  <c r="H4469" i="1"/>
  <c r="J4469" i="1" s="1"/>
  <c r="H4470" i="1"/>
  <c r="H4471" i="1"/>
  <c r="H4472" i="1"/>
  <c r="J4472" i="1" s="1"/>
  <c r="H4473" i="1"/>
  <c r="J4473" i="1" s="1"/>
  <c r="H4474" i="1"/>
  <c r="H4475" i="1"/>
  <c r="H4476" i="1"/>
  <c r="J4476" i="1" s="1"/>
  <c r="H4477" i="1"/>
  <c r="J4477" i="1" s="1"/>
  <c r="H4478" i="1"/>
  <c r="H4479" i="1"/>
  <c r="H4480" i="1"/>
  <c r="J4480" i="1" s="1"/>
  <c r="H4481" i="1"/>
  <c r="J4481" i="1" s="1"/>
  <c r="H4482" i="1"/>
  <c r="H4483" i="1"/>
  <c r="H4484" i="1"/>
  <c r="J4484" i="1" s="1"/>
  <c r="H4485" i="1"/>
  <c r="J4485" i="1" s="1"/>
  <c r="H4486" i="1"/>
  <c r="H4487" i="1"/>
  <c r="H4488" i="1"/>
  <c r="J4488" i="1" s="1"/>
  <c r="H4489" i="1"/>
  <c r="J4489" i="1" s="1"/>
  <c r="H4490" i="1"/>
  <c r="H4491" i="1"/>
  <c r="H4492" i="1"/>
  <c r="J4492" i="1" s="1"/>
  <c r="H4493" i="1"/>
  <c r="J4493" i="1" s="1"/>
  <c r="H4494" i="1"/>
  <c r="H4495" i="1"/>
  <c r="H4496" i="1"/>
  <c r="J4496" i="1" s="1"/>
  <c r="H4497" i="1"/>
  <c r="J4497" i="1" s="1"/>
  <c r="H4498" i="1"/>
  <c r="H4499" i="1"/>
  <c r="H4500" i="1"/>
  <c r="J4500" i="1" s="1"/>
  <c r="H4501" i="1"/>
  <c r="J4501" i="1" s="1"/>
  <c r="H4502" i="1"/>
  <c r="H4503" i="1"/>
  <c r="H4504" i="1"/>
  <c r="J4504" i="1" s="1"/>
  <c r="H4505" i="1"/>
  <c r="J4505" i="1" s="1"/>
  <c r="H4506" i="1"/>
  <c r="H4507" i="1"/>
  <c r="H4508" i="1"/>
  <c r="J4508" i="1" s="1"/>
  <c r="H4509" i="1"/>
  <c r="J4509" i="1" s="1"/>
  <c r="H4510" i="1"/>
  <c r="H4511" i="1"/>
  <c r="H4512" i="1"/>
  <c r="J4512" i="1" s="1"/>
  <c r="H4513" i="1"/>
  <c r="J4513" i="1" s="1"/>
  <c r="H4514" i="1"/>
  <c r="H4515" i="1"/>
  <c r="H4516" i="1"/>
  <c r="J4516" i="1" s="1"/>
  <c r="H4517" i="1"/>
  <c r="J4517" i="1" s="1"/>
  <c r="H4518" i="1"/>
  <c r="H4519" i="1"/>
  <c r="H4520" i="1"/>
  <c r="J4520" i="1" s="1"/>
  <c r="H4521" i="1"/>
  <c r="J4521" i="1" s="1"/>
  <c r="H4522" i="1"/>
  <c r="H4523" i="1"/>
  <c r="H4524" i="1"/>
  <c r="J4524" i="1" s="1"/>
  <c r="H4525" i="1"/>
  <c r="J4525" i="1" s="1"/>
  <c r="H4526" i="1"/>
  <c r="H4527" i="1"/>
  <c r="H4528" i="1"/>
  <c r="J4528" i="1" s="1"/>
  <c r="H4529" i="1"/>
  <c r="J4529" i="1" s="1"/>
  <c r="H4530" i="1"/>
  <c r="H4531" i="1"/>
  <c r="H4532" i="1"/>
  <c r="J4532" i="1" s="1"/>
  <c r="H4533" i="1"/>
  <c r="J4533" i="1" s="1"/>
  <c r="H4534" i="1"/>
  <c r="H4535" i="1"/>
  <c r="H4536" i="1"/>
  <c r="J4536" i="1" s="1"/>
  <c r="H4537" i="1"/>
  <c r="J4537" i="1" s="1"/>
  <c r="H4538" i="1"/>
  <c r="H4539" i="1"/>
  <c r="H4540" i="1"/>
  <c r="J4540" i="1" s="1"/>
  <c r="H4541" i="1"/>
  <c r="J4541" i="1" s="1"/>
  <c r="H4542" i="1"/>
  <c r="H4543" i="1"/>
  <c r="H4544" i="1"/>
  <c r="J4544" i="1" s="1"/>
  <c r="H4545" i="1"/>
  <c r="J4545" i="1" s="1"/>
  <c r="H4546" i="1"/>
  <c r="H4547" i="1"/>
  <c r="H4548" i="1"/>
  <c r="J4548" i="1" s="1"/>
  <c r="H4549" i="1"/>
  <c r="J4549" i="1" s="1"/>
  <c r="H4550" i="1"/>
  <c r="H4551" i="1"/>
  <c r="H4552" i="1"/>
  <c r="J4552" i="1" s="1"/>
  <c r="H4553" i="1"/>
  <c r="J4553" i="1" s="1"/>
  <c r="H4554" i="1"/>
  <c r="H4555" i="1"/>
  <c r="H4556" i="1"/>
  <c r="J4556" i="1" s="1"/>
  <c r="H4557" i="1"/>
  <c r="J4557" i="1" s="1"/>
  <c r="H4558" i="1"/>
  <c r="H4559" i="1"/>
  <c r="H4560" i="1"/>
  <c r="J4560" i="1" s="1"/>
  <c r="H4561" i="1"/>
  <c r="J4561" i="1" s="1"/>
  <c r="H4562" i="1"/>
  <c r="H4563" i="1"/>
  <c r="H4564" i="1"/>
  <c r="J4564" i="1" s="1"/>
  <c r="H4565" i="1"/>
  <c r="J4565" i="1" s="1"/>
  <c r="H4566" i="1"/>
  <c r="H4567" i="1"/>
  <c r="H4568" i="1"/>
  <c r="J4568" i="1" s="1"/>
  <c r="H4569" i="1"/>
  <c r="J4569" i="1" s="1"/>
  <c r="H4570" i="1"/>
  <c r="H4571" i="1"/>
  <c r="H4572" i="1"/>
  <c r="J4572" i="1" s="1"/>
  <c r="H4573" i="1"/>
  <c r="J4573" i="1" s="1"/>
  <c r="H4574" i="1"/>
  <c r="H4575" i="1"/>
  <c r="H4576" i="1"/>
  <c r="J4576" i="1" s="1"/>
  <c r="H4577" i="1"/>
  <c r="J4577" i="1" s="1"/>
  <c r="H4578" i="1"/>
  <c r="H4579" i="1"/>
  <c r="H4580" i="1"/>
  <c r="J4580" i="1" s="1"/>
  <c r="H4581" i="1"/>
  <c r="J4581" i="1" s="1"/>
  <c r="H4582" i="1"/>
  <c r="H4583" i="1"/>
  <c r="H4584" i="1"/>
  <c r="J4584" i="1" s="1"/>
  <c r="H4585" i="1"/>
  <c r="J4585" i="1" s="1"/>
  <c r="H4586" i="1"/>
  <c r="H4587" i="1"/>
  <c r="H4588" i="1"/>
  <c r="J4588" i="1" s="1"/>
  <c r="H4589" i="1"/>
  <c r="J4589" i="1" s="1"/>
  <c r="H4590" i="1"/>
  <c r="H4591" i="1"/>
  <c r="H4592" i="1"/>
  <c r="J4592" i="1" s="1"/>
  <c r="H4593" i="1"/>
  <c r="J4593" i="1" s="1"/>
  <c r="H4594" i="1"/>
  <c r="H4595" i="1"/>
  <c r="H4596" i="1"/>
  <c r="J4596" i="1" s="1"/>
  <c r="H4597" i="1"/>
  <c r="J4597" i="1" s="1"/>
  <c r="H4598" i="1"/>
  <c r="H4599" i="1"/>
  <c r="H4600" i="1"/>
  <c r="J4600" i="1" s="1"/>
  <c r="H4601" i="1"/>
  <c r="J4601" i="1" s="1"/>
  <c r="H4602" i="1"/>
  <c r="H4603" i="1"/>
  <c r="H4604" i="1"/>
  <c r="J4604" i="1" s="1"/>
  <c r="H4605" i="1"/>
  <c r="J4605" i="1" s="1"/>
  <c r="H4606" i="1"/>
  <c r="H4607" i="1"/>
  <c r="H4608" i="1"/>
  <c r="J4608" i="1" s="1"/>
  <c r="H4609" i="1"/>
  <c r="J4609" i="1" s="1"/>
  <c r="H4610" i="1"/>
  <c r="H4611" i="1"/>
  <c r="H4612" i="1"/>
  <c r="J4612" i="1" s="1"/>
  <c r="H4613" i="1"/>
  <c r="J4613" i="1" s="1"/>
  <c r="H4614" i="1"/>
  <c r="H4615" i="1"/>
  <c r="H4616" i="1"/>
  <c r="J4616" i="1" s="1"/>
  <c r="H4617" i="1"/>
  <c r="J4617" i="1" s="1"/>
  <c r="H4618" i="1"/>
  <c r="H4619" i="1"/>
  <c r="H4620" i="1"/>
  <c r="J4620" i="1" s="1"/>
  <c r="H4621" i="1"/>
  <c r="J4621" i="1" s="1"/>
  <c r="H4622" i="1"/>
  <c r="H4623" i="1"/>
  <c r="H4624" i="1"/>
  <c r="J4624" i="1" s="1"/>
  <c r="H4625" i="1"/>
  <c r="J4625" i="1" s="1"/>
  <c r="H4626" i="1"/>
  <c r="H4627" i="1"/>
  <c r="H4628" i="1"/>
  <c r="J4628" i="1" s="1"/>
  <c r="H4629" i="1"/>
  <c r="J4629" i="1" s="1"/>
  <c r="H4630" i="1"/>
  <c r="H4631" i="1"/>
  <c r="H4632" i="1"/>
  <c r="J4632" i="1" s="1"/>
  <c r="H4633" i="1"/>
  <c r="J4633" i="1" s="1"/>
  <c r="H4634" i="1"/>
  <c r="H4635" i="1"/>
  <c r="H4636" i="1"/>
  <c r="J4636" i="1" s="1"/>
  <c r="H4637" i="1"/>
  <c r="J4637" i="1" s="1"/>
  <c r="H4638" i="1"/>
  <c r="H4639" i="1"/>
  <c r="H4640" i="1"/>
  <c r="J4640" i="1" s="1"/>
  <c r="H4641" i="1"/>
  <c r="J4641" i="1" s="1"/>
  <c r="H4642" i="1"/>
  <c r="H4643" i="1"/>
  <c r="H4644" i="1"/>
  <c r="J4644" i="1" s="1"/>
  <c r="H4645" i="1"/>
  <c r="J4645" i="1" s="1"/>
  <c r="H4646" i="1"/>
  <c r="H4647" i="1"/>
  <c r="H4648" i="1"/>
  <c r="J4648" i="1" s="1"/>
  <c r="H4649" i="1"/>
  <c r="J4649" i="1" s="1"/>
  <c r="H4650" i="1"/>
  <c r="H4651" i="1"/>
  <c r="H4652" i="1"/>
  <c r="J4652" i="1" s="1"/>
  <c r="H4653" i="1"/>
  <c r="J4653" i="1" s="1"/>
  <c r="H4654" i="1"/>
  <c r="H4655" i="1"/>
  <c r="H4656" i="1"/>
  <c r="J4656" i="1" s="1"/>
  <c r="H4657" i="1"/>
  <c r="J4657" i="1" s="1"/>
  <c r="H4658" i="1"/>
  <c r="H4659" i="1"/>
  <c r="H4660" i="1"/>
  <c r="J4660" i="1" s="1"/>
  <c r="H4661" i="1"/>
  <c r="J4661" i="1" s="1"/>
  <c r="H4662" i="1"/>
  <c r="H4663" i="1"/>
  <c r="H4664" i="1"/>
  <c r="J4664" i="1" s="1"/>
  <c r="H4665" i="1"/>
  <c r="J4665" i="1" s="1"/>
  <c r="H4666" i="1"/>
  <c r="H4667" i="1"/>
  <c r="H4668" i="1"/>
  <c r="J4668" i="1" s="1"/>
  <c r="H4669" i="1"/>
  <c r="J4669" i="1" s="1"/>
  <c r="H4670" i="1"/>
  <c r="H4671" i="1"/>
  <c r="H4672" i="1"/>
  <c r="J4672" i="1" s="1"/>
  <c r="H4673" i="1"/>
  <c r="J4673" i="1" s="1"/>
  <c r="H4674" i="1"/>
  <c r="H4675" i="1"/>
  <c r="H4676" i="1"/>
  <c r="J4676" i="1" s="1"/>
  <c r="H4677" i="1"/>
  <c r="J4677" i="1" s="1"/>
  <c r="H4678" i="1"/>
  <c r="H4679" i="1"/>
  <c r="H4680" i="1"/>
  <c r="J4680" i="1" s="1"/>
  <c r="H4681" i="1"/>
  <c r="J4681" i="1" s="1"/>
  <c r="H4682" i="1"/>
  <c r="H4683" i="1"/>
  <c r="H4684" i="1"/>
  <c r="J4684" i="1" s="1"/>
  <c r="H4685" i="1"/>
  <c r="J4685" i="1" s="1"/>
  <c r="H4686" i="1"/>
  <c r="H4687" i="1"/>
  <c r="H4688" i="1"/>
  <c r="J4688" i="1" s="1"/>
  <c r="H4689" i="1"/>
  <c r="J4689" i="1" s="1"/>
  <c r="H4690" i="1"/>
  <c r="H4691" i="1"/>
  <c r="H4692" i="1"/>
  <c r="J4692" i="1" s="1"/>
  <c r="H4693" i="1"/>
  <c r="J4693" i="1" s="1"/>
  <c r="H4694" i="1"/>
  <c r="H4695" i="1"/>
  <c r="H4696" i="1"/>
  <c r="J4696" i="1" s="1"/>
  <c r="H4697" i="1"/>
  <c r="J4697" i="1" s="1"/>
  <c r="H4698" i="1"/>
  <c r="H4699" i="1"/>
  <c r="H4700" i="1"/>
  <c r="J4700" i="1" s="1"/>
  <c r="H4701" i="1"/>
  <c r="J4701" i="1" s="1"/>
  <c r="H4702" i="1"/>
  <c r="H4703" i="1"/>
  <c r="H4704" i="1"/>
  <c r="J4704" i="1" s="1"/>
  <c r="H4705" i="1"/>
  <c r="J4705" i="1" s="1"/>
  <c r="H4706" i="1"/>
  <c r="H4707" i="1"/>
  <c r="H4708" i="1"/>
  <c r="J4708" i="1" s="1"/>
  <c r="H4709" i="1"/>
  <c r="J4709" i="1" s="1"/>
  <c r="H4710" i="1"/>
  <c r="H4711" i="1"/>
  <c r="H4712" i="1"/>
  <c r="J4712" i="1" s="1"/>
  <c r="H4713" i="1"/>
  <c r="J4713" i="1" s="1"/>
  <c r="H4714" i="1"/>
  <c r="H4715" i="1"/>
  <c r="H4716" i="1"/>
  <c r="J4716" i="1" s="1"/>
  <c r="H4717" i="1"/>
  <c r="J4717" i="1" s="1"/>
  <c r="H4718" i="1"/>
  <c r="H4719" i="1"/>
  <c r="H4720" i="1"/>
  <c r="J4720" i="1" s="1"/>
  <c r="H4721" i="1"/>
  <c r="J4721" i="1" s="1"/>
  <c r="H4722" i="1"/>
  <c r="H4723" i="1"/>
  <c r="H4724" i="1"/>
  <c r="J4724" i="1" s="1"/>
  <c r="H4725" i="1"/>
  <c r="J4725" i="1" s="1"/>
  <c r="H4726" i="1"/>
  <c r="H4727" i="1"/>
  <c r="H4728" i="1"/>
  <c r="J4728" i="1" s="1"/>
  <c r="H4729" i="1"/>
  <c r="J4729" i="1" s="1"/>
  <c r="H4730" i="1"/>
  <c r="H4731" i="1"/>
  <c r="H4732" i="1"/>
  <c r="J4732" i="1" s="1"/>
  <c r="H4733" i="1"/>
  <c r="J4733" i="1" s="1"/>
  <c r="H4734" i="1"/>
  <c r="H4735" i="1"/>
  <c r="H4736" i="1"/>
  <c r="J4736" i="1" s="1"/>
  <c r="H4737" i="1"/>
  <c r="J4737" i="1" s="1"/>
  <c r="H4738" i="1"/>
  <c r="H4739" i="1"/>
  <c r="H4740" i="1"/>
  <c r="J4740" i="1" s="1"/>
  <c r="H4741" i="1"/>
  <c r="J4741" i="1" s="1"/>
  <c r="H4742" i="1"/>
  <c r="H4743" i="1"/>
  <c r="H4744" i="1"/>
  <c r="J4744" i="1" s="1"/>
  <c r="H4745" i="1"/>
  <c r="J4745" i="1" s="1"/>
  <c r="H4746" i="1"/>
  <c r="H4747" i="1"/>
  <c r="H4748" i="1"/>
  <c r="J4748" i="1" s="1"/>
  <c r="H4749" i="1"/>
  <c r="J4749" i="1" s="1"/>
  <c r="H4750" i="1"/>
  <c r="H4751" i="1"/>
  <c r="H4752" i="1"/>
  <c r="J4752" i="1" s="1"/>
  <c r="H4753" i="1"/>
  <c r="J4753" i="1" s="1"/>
  <c r="H4754" i="1"/>
  <c r="H4755" i="1"/>
  <c r="H4756" i="1"/>
  <c r="J4756" i="1" s="1"/>
  <c r="H4757" i="1"/>
  <c r="J4757" i="1" s="1"/>
  <c r="H4758" i="1"/>
  <c r="H4759" i="1"/>
  <c r="H4760" i="1"/>
  <c r="J4760" i="1" s="1"/>
  <c r="H4761" i="1"/>
  <c r="J4761" i="1" s="1"/>
  <c r="H4762" i="1"/>
  <c r="H4763" i="1"/>
  <c r="H4764" i="1"/>
  <c r="J4764" i="1" s="1"/>
  <c r="H4765" i="1"/>
  <c r="J4765" i="1" s="1"/>
  <c r="H4766" i="1"/>
  <c r="H4767" i="1"/>
  <c r="H4768" i="1"/>
  <c r="J4768" i="1" s="1"/>
  <c r="H4769" i="1"/>
  <c r="J4769" i="1" s="1"/>
  <c r="H4770" i="1"/>
  <c r="H4771" i="1"/>
  <c r="H4772" i="1"/>
  <c r="J4772" i="1" s="1"/>
  <c r="H4773" i="1"/>
  <c r="J4773" i="1" s="1"/>
  <c r="H4774" i="1"/>
  <c r="H4775" i="1"/>
  <c r="H4776" i="1"/>
  <c r="J4776" i="1" s="1"/>
  <c r="H4777" i="1"/>
  <c r="J4777" i="1" s="1"/>
  <c r="H4778" i="1"/>
  <c r="H4779" i="1"/>
  <c r="H4780" i="1"/>
  <c r="J4780" i="1" s="1"/>
  <c r="H4781" i="1"/>
  <c r="J4781" i="1" s="1"/>
  <c r="H4782" i="1"/>
  <c r="H4783" i="1"/>
  <c r="H4784" i="1"/>
  <c r="J4784" i="1" s="1"/>
  <c r="H4785" i="1"/>
  <c r="J4785" i="1" s="1"/>
  <c r="H4786" i="1"/>
  <c r="H4787" i="1"/>
  <c r="H4788" i="1"/>
  <c r="J4788" i="1" s="1"/>
  <c r="H4789" i="1"/>
  <c r="J4789" i="1" s="1"/>
  <c r="H4790" i="1"/>
  <c r="H4791" i="1"/>
  <c r="H4792" i="1"/>
  <c r="J4792" i="1" s="1"/>
  <c r="H4793" i="1"/>
  <c r="J4793" i="1" s="1"/>
  <c r="H4794" i="1"/>
  <c r="H4795" i="1"/>
  <c r="H4796" i="1"/>
  <c r="J4796" i="1" s="1"/>
  <c r="H4797" i="1"/>
  <c r="J4797" i="1" s="1"/>
  <c r="H4798" i="1"/>
  <c r="H4799" i="1"/>
  <c r="H4800" i="1"/>
  <c r="J4800" i="1" s="1"/>
  <c r="H4801" i="1"/>
  <c r="J4801" i="1" s="1"/>
  <c r="H4802" i="1"/>
  <c r="H4803" i="1"/>
  <c r="H4804" i="1"/>
  <c r="J4804" i="1" s="1"/>
  <c r="H4805" i="1"/>
  <c r="J4805" i="1" s="1"/>
  <c r="H4806" i="1"/>
  <c r="H4807" i="1"/>
  <c r="H4808" i="1"/>
  <c r="J4808" i="1" s="1"/>
  <c r="H4809" i="1"/>
  <c r="J4809" i="1" s="1"/>
  <c r="H4810" i="1"/>
  <c r="H4811" i="1"/>
  <c r="H4812" i="1"/>
  <c r="J4812" i="1" s="1"/>
  <c r="H4813" i="1"/>
  <c r="J4813" i="1" s="1"/>
  <c r="H4814" i="1"/>
  <c r="H4815" i="1"/>
  <c r="H4816" i="1"/>
  <c r="J4816" i="1" s="1"/>
  <c r="H4817" i="1"/>
  <c r="J4817" i="1" s="1"/>
  <c r="H4818" i="1"/>
  <c r="H4819" i="1"/>
  <c r="H4820" i="1"/>
  <c r="J4820" i="1" s="1"/>
  <c r="H4821" i="1"/>
  <c r="J4821" i="1" s="1"/>
  <c r="H4822" i="1"/>
  <c r="H4823" i="1"/>
  <c r="H4824" i="1"/>
  <c r="J4824" i="1" s="1"/>
  <c r="H4825" i="1"/>
  <c r="J4825" i="1" s="1"/>
  <c r="H4826" i="1"/>
  <c r="H4827" i="1"/>
  <c r="H4828" i="1"/>
  <c r="J4828" i="1" s="1"/>
  <c r="H4829" i="1"/>
  <c r="J4829" i="1" s="1"/>
  <c r="H4830" i="1"/>
  <c r="H4831" i="1"/>
  <c r="H4832" i="1"/>
  <c r="J4832" i="1" s="1"/>
  <c r="H4833" i="1"/>
  <c r="J4833" i="1" s="1"/>
  <c r="H4834" i="1"/>
  <c r="H4835" i="1"/>
  <c r="H4836" i="1"/>
  <c r="J4836" i="1" s="1"/>
  <c r="H4837" i="1"/>
  <c r="J4837" i="1" s="1"/>
  <c r="H4838" i="1"/>
  <c r="H4839" i="1"/>
  <c r="H4840" i="1"/>
  <c r="J4840" i="1" s="1"/>
  <c r="H4841" i="1"/>
  <c r="J4841" i="1" s="1"/>
  <c r="H4842" i="1"/>
  <c r="H4843" i="1"/>
  <c r="H4844" i="1"/>
  <c r="J4844" i="1" s="1"/>
  <c r="H4845" i="1"/>
  <c r="J4845" i="1" s="1"/>
  <c r="H4846" i="1"/>
  <c r="H4847" i="1"/>
  <c r="H4848" i="1"/>
  <c r="J4848" i="1" s="1"/>
  <c r="H4849" i="1"/>
  <c r="J4849" i="1" s="1"/>
  <c r="H4850" i="1"/>
  <c r="H4851" i="1"/>
  <c r="H4852" i="1"/>
  <c r="J4852" i="1" s="1"/>
  <c r="H4853" i="1"/>
  <c r="J4853" i="1" s="1"/>
  <c r="H4854" i="1"/>
  <c r="H4855" i="1"/>
  <c r="H4856" i="1"/>
  <c r="J4856" i="1" s="1"/>
  <c r="H4857" i="1"/>
  <c r="J4857" i="1" s="1"/>
  <c r="H4858" i="1"/>
  <c r="H4859" i="1"/>
  <c r="H4860" i="1"/>
  <c r="J4860" i="1" s="1"/>
  <c r="H4861" i="1"/>
  <c r="J4861" i="1" s="1"/>
  <c r="H4862" i="1"/>
  <c r="H4863" i="1"/>
  <c r="H4864" i="1"/>
  <c r="J4864" i="1" s="1"/>
  <c r="H4865" i="1"/>
  <c r="J4865" i="1" s="1"/>
  <c r="H4866" i="1"/>
  <c r="H4867" i="1"/>
  <c r="H4868" i="1"/>
  <c r="J4868" i="1" s="1"/>
  <c r="H4869" i="1"/>
  <c r="J4869" i="1" s="1"/>
  <c r="H4870" i="1"/>
  <c r="H4871" i="1"/>
  <c r="H4872" i="1"/>
  <c r="J4872" i="1" s="1"/>
  <c r="H4873" i="1"/>
  <c r="J4873" i="1" s="1"/>
  <c r="H4874" i="1"/>
  <c r="H4875" i="1"/>
  <c r="H4876" i="1"/>
  <c r="J4876" i="1" s="1"/>
  <c r="H4877" i="1"/>
  <c r="J4877" i="1" s="1"/>
  <c r="H4878" i="1"/>
  <c r="H4879" i="1"/>
  <c r="H4880" i="1"/>
  <c r="J4880" i="1" s="1"/>
  <c r="H4881" i="1"/>
  <c r="J4881" i="1" s="1"/>
  <c r="H4882" i="1"/>
  <c r="H4883" i="1"/>
  <c r="H4884" i="1"/>
  <c r="J4884" i="1" s="1"/>
  <c r="H4885" i="1"/>
  <c r="J4885" i="1" s="1"/>
  <c r="H4886" i="1"/>
  <c r="H4887" i="1"/>
  <c r="H4888" i="1"/>
  <c r="J4888" i="1" s="1"/>
  <c r="H4889" i="1"/>
  <c r="J4889" i="1" s="1"/>
  <c r="H4890" i="1"/>
  <c r="H4891" i="1"/>
  <c r="H4892" i="1"/>
  <c r="J4892" i="1" s="1"/>
  <c r="H4893" i="1"/>
  <c r="J4893" i="1" s="1"/>
  <c r="H4894" i="1"/>
  <c r="H4895" i="1"/>
  <c r="H4896" i="1"/>
  <c r="J4896" i="1" s="1"/>
  <c r="H4897" i="1"/>
  <c r="J4897" i="1" s="1"/>
  <c r="H4898" i="1"/>
  <c r="H4899" i="1"/>
  <c r="H4900" i="1"/>
  <c r="J4900" i="1" s="1"/>
  <c r="H4901" i="1"/>
  <c r="J4901" i="1" s="1"/>
  <c r="H4902" i="1"/>
  <c r="H4903" i="1"/>
  <c r="H4904" i="1"/>
  <c r="J4904" i="1" s="1"/>
  <c r="H4905" i="1"/>
  <c r="J4905" i="1" s="1"/>
  <c r="H4906" i="1"/>
  <c r="H4907" i="1"/>
  <c r="H4908" i="1"/>
  <c r="J4908" i="1" s="1"/>
  <c r="H4909" i="1"/>
  <c r="J4909" i="1" s="1"/>
  <c r="H4910" i="1"/>
  <c r="H4911" i="1"/>
  <c r="H4912" i="1"/>
  <c r="J4912" i="1" s="1"/>
  <c r="H4913" i="1"/>
  <c r="J4913" i="1" s="1"/>
  <c r="H4914" i="1"/>
  <c r="H4915" i="1"/>
  <c r="H4916" i="1"/>
  <c r="J4916" i="1" s="1"/>
  <c r="H4917" i="1"/>
  <c r="J4917" i="1" s="1"/>
  <c r="H4918" i="1"/>
  <c r="H4919" i="1"/>
  <c r="H4920" i="1"/>
  <c r="J4920" i="1" s="1"/>
  <c r="H4921" i="1"/>
  <c r="J4921" i="1" s="1"/>
  <c r="H4922" i="1"/>
  <c r="H4923" i="1"/>
  <c r="H4924" i="1"/>
  <c r="J4924" i="1" s="1"/>
  <c r="H4925" i="1"/>
  <c r="J4925" i="1" s="1"/>
  <c r="H4926" i="1"/>
  <c r="H4927" i="1"/>
  <c r="H4928" i="1"/>
  <c r="J4928" i="1" s="1"/>
  <c r="H4929" i="1"/>
  <c r="J4929" i="1" s="1"/>
  <c r="H4930" i="1"/>
  <c r="H4931" i="1"/>
  <c r="H4932" i="1"/>
  <c r="J4932" i="1" s="1"/>
  <c r="H4933" i="1"/>
  <c r="J4933" i="1" s="1"/>
  <c r="H4934" i="1"/>
  <c r="H4935" i="1"/>
  <c r="H4936" i="1"/>
  <c r="J4936" i="1" s="1"/>
  <c r="H4938" i="1"/>
  <c r="J4938" i="1" s="1"/>
  <c r="H4939" i="1"/>
  <c r="H4940" i="1"/>
  <c r="J4940" i="1" s="1"/>
  <c r="H4941" i="1"/>
  <c r="J4941" i="1" s="1"/>
  <c r="H4942" i="1"/>
  <c r="J4942" i="1" s="1"/>
  <c r="H4943" i="1"/>
  <c r="H4944" i="1"/>
  <c r="J4944" i="1" s="1"/>
  <c r="H4945" i="1"/>
  <c r="J4945" i="1" s="1"/>
  <c r="H4946" i="1"/>
  <c r="J4946" i="1" s="1"/>
  <c r="H4947" i="1"/>
  <c r="H4948" i="1"/>
  <c r="J4948" i="1" s="1"/>
  <c r="H4949" i="1"/>
  <c r="J4949" i="1" s="1"/>
  <c r="H4950" i="1"/>
  <c r="J4950" i="1" s="1"/>
  <c r="H4951" i="1"/>
  <c r="H4952" i="1"/>
  <c r="J4952" i="1" s="1"/>
  <c r="H4953" i="1"/>
  <c r="J4953" i="1" s="1"/>
  <c r="H4954" i="1"/>
  <c r="J4954" i="1" s="1"/>
  <c r="H4955" i="1"/>
  <c r="H4956" i="1"/>
  <c r="J4956" i="1" s="1"/>
  <c r="H4957" i="1"/>
  <c r="J4957" i="1" s="1"/>
  <c r="H4958" i="1"/>
  <c r="J4958" i="1" s="1"/>
  <c r="H4959" i="1"/>
  <c r="H4960" i="1"/>
  <c r="J4960" i="1" s="1"/>
  <c r="H4961" i="1"/>
  <c r="J4961" i="1" s="1"/>
  <c r="H4962" i="1"/>
  <c r="J4962" i="1" s="1"/>
  <c r="H4963" i="1"/>
  <c r="H4964" i="1"/>
  <c r="J4964" i="1" s="1"/>
  <c r="H4965" i="1"/>
  <c r="J4965" i="1" s="1"/>
  <c r="H4966" i="1"/>
  <c r="J4966" i="1" s="1"/>
  <c r="H4967" i="1"/>
  <c r="H4968" i="1"/>
  <c r="J4968" i="1" s="1"/>
  <c r="H4969" i="1"/>
  <c r="J4969" i="1" s="1"/>
  <c r="H4970" i="1"/>
  <c r="J4970" i="1" s="1"/>
  <c r="H4971" i="1"/>
  <c r="H4972" i="1"/>
  <c r="J4972" i="1" s="1"/>
  <c r="H4973" i="1"/>
  <c r="J4973" i="1" s="1"/>
  <c r="H4974" i="1"/>
  <c r="J4974" i="1" s="1"/>
  <c r="H4975" i="1"/>
  <c r="H4976" i="1"/>
  <c r="J4976" i="1" s="1"/>
  <c r="H4977" i="1"/>
  <c r="J4977" i="1" s="1"/>
  <c r="H4978" i="1"/>
  <c r="J4978" i="1" s="1"/>
  <c r="H4979" i="1"/>
  <c r="H4980" i="1"/>
  <c r="J4980" i="1" s="1"/>
  <c r="H4981" i="1"/>
  <c r="J4981" i="1" s="1"/>
  <c r="H4982" i="1"/>
  <c r="J4982" i="1" s="1"/>
  <c r="H4983" i="1"/>
  <c r="H4984" i="1"/>
  <c r="J4984" i="1" s="1"/>
  <c r="H4985" i="1"/>
  <c r="J4985" i="1" s="1"/>
  <c r="H4986" i="1"/>
  <c r="J4986" i="1" s="1"/>
  <c r="F3" i="1"/>
  <c r="H3" i="1" s="1"/>
  <c r="J3" i="1" s="1"/>
  <c r="F4" i="1"/>
  <c r="H4" i="1" s="1"/>
  <c r="F5" i="1"/>
  <c r="I5" i="1" s="1"/>
  <c r="F6" i="1"/>
  <c r="I6" i="1" s="1"/>
  <c r="F7" i="1"/>
  <c r="H7" i="1" s="1"/>
  <c r="F8" i="1"/>
  <c r="H8" i="1" s="1"/>
  <c r="J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I14" i="1" s="1"/>
  <c r="F15" i="1"/>
  <c r="I15" i="1" s="1"/>
  <c r="F16" i="1"/>
  <c r="I16" i="1" s="1"/>
  <c r="F17" i="1"/>
  <c r="H17" i="1" s="1"/>
  <c r="F18" i="1"/>
  <c r="I18" i="1" s="1"/>
  <c r="F19" i="1"/>
  <c r="H19" i="1" s="1"/>
  <c r="F20" i="1"/>
  <c r="H20" i="1" s="1"/>
  <c r="F21" i="1"/>
  <c r="H21" i="1" s="1"/>
  <c r="F22" i="1"/>
  <c r="H22" i="1" s="1"/>
  <c r="I23" i="1"/>
  <c r="F24" i="1"/>
  <c r="H24" i="1" s="1"/>
  <c r="F25" i="1"/>
  <c r="I25" i="1" s="1"/>
  <c r="F26" i="1"/>
  <c r="H26" i="1" s="1"/>
  <c r="F27" i="1"/>
  <c r="H27" i="1" s="1"/>
  <c r="J27" i="1" s="1"/>
  <c r="F28" i="1"/>
  <c r="H28" i="1" s="1"/>
  <c r="F29" i="1"/>
  <c r="I29" i="1" s="1"/>
  <c r="F30" i="1"/>
  <c r="H30" i="1" s="1"/>
  <c r="F31" i="1"/>
  <c r="I31" i="1" s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H4937" i="1" s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H31" i="1" l="1"/>
  <c r="H29" i="1"/>
  <c r="J29" i="1" s="1"/>
  <c r="I30" i="1"/>
  <c r="I28" i="1"/>
  <c r="J28" i="1" s="1"/>
  <c r="H15" i="1"/>
  <c r="H14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284" i="1"/>
  <c r="J280" i="1"/>
  <c r="J276" i="1"/>
  <c r="J272" i="1"/>
  <c r="J268" i="1"/>
  <c r="J264" i="1"/>
  <c r="J260" i="1"/>
  <c r="J256" i="1"/>
  <c r="J252" i="1"/>
  <c r="J248" i="1"/>
  <c r="J244" i="1"/>
  <c r="J240" i="1"/>
  <c r="J236" i="1"/>
  <c r="J232" i="1"/>
  <c r="J228" i="1"/>
  <c r="J224" i="1"/>
  <c r="J220" i="1"/>
  <c r="J216" i="1"/>
  <c r="J212" i="1"/>
  <c r="J208" i="1"/>
  <c r="J204" i="1"/>
  <c r="J200" i="1"/>
  <c r="J196" i="1"/>
  <c r="J192" i="1"/>
  <c r="J188" i="1"/>
  <c r="J184" i="1"/>
  <c r="J180" i="1"/>
  <c r="J176" i="1"/>
  <c r="J172" i="1"/>
  <c r="J168" i="1"/>
  <c r="J164" i="1"/>
  <c r="J160" i="1"/>
  <c r="J156" i="1"/>
  <c r="J152" i="1"/>
  <c r="J148" i="1"/>
  <c r="J144" i="1"/>
  <c r="J140" i="1"/>
  <c r="J136" i="1"/>
  <c r="J132" i="1"/>
  <c r="J128" i="1"/>
  <c r="J124" i="1"/>
  <c r="J120" i="1"/>
  <c r="J116" i="1"/>
  <c r="J112" i="1"/>
  <c r="J108" i="1"/>
  <c r="J104" i="1"/>
  <c r="J100" i="1"/>
  <c r="J96" i="1"/>
  <c r="J92" i="1"/>
  <c r="J88" i="1"/>
  <c r="J84" i="1"/>
  <c r="J80" i="1"/>
  <c r="J76" i="1"/>
  <c r="J72" i="1"/>
  <c r="J68" i="1"/>
  <c r="J64" i="1"/>
  <c r="J60" i="1"/>
  <c r="J56" i="1"/>
  <c r="J52" i="1"/>
  <c r="J48" i="1"/>
  <c r="J44" i="1"/>
  <c r="J40" i="1"/>
  <c r="J36" i="1"/>
  <c r="J32" i="1"/>
  <c r="H25" i="1"/>
  <c r="I24" i="1"/>
  <c r="J24" i="1" s="1"/>
  <c r="H23" i="1"/>
  <c r="J23" i="1" s="1"/>
  <c r="J20" i="1"/>
  <c r="J19" i="1"/>
  <c r="H18" i="1"/>
  <c r="I17" i="1"/>
  <c r="H16" i="1"/>
  <c r="J16" i="1" s="1"/>
  <c r="J15" i="1"/>
  <c r="J12" i="1"/>
  <c r="J11" i="1"/>
  <c r="I7" i="1"/>
  <c r="J7" i="1" s="1"/>
  <c r="H6" i="1"/>
  <c r="H5" i="1"/>
  <c r="J4" i="1"/>
  <c r="J4931" i="1"/>
  <c r="J4923" i="1"/>
  <c r="J4915" i="1"/>
  <c r="J4907" i="1"/>
  <c r="J4899" i="1"/>
  <c r="J4891" i="1"/>
  <c r="J4883" i="1"/>
  <c r="J4875" i="1"/>
  <c r="J4867" i="1"/>
  <c r="J4859" i="1"/>
  <c r="J4847" i="1"/>
  <c r="J4839" i="1"/>
  <c r="J4831" i="1"/>
  <c r="J4823" i="1"/>
  <c r="J4815" i="1"/>
  <c r="J4807" i="1"/>
  <c r="J4799" i="1"/>
  <c r="J4791" i="1"/>
  <c r="J4783" i="1"/>
  <c r="J4775" i="1"/>
  <c r="J4767" i="1"/>
  <c r="J4759" i="1"/>
  <c r="J4751" i="1"/>
  <c r="J4743" i="1"/>
  <c r="J4735" i="1"/>
  <c r="J4727" i="1"/>
  <c r="J4719" i="1"/>
  <c r="J4711" i="1"/>
  <c r="J4703" i="1"/>
  <c r="J4695" i="1"/>
  <c r="J4687" i="1"/>
  <c r="J4679" i="1"/>
  <c r="J4671" i="1"/>
  <c r="J4663" i="1"/>
  <c r="J4655" i="1"/>
  <c r="J4647" i="1"/>
  <c r="J4639" i="1"/>
  <c r="J4631" i="1"/>
  <c r="J4623" i="1"/>
  <c r="J4615" i="1"/>
  <c r="J4607" i="1"/>
  <c r="J4599" i="1"/>
  <c r="J4591" i="1"/>
  <c r="J4583" i="1"/>
  <c r="J4575" i="1"/>
  <c r="J4571" i="1"/>
  <c r="J4559" i="1"/>
  <c r="J4551" i="1"/>
  <c r="J4543" i="1"/>
  <c r="J4539" i="1"/>
  <c r="J4531" i="1"/>
  <c r="J4523" i="1"/>
  <c r="J4515" i="1"/>
  <c r="J4507" i="1"/>
  <c r="J4499" i="1"/>
  <c r="J4491" i="1"/>
  <c r="J4483" i="1"/>
  <c r="J4475" i="1"/>
  <c r="J4467" i="1"/>
  <c r="J4459" i="1"/>
  <c r="J4451" i="1"/>
  <c r="J4443" i="1"/>
  <c r="J4435" i="1"/>
  <c r="J4427" i="1"/>
  <c r="J4419" i="1"/>
  <c r="J4411" i="1"/>
  <c r="J4403" i="1"/>
  <c r="J4395" i="1"/>
  <c r="J4387" i="1"/>
  <c r="J4379" i="1"/>
  <c r="J4371" i="1"/>
  <c r="J4363" i="1"/>
  <c r="J4355" i="1"/>
  <c r="J4347" i="1"/>
  <c r="J4339" i="1"/>
  <c r="J4331" i="1"/>
  <c r="J4323" i="1"/>
  <c r="J4315" i="1"/>
  <c r="J4307" i="1"/>
  <c r="J4299" i="1"/>
  <c r="J4291" i="1"/>
  <c r="J4283" i="1"/>
  <c r="J4275" i="1"/>
  <c r="J4267" i="1"/>
  <c r="J4259" i="1"/>
  <c r="J4251" i="1"/>
  <c r="J4243" i="1"/>
  <c r="J4235" i="1"/>
  <c r="J4227" i="1"/>
  <c r="J4219" i="1"/>
  <c r="J4211" i="1"/>
  <c r="J4203" i="1"/>
  <c r="J4195" i="1"/>
  <c r="J4187" i="1"/>
  <c r="J4179" i="1"/>
  <c r="J4171" i="1"/>
  <c r="J4163" i="1"/>
  <c r="J4155" i="1"/>
  <c r="J4147" i="1"/>
  <c r="J4139" i="1"/>
  <c r="J4131" i="1"/>
  <c r="J4123" i="1"/>
  <c r="J4115" i="1"/>
  <c r="J4107" i="1"/>
  <c r="J4099" i="1"/>
  <c r="J4087" i="1"/>
  <c r="J4079" i="1"/>
  <c r="J4071" i="1"/>
  <c r="J4067" i="1"/>
  <c r="J4059" i="1"/>
  <c r="J4051" i="1"/>
  <c r="J4043" i="1"/>
  <c r="J4035" i="1"/>
  <c r="J4027" i="1"/>
  <c r="J4019" i="1"/>
  <c r="J4011" i="1"/>
  <c r="J4003" i="1"/>
  <c r="J3995" i="1"/>
  <c r="J3987" i="1"/>
  <c r="J3979" i="1"/>
  <c r="J3971" i="1"/>
  <c r="J3963" i="1"/>
  <c r="J3955" i="1"/>
  <c r="J3947" i="1"/>
  <c r="J3939" i="1"/>
  <c r="J3931" i="1"/>
  <c r="J3923" i="1"/>
  <c r="J3915" i="1"/>
  <c r="J3907" i="1"/>
  <c r="J3899" i="1"/>
  <c r="J3891" i="1"/>
  <c r="J3883" i="1"/>
  <c r="J3875" i="1"/>
  <c r="J3867" i="1"/>
  <c r="J3859" i="1"/>
  <c r="J3851" i="1"/>
  <c r="J3843" i="1"/>
  <c r="J3835" i="1"/>
  <c r="J3827" i="1"/>
  <c r="J3819" i="1"/>
  <c r="J3811" i="1"/>
  <c r="J3803" i="1"/>
  <c r="J3795" i="1"/>
  <c r="J3787" i="1"/>
  <c r="J3779" i="1"/>
  <c r="J3771" i="1"/>
  <c r="J3763" i="1"/>
  <c r="J3755" i="1"/>
  <c r="J3747" i="1"/>
  <c r="J3739" i="1"/>
  <c r="J3731" i="1"/>
  <c r="J3723" i="1"/>
  <c r="J3715" i="1"/>
  <c r="J3707" i="1"/>
  <c r="J3699" i="1"/>
  <c r="J3691" i="1"/>
  <c r="J3683" i="1"/>
  <c r="J3675" i="1"/>
  <c r="J3667" i="1"/>
  <c r="J3659" i="1"/>
  <c r="J3651" i="1"/>
  <c r="J3643" i="1"/>
  <c r="J3635" i="1"/>
  <c r="J3627" i="1"/>
  <c r="J3619" i="1"/>
  <c r="J3611" i="1"/>
  <c r="J3603" i="1"/>
  <c r="J3595" i="1"/>
  <c r="J3587" i="1"/>
  <c r="J3579" i="1"/>
  <c r="J3571" i="1"/>
  <c r="J3563" i="1"/>
  <c r="J3555" i="1"/>
  <c r="J3547" i="1"/>
  <c r="J3539" i="1"/>
  <c r="J3531" i="1"/>
  <c r="J3523" i="1"/>
  <c r="J3515" i="1"/>
  <c r="J3507" i="1"/>
  <c r="J3499" i="1"/>
  <c r="J3491" i="1"/>
  <c r="J3483" i="1"/>
  <c r="J3475" i="1"/>
  <c r="J3467" i="1"/>
  <c r="J3459" i="1"/>
  <c r="J3447" i="1"/>
  <c r="J3439" i="1"/>
  <c r="J3431" i="1"/>
  <c r="J3423" i="1"/>
  <c r="J3419" i="1"/>
  <c r="J3407" i="1"/>
  <c r="J3399" i="1"/>
  <c r="J3391" i="1"/>
  <c r="J3383" i="1"/>
  <c r="J3375" i="1"/>
  <c r="J3367" i="1"/>
  <c r="J3363" i="1"/>
  <c r="J3355" i="1"/>
  <c r="J3347" i="1"/>
  <c r="J3335" i="1"/>
  <c r="J3327" i="1"/>
  <c r="J3323" i="1"/>
  <c r="J3315" i="1"/>
  <c r="J3303" i="1"/>
  <c r="J3295" i="1"/>
  <c r="J3287" i="1"/>
  <c r="J3279" i="1"/>
  <c r="J3271" i="1"/>
  <c r="J3263" i="1"/>
  <c r="J3255" i="1"/>
  <c r="J3247" i="1"/>
  <c r="J3239" i="1"/>
  <c r="J3231" i="1"/>
  <c r="J3223" i="1"/>
  <c r="J3215" i="1"/>
  <c r="J3207" i="1"/>
  <c r="J3199" i="1"/>
  <c r="J3191" i="1"/>
  <c r="J3183" i="1"/>
  <c r="J3175" i="1"/>
  <c r="J3167" i="1"/>
  <c r="J3159" i="1"/>
  <c r="J3151" i="1"/>
  <c r="J3143" i="1"/>
  <c r="J3135" i="1"/>
  <c r="J3127" i="1"/>
  <c r="J3119" i="1"/>
  <c r="J3111" i="1"/>
  <c r="J3103" i="1"/>
  <c r="J3095" i="1"/>
  <c r="J3087" i="1"/>
  <c r="J3079" i="1"/>
  <c r="J3071" i="1"/>
  <c r="J3063" i="1"/>
  <c r="J3055" i="1"/>
  <c r="J3047" i="1"/>
  <c r="J3039" i="1"/>
  <c r="J3031" i="1"/>
  <c r="J3023" i="1"/>
  <c r="J3015" i="1"/>
  <c r="J3007" i="1"/>
  <c r="J2999" i="1"/>
  <c r="J2991" i="1"/>
  <c r="J2983" i="1"/>
  <c r="J2975" i="1"/>
  <c r="J2967" i="1"/>
  <c r="J2959" i="1"/>
  <c r="J2951" i="1"/>
  <c r="J2943" i="1"/>
  <c r="J2935" i="1"/>
  <c r="J2927" i="1"/>
  <c r="J2919" i="1"/>
  <c r="J2911" i="1"/>
  <c r="J2903" i="1"/>
  <c r="J2899" i="1"/>
  <c r="J2891" i="1"/>
  <c r="J2883" i="1"/>
  <c r="J2875" i="1"/>
  <c r="J2867" i="1"/>
  <c r="J2859" i="1"/>
  <c r="J2851" i="1"/>
  <c r="J2843" i="1"/>
  <c r="J2835" i="1"/>
  <c r="J2827" i="1"/>
  <c r="J2819" i="1"/>
  <c r="J2807" i="1"/>
  <c r="J2799" i="1"/>
  <c r="J2791" i="1"/>
  <c r="J2783" i="1"/>
  <c r="J2775" i="1"/>
  <c r="J2767" i="1"/>
  <c r="J2759" i="1"/>
  <c r="J2751" i="1"/>
  <c r="J2743" i="1"/>
  <c r="J2735" i="1"/>
  <c r="J2727" i="1"/>
  <c r="J2719" i="1"/>
  <c r="J2711" i="1"/>
  <c r="J2703" i="1"/>
  <c r="J2695" i="1"/>
  <c r="J2687" i="1"/>
  <c r="J2679" i="1"/>
  <c r="J2671" i="1"/>
  <c r="J2667" i="1"/>
  <c r="J2659" i="1"/>
  <c r="J2651" i="1"/>
  <c r="J2643" i="1"/>
  <c r="J2635" i="1"/>
  <c r="J2627" i="1"/>
  <c r="J2619" i="1"/>
  <c r="J2611" i="1"/>
  <c r="J2603" i="1"/>
  <c r="J2595" i="1"/>
  <c r="J2587" i="1"/>
  <c r="J2579" i="1"/>
  <c r="J2571" i="1"/>
  <c r="J2563" i="1"/>
  <c r="J2555" i="1"/>
  <c r="J2547" i="1"/>
  <c r="J2539" i="1"/>
  <c r="J2531" i="1"/>
  <c r="J2523" i="1"/>
  <c r="J2515" i="1"/>
  <c r="J2507" i="1"/>
  <c r="J2499" i="1"/>
  <c r="J2487" i="1"/>
  <c r="J2479" i="1"/>
  <c r="J2471" i="1"/>
  <c r="J2463" i="1"/>
  <c r="J2455" i="1"/>
  <c r="J2451" i="1"/>
  <c r="J2443" i="1"/>
  <c r="J2435" i="1"/>
  <c r="J2423" i="1"/>
  <c r="J2419" i="1"/>
  <c r="J2411" i="1"/>
  <c r="J2403" i="1"/>
  <c r="J2395" i="1"/>
  <c r="J2387" i="1"/>
  <c r="J2379" i="1"/>
  <c r="J2371" i="1"/>
  <c r="J2363" i="1"/>
  <c r="J2355" i="1"/>
  <c r="J2343" i="1"/>
  <c r="J2335" i="1"/>
  <c r="J2327" i="1"/>
  <c r="J2319" i="1"/>
  <c r="J2311" i="1"/>
  <c r="J2303" i="1"/>
  <c r="J2295" i="1"/>
  <c r="J2287" i="1"/>
  <c r="J2279" i="1"/>
  <c r="J2271" i="1"/>
  <c r="J2263" i="1"/>
  <c r="J2255" i="1"/>
  <c r="J2247" i="1"/>
  <c r="J2235" i="1"/>
  <c r="J4935" i="1"/>
  <c r="J4927" i="1"/>
  <c r="J4919" i="1"/>
  <c r="J4911" i="1"/>
  <c r="J4903" i="1"/>
  <c r="J4895" i="1"/>
  <c r="J4887" i="1"/>
  <c r="J4879" i="1"/>
  <c r="J4871" i="1"/>
  <c r="J4863" i="1"/>
  <c r="J4855" i="1"/>
  <c r="J4851" i="1"/>
  <c r="J4843" i="1"/>
  <c r="J4835" i="1"/>
  <c r="J4827" i="1"/>
  <c r="J4819" i="1"/>
  <c r="J4811" i="1"/>
  <c r="J4803" i="1"/>
  <c r="J4795" i="1"/>
  <c r="J4787" i="1"/>
  <c r="J4779" i="1"/>
  <c r="J4771" i="1"/>
  <c r="J4763" i="1"/>
  <c r="J4755" i="1"/>
  <c r="J4747" i="1"/>
  <c r="J4739" i="1"/>
  <c r="J4731" i="1"/>
  <c r="J4723" i="1"/>
  <c r="J4715" i="1"/>
  <c r="J4707" i="1"/>
  <c r="J4699" i="1"/>
  <c r="J4691" i="1"/>
  <c r="J4683" i="1"/>
  <c r="J4675" i="1"/>
  <c r="J4667" i="1"/>
  <c r="J4659" i="1"/>
  <c r="J4651" i="1"/>
  <c r="J4643" i="1"/>
  <c r="J4635" i="1"/>
  <c r="J4627" i="1"/>
  <c r="J4619" i="1"/>
  <c r="J4611" i="1"/>
  <c r="J4603" i="1"/>
  <c r="J4595" i="1"/>
  <c r="J4587" i="1"/>
  <c r="J4579" i="1"/>
  <c r="J4567" i="1"/>
  <c r="J4563" i="1"/>
  <c r="J4555" i="1"/>
  <c r="J4547" i="1"/>
  <c r="J4535" i="1"/>
  <c r="J4527" i="1"/>
  <c r="J4519" i="1"/>
  <c r="J4511" i="1"/>
  <c r="J4503" i="1"/>
  <c r="J4495" i="1"/>
  <c r="J4487" i="1"/>
  <c r="J4479" i="1"/>
  <c r="J4471" i="1"/>
  <c r="J4463" i="1"/>
  <c r="J4455" i="1"/>
  <c r="J4447" i="1"/>
  <c r="J4439" i="1"/>
  <c r="J4431" i="1"/>
  <c r="J4423" i="1"/>
  <c r="J4415" i="1"/>
  <c r="J4407" i="1"/>
  <c r="J4399" i="1"/>
  <c r="J4391" i="1"/>
  <c r="J4383" i="1"/>
  <c r="J4375" i="1"/>
  <c r="J4367" i="1"/>
  <c r="J4359" i="1"/>
  <c r="J4351" i="1"/>
  <c r="J4343" i="1"/>
  <c r="J4335" i="1"/>
  <c r="J4327" i="1"/>
  <c r="J4319" i="1"/>
  <c r="J4311" i="1"/>
  <c r="J4303" i="1"/>
  <c r="J4295" i="1"/>
  <c r="J4287" i="1"/>
  <c r="J4279" i="1"/>
  <c r="J4271" i="1"/>
  <c r="J4263" i="1"/>
  <c r="J4255" i="1"/>
  <c r="J4247" i="1"/>
  <c r="J4239" i="1"/>
  <c r="J4231" i="1"/>
  <c r="J4223" i="1"/>
  <c r="J4215" i="1"/>
  <c r="J4207" i="1"/>
  <c r="J4199" i="1"/>
  <c r="J4191" i="1"/>
  <c r="J4183" i="1"/>
  <c r="J4175" i="1"/>
  <c r="J4167" i="1"/>
  <c r="J4159" i="1"/>
  <c r="J4151" i="1"/>
  <c r="J4143" i="1"/>
  <c r="J4135" i="1"/>
  <c r="J4127" i="1"/>
  <c r="J4119" i="1"/>
  <c r="J4111" i="1"/>
  <c r="J4103" i="1"/>
  <c r="J4095" i="1"/>
  <c r="J4091" i="1"/>
  <c r="J4083" i="1"/>
  <c r="J4075" i="1"/>
  <c r="J4063" i="1"/>
  <c r="J4055" i="1"/>
  <c r="J4047" i="1"/>
  <c r="J4039" i="1"/>
  <c r="J4031" i="1"/>
  <c r="J4023" i="1"/>
  <c r="J4015" i="1"/>
  <c r="J4007" i="1"/>
  <c r="J3999" i="1"/>
  <c r="J3991" i="1"/>
  <c r="J3983" i="1"/>
  <c r="J3975" i="1"/>
  <c r="J3967" i="1"/>
  <c r="J3959" i="1"/>
  <c r="J3951" i="1"/>
  <c r="J3943" i="1"/>
  <c r="J3935" i="1"/>
  <c r="J3927" i="1"/>
  <c r="J3919" i="1"/>
  <c r="J3911" i="1"/>
  <c r="J3903" i="1"/>
  <c r="J3895" i="1"/>
  <c r="J3887" i="1"/>
  <c r="J3879" i="1"/>
  <c r="J3871" i="1"/>
  <c r="J3863" i="1"/>
  <c r="J3855" i="1"/>
  <c r="J3847" i="1"/>
  <c r="J3839" i="1"/>
  <c r="J3831" i="1"/>
  <c r="J3823" i="1"/>
  <c r="J3815" i="1"/>
  <c r="J3807" i="1"/>
  <c r="J3799" i="1"/>
  <c r="J3791" i="1"/>
  <c r="J3783" i="1"/>
  <c r="J3775" i="1"/>
  <c r="J3767" i="1"/>
  <c r="J3759" i="1"/>
  <c r="J3751" i="1"/>
  <c r="J3743" i="1"/>
  <c r="J3735" i="1"/>
  <c r="J3727" i="1"/>
  <c r="J3719" i="1"/>
  <c r="J3711" i="1"/>
  <c r="J3703" i="1"/>
  <c r="J3695" i="1"/>
  <c r="J3687" i="1"/>
  <c r="J3679" i="1"/>
  <c r="J3671" i="1"/>
  <c r="J3663" i="1"/>
  <c r="J3655" i="1"/>
  <c r="J3647" i="1"/>
  <c r="J3639" i="1"/>
  <c r="J3631" i="1"/>
  <c r="J3623" i="1"/>
  <c r="J3615" i="1"/>
  <c r="J3607" i="1"/>
  <c r="J3599" i="1"/>
  <c r="J3591" i="1"/>
  <c r="J3583" i="1"/>
  <c r="J3575" i="1"/>
  <c r="J3567" i="1"/>
  <c r="J3559" i="1"/>
  <c r="J3551" i="1"/>
  <c r="J3543" i="1"/>
  <c r="J3535" i="1"/>
  <c r="J3527" i="1"/>
  <c r="J3519" i="1"/>
  <c r="J3511" i="1"/>
  <c r="J3503" i="1"/>
  <c r="J3495" i="1"/>
  <c r="J3487" i="1"/>
  <c r="J3479" i="1"/>
  <c r="J3471" i="1"/>
  <c r="J3463" i="1"/>
  <c r="J3455" i="1"/>
  <c r="J3451" i="1"/>
  <c r="J3443" i="1"/>
  <c r="J3435" i="1"/>
  <c r="J3427" i="1"/>
  <c r="J3415" i="1"/>
  <c r="J3411" i="1"/>
  <c r="J3403" i="1"/>
  <c r="J3395" i="1"/>
  <c r="J3387" i="1"/>
  <c r="J3379" i="1"/>
  <c r="J3371" i="1"/>
  <c r="J3359" i="1"/>
  <c r="J3351" i="1"/>
  <c r="J3343" i="1"/>
  <c r="J3339" i="1"/>
  <c r="J3331" i="1"/>
  <c r="J3319" i="1"/>
  <c r="J3311" i="1"/>
  <c r="J3307" i="1"/>
  <c r="J3299" i="1"/>
  <c r="J3291" i="1"/>
  <c r="J3283" i="1"/>
  <c r="J3275" i="1"/>
  <c r="J3267" i="1"/>
  <c r="J3259" i="1"/>
  <c r="J3251" i="1"/>
  <c r="J3243" i="1"/>
  <c r="J3235" i="1"/>
  <c r="J3227" i="1"/>
  <c r="J3219" i="1"/>
  <c r="J3211" i="1"/>
  <c r="J3203" i="1"/>
  <c r="J3195" i="1"/>
  <c r="J3187" i="1"/>
  <c r="J3179" i="1"/>
  <c r="J3171" i="1"/>
  <c r="J3163" i="1"/>
  <c r="J3155" i="1"/>
  <c r="J3147" i="1"/>
  <c r="J3139" i="1"/>
  <c r="J3131" i="1"/>
  <c r="J3123" i="1"/>
  <c r="J3115" i="1"/>
  <c r="J3107" i="1"/>
  <c r="J3099" i="1"/>
  <c r="J3091" i="1"/>
  <c r="J3083" i="1"/>
  <c r="J3075" i="1"/>
  <c r="J3067" i="1"/>
  <c r="J3059" i="1"/>
  <c r="J3051" i="1"/>
  <c r="J3043" i="1"/>
  <c r="J3035" i="1"/>
  <c r="J3027" i="1"/>
  <c r="J3019" i="1"/>
  <c r="J3011" i="1"/>
  <c r="J3003" i="1"/>
  <c r="J2995" i="1"/>
  <c r="J2987" i="1"/>
  <c r="J2979" i="1"/>
  <c r="J2971" i="1"/>
  <c r="J2963" i="1"/>
  <c r="J2955" i="1"/>
  <c r="J2947" i="1"/>
  <c r="J2939" i="1"/>
  <c r="J2931" i="1"/>
  <c r="J2923" i="1"/>
  <c r="J2915" i="1"/>
  <c r="J2907" i="1"/>
  <c r="J2895" i="1"/>
  <c r="J2887" i="1"/>
  <c r="J2879" i="1"/>
  <c r="J2871" i="1"/>
  <c r="J2863" i="1"/>
  <c r="J2855" i="1"/>
  <c r="J2847" i="1"/>
  <c r="J2839" i="1"/>
  <c r="J2831" i="1"/>
  <c r="J2823" i="1"/>
  <c r="J2815" i="1"/>
  <c r="J2811" i="1"/>
  <c r="J2803" i="1"/>
  <c r="J2795" i="1"/>
  <c r="J2787" i="1"/>
  <c r="J2779" i="1"/>
  <c r="J2771" i="1"/>
  <c r="J2763" i="1"/>
  <c r="J2755" i="1"/>
  <c r="J2747" i="1"/>
  <c r="J2739" i="1"/>
  <c r="J2731" i="1"/>
  <c r="J2723" i="1"/>
  <c r="J2715" i="1"/>
  <c r="J2707" i="1"/>
  <c r="J2699" i="1"/>
  <c r="J2691" i="1"/>
  <c r="J2683" i="1"/>
  <c r="J2675" i="1"/>
  <c r="J2663" i="1"/>
  <c r="J2655" i="1"/>
  <c r="J2647" i="1"/>
  <c r="J2639" i="1"/>
  <c r="J2631" i="1"/>
  <c r="J2623" i="1"/>
  <c r="J2615" i="1"/>
  <c r="J2607" i="1"/>
  <c r="J2599" i="1"/>
  <c r="J2591" i="1"/>
  <c r="J2583" i="1"/>
  <c r="J2575" i="1"/>
  <c r="J2567" i="1"/>
  <c r="J2559" i="1"/>
  <c r="J2551" i="1"/>
  <c r="J2543" i="1"/>
  <c r="J2535" i="1"/>
  <c r="J2527" i="1"/>
  <c r="J2519" i="1"/>
  <c r="J2511" i="1"/>
  <c r="J2503" i="1"/>
  <c r="J2495" i="1"/>
  <c r="J2491" i="1"/>
  <c r="J2483" i="1"/>
  <c r="J2475" i="1"/>
  <c r="J2467" i="1"/>
  <c r="J2459" i="1"/>
  <c r="J2447" i="1"/>
  <c r="J2439" i="1"/>
  <c r="J2431" i="1"/>
  <c r="J2427" i="1"/>
  <c r="J2415" i="1"/>
  <c r="J2407" i="1"/>
  <c r="J2399" i="1"/>
  <c r="J2391" i="1"/>
  <c r="J2383" i="1"/>
  <c r="J2375" i="1"/>
  <c r="J2367" i="1"/>
  <c r="J2359" i="1"/>
  <c r="J2351" i="1"/>
  <c r="J2347" i="1"/>
  <c r="J2339" i="1"/>
  <c r="J2331" i="1"/>
  <c r="J2323" i="1"/>
  <c r="J2315" i="1"/>
  <c r="J2307" i="1"/>
  <c r="J2299" i="1"/>
  <c r="J2291" i="1"/>
  <c r="J2283" i="1"/>
  <c r="J2275" i="1"/>
  <c r="J2267" i="1"/>
  <c r="J2259" i="1"/>
  <c r="J2251" i="1"/>
  <c r="J2243" i="1"/>
  <c r="J2239" i="1"/>
  <c r="J2231" i="1"/>
  <c r="J2227" i="1"/>
  <c r="J2223" i="1"/>
  <c r="J2215" i="1"/>
  <c r="J2207" i="1"/>
  <c r="J2199" i="1"/>
  <c r="J2191" i="1"/>
  <c r="J2183" i="1"/>
  <c r="J2179" i="1"/>
  <c r="J2171" i="1"/>
  <c r="J2163" i="1"/>
  <c r="J2155" i="1"/>
  <c r="J2147" i="1"/>
  <c r="J2139" i="1"/>
  <c r="J2135" i="1"/>
  <c r="J2127" i="1"/>
  <c r="J2123" i="1"/>
  <c r="J2115" i="1"/>
  <c r="J2111" i="1"/>
  <c r="J2107" i="1"/>
  <c r="J2099" i="1"/>
  <c r="J2091" i="1"/>
  <c r="J2083" i="1"/>
  <c r="J2075" i="1"/>
  <c r="J2067" i="1"/>
  <c r="J2059" i="1"/>
  <c r="J2051" i="1"/>
  <c r="J2043" i="1"/>
  <c r="J2035" i="1"/>
  <c r="J2027" i="1"/>
  <c r="J2019" i="1"/>
  <c r="J2011" i="1"/>
  <c r="J2003" i="1"/>
  <c r="J1995" i="1"/>
  <c r="J1987" i="1"/>
  <c r="J1979" i="1"/>
  <c r="J1971" i="1"/>
  <c r="J1959" i="1"/>
  <c r="J1951" i="1"/>
  <c r="J1943" i="1"/>
  <c r="J1935" i="1"/>
  <c r="J1931" i="1"/>
  <c r="J1923" i="1"/>
  <c r="J1911" i="1"/>
  <c r="J1903" i="1"/>
  <c r="J1895" i="1"/>
  <c r="J1887" i="1"/>
  <c r="J1879" i="1"/>
  <c r="J1875" i="1"/>
  <c r="J1867" i="1"/>
  <c r="J1855" i="1"/>
  <c r="J1847" i="1"/>
  <c r="J1839" i="1"/>
  <c r="J1831" i="1"/>
  <c r="J1819" i="1"/>
  <c r="J1811" i="1"/>
  <c r="J1803" i="1"/>
  <c r="J1795" i="1"/>
  <c r="J1787" i="1"/>
  <c r="J1779" i="1"/>
  <c r="J1771" i="1"/>
  <c r="J1763" i="1"/>
  <c r="J1755" i="1"/>
  <c r="J1747" i="1"/>
  <c r="J1739" i="1"/>
  <c r="J1731" i="1"/>
  <c r="J1723" i="1"/>
  <c r="J1715" i="1"/>
  <c r="J1707" i="1"/>
  <c r="J1699" i="1"/>
  <c r="J1691" i="1"/>
  <c r="J1683" i="1"/>
  <c r="J1675" i="1"/>
  <c r="J1667" i="1"/>
  <c r="J1659" i="1"/>
  <c r="J1651" i="1"/>
  <c r="J1639" i="1"/>
  <c r="J1631" i="1"/>
  <c r="J1623" i="1"/>
  <c r="J1619" i="1"/>
  <c r="J1611" i="1"/>
  <c r="J1603" i="1"/>
  <c r="J1595" i="1"/>
  <c r="J1587" i="1"/>
  <c r="J1579" i="1"/>
  <c r="J1567" i="1"/>
  <c r="J1559" i="1"/>
  <c r="J1551" i="1"/>
  <c r="J1547" i="1"/>
  <c r="J1539" i="1"/>
  <c r="J1531" i="1"/>
  <c r="J1523" i="1"/>
  <c r="J1515" i="1"/>
  <c r="J1503" i="1"/>
  <c r="J1487" i="1"/>
  <c r="J1479" i="1"/>
  <c r="J1471" i="1"/>
  <c r="J1463" i="1"/>
  <c r="J1455" i="1"/>
  <c r="J1447" i="1"/>
  <c r="J1439" i="1"/>
  <c r="J1431" i="1"/>
  <c r="J1423" i="1"/>
  <c r="J1415" i="1"/>
  <c r="J1407" i="1"/>
  <c r="J1399" i="1"/>
  <c r="J1391" i="1"/>
  <c r="J1383" i="1"/>
  <c r="J1375" i="1"/>
  <c r="J1371" i="1"/>
  <c r="J1363" i="1"/>
  <c r="J1355" i="1"/>
  <c r="J1347" i="1"/>
  <c r="J1339" i="1"/>
  <c r="J1331" i="1"/>
  <c r="J1323" i="1"/>
  <c r="J1315" i="1"/>
  <c r="J1307" i="1"/>
  <c r="J1299" i="1"/>
  <c r="J1291" i="1"/>
  <c r="J1283" i="1"/>
  <c r="J1275" i="1"/>
  <c r="J1267" i="1"/>
  <c r="J1259" i="1"/>
  <c r="J1251" i="1"/>
  <c r="J1243" i="1"/>
  <c r="J1235" i="1"/>
  <c r="J1227" i="1"/>
  <c r="J1203" i="1"/>
  <c r="J1195" i="1"/>
  <c r="J1187" i="1"/>
  <c r="J1179" i="1"/>
  <c r="J1171" i="1"/>
  <c r="J1159" i="1"/>
  <c r="J1151" i="1"/>
  <c r="J1143" i="1"/>
  <c r="J1135" i="1"/>
  <c r="J1123" i="1"/>
  <c r="J1115" i="1"/>
  <c r="J1107" i="1"/>
  <c r="J1099" i="1"/>
  <c r="J1087" i="1"/>
  <c r="J1079" i="1"/>
  <c r="J1071" i="1"/>
  <c r="J1059" i="1"/>
  <c r="J1051" i="1"/>
  <c r="J1043" i="1"/>
  <c r="J1035" i="1"/>
  <c r="J1023" i="1"/>
  <c r="J1015" i="1"/>
  <c r="J1007" i="1"/>
  <c r="J995" i="1"/>
  <c r="J987" i="1"/>
  <c r="J979" i="1"/>
  <c r="J971" i="1"/>
  <c r="J963" i="1"/>
  <c r="J951" i="1"/>
  <c r="J943" i="1"/>
  <c r="J935" i="1"/>
  <c r="J927" i="1"/>
  <c r="J919" i="1"/>
  <c r="J911" i="1"/>
  <c r="J903" i="1"/>
  <c r="J895" i="1"/>
  <c r="J887" i="1"/>
  <c r="J875" i="1"/>
  <c r="J855" i="1"/>
  <c r="J847" i="1"/>
  <c r="J839" i="1"/>
  <c r="J831" i="1"/>
  <c r="J823" i="1"/>
  <c r="J2219" i="1"/>
  <c r="J2211" i="1"/>
  <c r="J2203" i="1"/>
  <c r="J2195" i="1"/>
  <c r="J2187" i="1"/>
  <c r="J2175" i="1"/>
  <c r="J2167" i="1"/>
  <c r="J2159" i="1"/>
  <c r="J2151" i="1"/>
  <c r="J2143" i="1"/>
  <c r="J2131" i="1"/>
  <c r="J2119" i="1"/>
  <c r="J2103" i="1"/>
  <c r="J2095" i="1"/>
  <c r="J2087" i="1"/>
  <c r="J2079" i="1"/>
  <c r="J2071" i="1"/>
  <c r="J2063" i="1"/>
  <c r="J2055" i="1"/>
  <c r="J2047" i="1"/>
  <c r="J2039" i="1"/>
  <c r="J2031" i="1"/>
  <c r="J2023" i="1"/>
  <c r="J2015" i="1"/>
  <c r="J2007" i="1"/>
  <c r="J1999" i="1"/>
  <c r="J1991" i="1"/>
  <c r="J1983" i="1"/>
  <c r="J1975" i="1"/>
  <c r="J1967" i="1"/>
  <c r="J1963" i="1"/>
  <c r="J1955" i="1"/>
  <c r="J1947" i="1"/>
  <c r="J1939" i="1"/>
  <c r="J1927" i="1"/>
  <c r="J1919" i="1"/>
  <c r="J1915" i="1"/>
  <c r="J1907" i="1"/>
  <c r="J1899" i="1"/>
  <c r="J1891" i="1"/>
  <c r="J1883" i="1"/>
  <c r="J1871" i="1"/>
  <c r="J1863" i="1"/>
  <c r="J1859" i="1"/>
  <c r="J1851" i="1"/>
  <c r="J1843" i="1"/>
  <c r="J1835" i="1"/>
  <c r="J1827" i="1"/>
  <c r="J1823" i="1"/>
  <c r="J1815" i="1"/>
  <c r="J1807" i="1"/>
  <c r="J1799" i="1"/>
  <c r="J1791" i="1"/>
  <c r="J1783" i="1"/>
  <c r="J1775" i="1"/>
  <c r="J1767" i="1"/>
  <c r="J1759" i="1"/>
  <c r="J1751" i="1"/>
  <c r="J1743" i="1"/>
  <c r="J1735" i="1"/>
  <c r="J1727" i="1"/>
  <c r="J1719" i="1"/>
  <c r="J1711" i="1"/>
  <c r="J1703" i="1"/>
  <c r="J1695" i="1"/>
  <c r="J1687" i="1"/>
  <c r="J1679" i="1"/>
  <c r="J1671" i="1"/>
  <c r="J1663" i="1"/>
  <c r="J1655" i="1"/>
  <c r="J1647" i="1"/>
  <c r="J1643" i="1"/>
  <c r="J1635" i="1"/>
  <c r="J1627" i="1"/>
  <c r="J1615" i="1"/>
  <c r="J1607" i="1"/>
  <c r="J1599" i="1"/>
  <c r="J1591" i="1"/>
  <c r="J1583" i="1"/>
  <c r="J1575" i="1"/>
  <c r="J1571" i="1"/>
  <c r="J1563" i="1"/>
  <c r="J1555" i="1"/>
  <c r="J1543" i="1"/>
  <c r="J1535" i="1"/>
  <c r="J1527" i="1"/>
  <c r="J1519" i="1"/>
  <c r="J1511" i="1"/>
  <c r="J1507" i="1"/>
  <c r="J1499" i="1"/>
  <c r="J1495" i="1"/>
  <c r="J1491" i="1"/>
  <c r="J1483" i="1"/>
  <c r="J1475" i="1"/>
  <c r="J1467" i="1"/>
  <c r="J1459" i="1"/>
  <c r="J1451" i="1"/>
  <c r="J1443" i="1"/>
  <c r="J1435" i="1"/>
  <c r="J1427" i="1"/>
  <c r="J1419" i="1"/>
  <c r="J1411" i="1"/>
  <c r="J1403" i="1"/>
  <c r="J1395" i="1"/>
  <c r="J1387" i="1"/>
  <c r="J1379" i="1"/>
  <c r="J1367" i="1"/>
  <c r="J1359" i="1"/>
  <c r="J1351" i="1"/>
  <c r="J1343" i="1"/>
  <c r="J1335" i="1"/>
  <c r="J1327" i="1"/>
  <c r="J1319" i="1"/>
  <c r="J1311" i="1"/>
  <c r="J1303" i="1"/>
  <c r="J1295" i="1"/>
  <c r="J1287" i="1"/>
  <c r="J1279" i="1"/>
  <c r="J1271" i="1"/>
  <c r="J1263" i="1"/>
  <c r="J1255" i="1"/>
  <c r="J1247" i="1"/>
  <c r="J1239" i="1"/>
  <c r="J1231" i="1"/>
  <c r="J1223" i="1"/>
  <c r="J1219" i="1"/>
  <c r="J1215" i="1"/>
  <c r="J1211" i="1"/>
  <c r="J1207" i="1"/>
  <c r="J1199" i="1"/>
  <c r="J1191" i="1"/>
  <c r="J1183" i="1"/>
  <c r="J1175" i="1"/>
  <c r="J1167" i="1"/>
  <c r="J1163" i="1"/>
  <c r="J1155" i="1"/>
  <c r="J1147" i="1"/>
  <c r="J1139" i="1"/>
  <c r="J1131" i="1"/>
  <c r="J1127" i="1"/>
  <c r="J1119" i="1"/>
  <c r="J1111" i="1"/>
  <c r="J1103" i="1"/>
  <c r="J1095" i="1"/>
  <c r="J1091" i="1"/>
  <c r="J1083" i="1"/>
  <c r="J1075" i="1"/>
  <c r="J1067" i="1"/>
  <c r="J1063" i="1"/>
  <c r="J1055" i="1"/>
  <c r="J1047" i="1"/>
  <c r="J1039" i="1"/>
  <c r="J1031" i="1"/>
  <c r="J1027" i="1"/>
  <c r="J1019" i="1"/>
  <c r="J1011" i="1"/>
  <c r="J1003" i="1"/>
  <c r="J999" i="1"/>
  <c r="J991" i="1"/>
  <c r="J983" i="1"/>
  <c r="J975" i="1"/>
  <c r="J967" i="1"/>
  <c r="J959" i="1"/>
  <c r="J955" i="1"/>
  <c r="J947" i="1"/>
  <c r="J939" i="1"/>
  <c r="J931" i="1"/>
  <c r="J923" i="1"/>
  <c r="J915" i="1"/>
  <c r="J907" i="1"/>
  <c r="J899" i="1"/>
  <c r="J891" i="1"/>
  <c r="J883" i="1"/>
  <c r="J879" i="1"/>
  <c r="J871" i="1"/>
  <c r="J867" i="1"/>
  <c r="J863" i="1"/>
  <c r="J859" i="1"/>
  <c r="J851" i="1"/>
  <c r="J843" i="1"/>
  <c r="J835" i="1"/>
  <c r="J827" i="1"/>
  <c r="J819" i="1"/>
  <c r="J815" i="1"/>
  <c r="J811" i="1"/>
  <c r="J803" i="1"/>
  <c r="J795" i="1"/>
  <c r="J787" i="1"/>
  <c r="J783" i="1"/>
  <c r="J775" i="1"/>
  <c r="J767" i="1"/>
  <c r="J759" i="1"/>
  <c r="J751" i="1"/>
  <c r="J743" i="1"/>
  <c r="J735" i="1"/>
  <c r="J731" i="1"/>
  <c r="J723" i="1"/>
  <c r="J715" i="1"/>
  <c r="J707" i="1"/>
  <c r="J703" i="1"/>
  <c r="J695" i="1"/>
  <c r="J687" i="1"/>
  <c r="J679" i="1"/>
  <c r="J671" i="1"/>
  <c r="J663" i="1"/>
  <c r="J655" i="1"/>
  <c r="J651" i="1"/>
  <c r="J643" i="1"/>
  <c r="J635" i="1"/>
  <c r="J627" i="1"/>
  <c r="J623" i="1"/>
  <c r="J615" i="1"/>
  <c r="J607" i="1"/>
  <c r="J599" i="1"/>
  <c r="J591" i="1"/>
  <c r="J583" i="1"/>
  <c r="J575" i="1"/>
  <c r="J567" i="1"/>
  <c r="J559" i="1"/>
  <c r="J555" i="1"/>
  <c r="J543" i="1"/>
  <c r="J539" i="1"/>
  <c r="J531" i="1"/>
  <c r="J523" i="1"/>
  <c r="J515" i="1"/>
  <c r="J511" i="1"/>
  <c r="J503" i="1"/>
  <c r="J499" i="1"/>
  <c r="J495" i="1"/>
  <c r="J491" i="1"/>
  <c r="J487" i="1"/>
  <c r="J483" i="1"/>
  <c r="J475" i="1"/>
  <c r="J471" i="1"/>
  <c r="J463" i="1"/>
  <c r="J455" i="1"/>
  <c r="J447" i="1"/>
  <c r="J439" i="1"/>
  <c r="J435" i="1"/>
  <c r="J427" i="1"/>
  <c r="J419" i="1"/>
  <c r="J411" i="1"/>
  <c r="J403" i="1"/>
  <c r="J399" i="1"/>
  <c r="J391" i="1"/>
  <c r="J383" i="1"/>
  <c r="J379" i="1"/>
  <c r="J371" i="1"/>
  <c r="J363" i="1"/>
  <c r="J355" i="1"/>
  <c r="J351" i="1"/>
  <c r="J343" i="1"/>
  <c r="J335" i="1"/>
  <c r="J327" i="1"/>
  <c r="J323" i="1"/>
  <c r="J315" i="1"/>
  <c r="J307" i="1"/>
  <c r="J299" i="1"/>
  <c r="J295" i="1"/>
  <c r="J287" i="1"/>
  <c r="J279" i="1"/>
  <c r="J271" i="1"/>
  <c r="J263" i="1"/>
  <c r="J255" i="1"/>
  <c r="J247" i="1"/>
  <c r="J239" i="1"/>
  <c r="J231" i="1"/>
  <c r="J227" i="1"/>
  <c r="J807" i="1"/>
  <c r="J799" i="1"/>
  <c r="J791" i="1"/>
  <c r="J779" i="1"/>
  <c r="J771" i="1"/>
  <c r="J763" i="1"/>
  <c r="J755" i="1"/>
  <c r="J747" i="1"/>
  <c r="J739" i="1"/>
  <c r="J727" i="1"/>
  <c r="J719" i="1"/>
  <c r="J711" i="1"/>
  <c r="J699" i="1"/>
  <c r="J691" i="1"/>
  <c r="J683" i="1"/>
  <c r="J675" i="1"/>
  <c r="J667" i="1"/>
  <c r="J659" i="1"/>
  <c r="J647" i="1"/>
  <c r="J639" i="1"/>
  <c r="J631" i="1"/>
  <c r="J619" i="1"/>
  <c r="J611" i="1"/>
  <c r="J603" i="1"/>
  <c r="J595" i="1"/>
  <c r="J587" i="1"/>
  <c r="J579" i="1"/>
  <c r="J571" i="1"/>
  <c r="J563" i="1"/>
  <c r="J551" i="1"/>
  <c r="J547" i="1"/>
  <c r="J535" i="1"/>
  <c r="J527" i="1"/>
  <c r="J519" i="1"/>
  <c r="J507" i="1"/>
  <c r="J479" i="1"/>
  <c r="J467" i="1"/>
  <c r="J459" i="1"/>
  <c r="J451" i="1"/>
  <c r="J443" i="1"/>
  <c r="J431" i="1"/>
  <c r="J423" i="1"/>
  <c r="J415" i="1"/>
  <c r="J407" i="1"/>
  <c r="J395" i="1"/>
  <c r="J387" i="1"/>
  <c r="J375" i="1"/>
  <c r="J367" i="1"/>
  <c r="J359" i="1"/>
  <c r="J347" i="1"/>
  <c r="J339" i="1"/>
  <c r="J331" i="1"/>
  <c r="J319" i="1"/>
  <c r="J311" i="1"/>
  <c r="J303" i="1"/>
  <c r="J291" i="1"/>
  <c r="J283" i="1"/>
  <c r="J275" i="1"/>
  <c r="J267" i="1"/>
  <c r="J259" i="1"/>
  <c r="J251" i="1"/>
  <c r="J243" i="1"/>
  <c r="J235" i="1"/>
  <c r="J223" i="1"/>
  <c r="J215" i="1"/>
  <c r="J203" i="1"/>
  <c r="J195" i="1"/>
  <c r="J183" i="1"/>
  <c r="J175" i="1"/>
  <c r="J167" i="1"/>
  <c r="J155" i="1"/>
  <c r="J147" i="1"/>
  <c r="J135" i="1"/>
  <c r="J127" i="1"/>
  <c r="J119" i="1"/>
  <c r="J111" i="1"/>
  <c r="J99" i="1"/>
  <c r="J91" i="1"/>
  <c r="J83" i="1"/>
  <c r="J75" i="1"/>
  <c r="J67" i="1"/>
  <c r="J55" i="1"/>
  <c r="J43" i="1"/>
  <c r="J35" i="1"/>
  <c r="J22" i="1"/>
  <c r="J10" i="1"/>
  <c r="J219" i="1"/>
  <c r="J211" i="1"/>
  <c r="J207" i="1"/>
  <c r="J199" i="1"/>
  <c r="J191" i="1"/>
  <c r="J187" i="1"/>
  <c r="J179" i="1"/>
  <c r="J171" i="1"/>
  <c r="J163" i="1"/>
  <c r="J159" i="1"/>
  <c r="J151" i="1"/>
  <c r="J143" i="1"/>
  <c r="J139" i="1"/>
  <c r="J131" i="1"/>
  <c r="J123" i="1"/>
  <c r="J115" i="1"/>
  <c r="J107" i="1"/>
  <c r="J103" i="1"/>
  <c r="J95" i="1"/>
  <c r="J87" i="1"/>
  <c r="J79" i="1"/>
  <c r="J71" i="1"/>
  <c r="J63" i="1"/>
  <c r="J59" i="1"/>
  <c r="J51" i="1"/>
  <c r="J47" i="1"/>
  <c r="J39" i="1"/>
  <c r="J31" i="1"/>
  <c r="J26" i="1"/>
  <c r="J18" i="1"/>
  <c r="J14" i="1"/>
  <c r="J6" i="1"/>
  <c r="J4983" i="1"/>
  <c r="J4979" i="1"/>
  <c r="J4975" i="1"/>
  <c r="J4971" i="1"/>
  <c r="J4967" i="1"/>
  <c r="J4963" i="1"/>
  <c r="J4959" i="1"/>
  <c r="J4955" i="1"/>
  <c r="J4951" i="1"/>
  <c r="J4947" i="1"/>
  <c r="J4943" i="1"/>
  <c r="J4939" i="1"/>
  <c r="J4934" i="1"/>
  <c r="J4930" i="1"/>
  <c r="J4926" i="1"/>
  <c r="J4922" i="1"/>
  <c r="J4918" i="1"/>
  <c r="J4914" i="1"/>
  <c r="J4910" i="1"/>
  <c r="J4906" i="1"/>
  <c r="J4902" i="1"/>
  <c r="J4898" i="1"/>
  <c r="J4894" i="1"/>
  <c r="J4890" i="1"/>
  <c r="J4886" i="1"/>
  <c r="J4882" i="1"/>
  <c r="J4878" i="1"/>
  <c r="J4874" i="1"/>
  <c r="J4870" i="1"/>
  <c r="J4866" i="1"/>
  <c r="J4862" i="1"/>
  <c r="J4858" i="1"/>
  <c r="J4854" i="1"/>
  <c r="J4850" i="1"/>
  <c r="J4846" i="1"/>
  <c r="J4842" i="1"/>
  <c r="J4838" i="1"/>
  <c r="J4834" i="1"/>
  <c r="J4830" i="1"/>
  <c r="J4826" i="1"/>
  <c r="J4822" i="1"/>
  <c r="J4818" i="1"/>
  <c r="J4814" i="1"/>
  <c r="J4810" i="1"/>
  <c r="J4806" i="1"/>
  <c r="J4802" i="1"/>
  <c r="J4798" i="1"/>
  <c r="J4794" i="1"/>
  <c r="J4790" i="1"/>
  <c r="J4786" i="1"/>
  <c r="J4782" i="1"/>
  <c r="J4778" i="1"/>
  <c r="J4774" i="1"/>
  <c r="J4770" i="1"/>
  <c r="J4766" i="1"/>
  <c r="J4762" i="1"/>
  <c r="J4758" i="1"/>
  <c r="J4754" i="1"/>
  <c r="J4750" i="1"/>
  <c r="J4746" i="1"/>
  <c r="J4742" i="1"/>
  <c r="J4738" i="1"/>
  <c r="J4734" i="1"/>
  <c r="J4730" i="1"/>
  <c r="J4726" i="1"/>
  <c r="J4722" i="1"/>
  <c r="J4718" i="1"/>
  <c r="J4714" i="1"/>
  <c r="J4710" i="1"/>
  <c r="J4706" i="1"/>
  <c r="J4702" i="1"/>
  <c r="J4698" i="1"/>
  <c r="J4694" i="1"/>
  <c r="J4690" i="1"/>
  <c r="J4686" i="1"/>
  <c r="J4682" i="1"/>
  <c r="J4678" i="1"/>
  <c r="J4674" i="1"/>
  <c r="J4670" i="1"/>
  <c r="J4666" i="1"/>
  <c r="J4662" i="1"/>
  <c r="J4658" i="1"/>
  <c r="J4654" i="1"/>
  <c r="J4650" i="1"/>
  <c r="J4646" i="1"/>
  <c r="J4642" i="1"/>
  <c r="J4638" i="1"/>
  <c r="J4634" i="1"/>
  <c r="J4630" i="1"/>
  <c r="J4626" i="1"/>
  <c r="J4622" i="1"/>
  <c r="J4618" i="1"/>
  <c r="J4614" i="1"/>
  <c r="J4610" i="1"/>
  <c r="J4606" i="1"/>
  <c r="J4602" i="1"/>
  <c r="J4598" i="1"/>
  <c r="J4594" i="1"/>
  <c r="J4590" i="1"/>
  <c r="J4586" i="1"/>
  <c r="J4582" i="1"/>
  <c r="J4578" i="1"/>
  <c r="J4574" i="1"/>
  <c r="J4570" i="1"/>
  <c r="J4566" i="1"/>
  <c r="J4562" i="1"/>
  <c r="J4558" i="1"/>
  <c r="J4554" i="1"/>
  <c r="J4550" i="1"/>
  <c r="J4546" i="1"/>
  <c r="J4542" i="1"/>
  <c r="J4538" i="1"/>
  <c r="J4534" i="1"/>
  <c r="J4530" i="1"/>
  <c r="J4526" i="1"/>
  <c r="J4522" i="1"/>
  <c r="J4518" i="1"/>
  <c r="J4514" i="1"/>
  <c r="J4510" i="1"/>
  <c r="J4506" i="1"/>
  <c r="J4502" i="1"/>
  <c r="J4498" i="1"/>
  <c r="J4494" i="1"/>
  <c r="J4490" i="1"/>
  <c r="J4486" i="1"/>
  <c r="J4482" i="1"/>
  <c r="J4478" i="1"/>
  <c r="J4474" i="1"/>
  <c r="J4470" i="1"/>
  <c r="J4466" i="1"/>
  <c r="J4462" i="1"/>
  <c r="J4458" i="1"/>
  <c r="J4454" i="1"/>
  <c r="J4450" i="1"/>
  <c r="J4446" i="1"/>
  <c r="J4442" i="1"/>
  <c r="J4438" i="1"/>
  <c r="J4434" i="1"/>
  <c r="J4430" i="1"/>
  <c r="J4426" i="1"/>
  <c r="J4422" i="1"/>
  <c r="J4418" i="1"/>
  <c r="J4414" i="1"/>
  <c r="J4410" i="1"/>
  <c r="J4406" i="1"/>
  <c r="J4402" i="1"/>
  <c r="J4398" i="1"/>
  <c r="J4394" i="1"/>
  <c r="J4390" i="1"/>
  <c r="J4386" i="1"/>
  <c r="J4382" i="1"/>
  <c r="J4378" i="1"/>
  <c r="J4374" i="1"/>
  <c r="J4370" i="1"/>
  <c r="J4366" i="1"/>
  <c r="J4362" i="1"/>
  <c r="J4358" i="1"/>
  <c r="J4354" i="1"/>
  <c r="J4350" i="1"/>
  <c r="J4346" i="1"/>
  <c r="J4342" i="1"/>
  <c r="J4338" i="1"/>
  <c r="J4334" i="1"/>
  <c r="J4330" i="1"/>
  <c r="J4326" i="1"/>
  <c r="J4322" i="1"/>
  <c r="J4318" i="1"/>
  <c r="J4314" i="1"/>
  <c r="J4310" i="1"/>
  <c r="J4306" i="1"/>
  <c r="J4302" i="1"/>
  <c r="J4298" i="1"/>
  <c r="J4294" i="1"/>
  <c r="J4290" i="1"/>
  <c r="J4286" i="1"/>
  <c r="J4282" i="1"/>
  <c r="J4278" i="1"/>
  <c r="J4274" i="1"/>
  <c r="J4270" i="1"/>
  <c r="J4266" i="1"/>
  <c r="J4262" i="1"/>
  <c r="J4258" i="1"/>
  <c r="J4254" i="1"/>
  <c r="J4250" i="1"/>
  <c r="J4246" i="1"/>
  <c r="J4242" i="1"/>
  <c r="J4238" i="1"/>
  <c r="J4234" i="1"/>
  <c r="J4230" i="1"/>
  <c r="J4226" i="1"/>
  <c r="J4222" i="1"/>
  <c r="J4218" i="1"/>
  <c r="J4214" i="1"/>
  <c r="J4210" i="1"/>
  <c r="J4206" i="1"/>
  <c r="J4202" i="1"/>
  <c r="J4198" i="1"/>
  <c r="J4194" i="1"/>
  <c r="J4190" i="1"/>
  <c r="J4186" i="1"/>
  <c r="J4182" i="1"/>
  <c r="J4178" i="1"/>
  <c r="J4174" i="1"/>
  <c r="J4170" i="1"/>
  <c r="J4166" i="1"/>
  <c r="J4162" i="1"/>
  <c r="J4158" i="1"/>
  <c r="J4154" i="1"/>
  <c r="J4150" i="1"/>
  <c r="J4146" i="1"/>
  <c r="J4142" i="1"/>
  <c r="J4138" i="1"/>
  <c r="J4134" i="1"/>
  <c r="J4130" i="1"/>
  <c r="J4126" i="1"/>
  <c r="J4122" i="1"/>
  <c r="J4118" i="1"/>
  <c r="J4114" i="1"/>
  <c r="J4110" i="1"/>
  <c r="J4106" i="1"/>
  <c r="J4102" i="1"/>
  <c r="J4098" i="1"/>
  <c r="J4094" i="1"/>
  <c r="J4090" i="1"/>
  <c r="J4086" i="1"/>
  <c r="J4082" i="1"/>
  <c r="J4078" i="1"/>
  <c r="J4074" i="1"/>
  <c r="J4070" i="1"/>
  <c r="J4066" i="1"/>
  <c r="J4062" i="1"/>
  <c r="J4058" i="1"/>
  <c r="J4054" i="1"/>
  <c r="J4050" i="1"/>
  <c r="J4046" i="1"/>
  <c r="J4042" i="1"/>
  <c r="J4038" i="1"/>
  <c r="J4034" i="1"/>
  <c r="J4030" i="1"/>
  <c r="J4026" i="1"/>
  <c r="J4022" i="1"/>
  <c r="J4018" i="1"/>
  <c r="J4014" i="1"/>
  <c r="J4010" i="1"/>
  <c r="J4006" i="1"/>
  <c r="J4002" i="1"/>
  <c r="J3998" i="1"/>
  <c r="J3994" i="1"/>
  <c r="J3990" i="1"/>
  <c r="J3986" i="1"/>
  <c r="J3982" i="1"/>
  <c r="J3978" i="1"/>
  <c r="J3974" i="1"/>
  <c r="J3970" i="1"/>
  <c r="J3966" i="1"/>
  <c r="J3962" i="1"/>
  <c r="J3958" i="1"/>
  <c r="J3954" i="1"/>
  <c r="J3950" i="1"/>
  <c r="J3946" i="1"/>
  <c r="J3942" i="1"/>
  <c r="J3938" i="1"/>
  <c r="J3934" i="1"/>
  <c r="J3930" i="1"/>
  <c r="J3926" i="1"/>
  <c r="J3922" i="1"/>
  <c r="J3918" i="1"/>
  <c r="J3914" i="1"/>
  <c r="J3910" i="1"/>
  <c r="J3906" i="1"/>
  <c r="J3902" i="1"/>
  <c r="J3898" i="1"/>
  <c r="J3894" i="1"/>
  <c r="J3890" i="1"/>
  <c r="J3886" i="1"/>
  <c r="J3882" i="1"/>
  <c r="J3878" i="1"/>
  <c r="J3874" i="1"/>
  <c r="J3870" i="1"/>
  <c r="J3866" i="1"/>
  <c r="J3862" i="1"/>
  <c r="J3858" i="1"/>
  <c r="J3854" i="1"/>
  <c r="J3850" i="1"/>
  <c r="J3846" i="1"/>
  <c r="J3842" i="1"/>
  <c r="J3838" i="1"/>
  <c r="J3834" i="1"/>
  <c r="J3830" i="1"/>
  <c r="J3826" i="1"/>
  <c r="J3822" i="1"/>
  <c r="J3818" i="1"/>
  <c r="J3814" i="1"/>
  <c r="J3810" i="1"/>
  <c r="J3806" i="1"/>
  <c r="J3802" i="1"/>
  <c r="J3798" i="1"/>
  <c r="J3794" i="1"/>
  <c r="J3790" i="1"/>
  <c r="J3786" i="1"/>
  <c r="J3782" i="1"/>
  <c r="J3778" i="1"/>
  <c r="J3774" i="1"/>
  <c r="J3770" i="1"/>
  <c r="J3766" i="1"/>
  <c r="J3762" i="1"/>
  <c r="J3758" i="1"/>
  <c r="J3754" i="1"/>
  <c r="J3750" i="1"/>
  <c r="J3746" i="1"/>
  <c r="J3742" i="1"/>
  <c r="J3738" i="1"/>
  <c r="J3734" i="1"/>
  <c r="J3730" i="1"/>
  <c r="J3726" i="1"/>
  <c r="J3722" i="1"/>
  <c r="J3718" i="1"/>
  <c r="J3714" i="1"/>
  <c r="J3710" i="1"/>
  <c r="J3706" i="1"/>
  <c r="J3702" i="1"/>
  <c r="J3698" i="1"/>
  <c r="J3694" i="1"/>
  <c r="J3690" i="1"/>
  <c r="J3686" i="1"/>
  <c r="J3682" i="1"/>
  <c r="J3678" i="1"/>
  <c r="J3674" i="1"/>
  <c r="J3670" i="1"/>
  <c r="J3666" i="1"/>
  <c r="J3662" i="1"/>
  <c r="J3658" i="1"/>
  <c r="J3654" i="1"/>
  <c r="J3650" i="1"/>
  <c r="J3646" i="1"/>
  <c r="J3642" i="1"/>
  <c r="J3638" i="1"/>
  <c r="J3634" i="1"/>
  <c r="J3630" i="1"/>
  <c r="J3626" i="1"/>
  <c r="J3622" i="1"/>
  <c r="J3618" i="1"/>
  <c r="J3614" i="1"/>
  <c r="J3610" i="1"/>
  <c r="J3606" i="1"/>
  <c r="J3602" i="1"/>
  <c r="J3598" i="1"/>
  <c r="J3594" i="1"/>
  <c r="J3590" i="1"/>
  <c r="J3586" i="1"/>
  <c r="J3582" i="1"/>
  <c r="J3578" i="1"/>
  <c r="J3574" i="1"/>
  <c r="J3570" i="1"/>
  <c r="J3566" i="1"/>
  <c r="J3562" i="1"/>
  <c r="J3558" i="1"/>
  <c r="J3554" i="1"/>
  <c r="J3550" i="1"/>
  <c r="J3546" i="1"/>
  <c r="J3542" i="1"/>
  <c r="J3538" i="1"/>
  <c r="J3534" i="1"/>
  <c r="J3530" i="1"/>
  <c r="J3526" i="1"/>
  <c r="J3522" i="1"/>
  <c r="J3518" i="1"/>
  <c r="J3514" i="1"/>
  <c r="J3510" i="1"/>
  <c r="J3506" i="1"/>
  <c r="J3502" i="1"/>
  <c r="J3498" i="1"/>
  <c r="J3494" i="1"/>
  <c r="J3490" i="1"/>
  <c r="J3486" i="1"/>
  <c r="J3482" i="1"/>
  <c r="J3478" i="1"/>
  <c r="J3474" i="1"/>
  <c r="J3470" i="1"/>
  <c r="J3466" i="1"/>
  <c r="J3462" i="1"/>
  <c r="J3458" i="1"/>
  <c r="J3454" i="1"/>
  <c r="J3450" i="1"/>
  <c r="J3446" i="1"/>
  <c r="J3442" i="1"/>
  <c r="J3438" i="1"/>
  <c r="J3434" i="1"/>
  <c r="J3430" i="1"/>
  <c r="J3426" i="1"/>
  <c r="J3422" i="1"/>
  <c r="J3418" i="1"/>
  <c r="J3414" i="1"/>
  <c r="J3410" i="1"/>
  <c r="J3406" i="1"/>
  <c r="J3402" i="1"/>
  <c r="J3398" i="1"/>
  <c r="J3394" i="1"/>
  <c r="J3390" i="1"/>
  <c r="J3386" i="1"/>
  <c r="J3382" i="1"/>
  <c r="J3378" i="1"/>
  <c r="J3374" i="1"/>
  <c r="J3370" i="1"/>
  <c r="J3366" i="1"/>
  <c r="J3362" i="1"/>
  <c r="J3358" i="1"/>
  <c r="J3354" i="1"/>
  <c r="J3350" i="1"/>
  <c r="J3346" i="1"/>
  <c r="J3342" i="1"/>
  <c r="J3338" i="1"/>
  <c r="J3334" i="1"/>
  <c r="J3330" i="1"/>
  <c r="J3326" i="1"/>
  <c r="J3322" i="1"/>
  <c r="J3318" i="1"/>
  <c r="J3314" i="1"/>
  <c r="J3310" i="1"/>
  <c r="J3306" i="1"/>
  <c r="J3302" i="1"/>
  <c r="J3298" i="1"/>
  <c r="J3294" i="1"/>
  <c r="J3290" i="1"/>
  <c r="J3286" i="1"/>
  <c r="J3282" i="1"/>
  <c r="J3278" i="1"/>
  <c r="J3274" i="1"/>
  <c r="J3270" i="1"/>
  <c r="J3266" i="1"/>
  <c r="J3262" i="1"/>
  <c r="J3258" i="1"/>
  <c r="J3254" i="1"/>
  <c r="J3250" i="1"/>
  <c r="J3246" i="1"/>
  <c r="J3242" i="1"/>
  <c r="J3238" i="1"/>
  <c r="J3234" i="1"/>
  <c r="J3230" i="1"/>
  <c r="J3226" i="1"/>
  <c r="J3222" i="1"/>
  <c r="J3218" i="1"/>
  <c r="J3214" i="1"/>
  <c r="J3210" i="1"/>
  <c r="J3206" i="1"/>
  <c r="J3202" i="1"/>
  <c r="J3198" i="1"/>
  <c r="J3194" i="1"/>
  <c r="J3190" i="1"/>
  <c r="J3186" i="1"/>
  <c r="J3182" i="1"/>
  <c r="J3178" i="1"/>
  <c r="J3174" i="1"/>
  <c r="J3170" i="1"/>
  <c r="J3166" i="1"/>
  <c r="J3162" i="1"/>
  <c r="J3158" i="1"/>
  <c r="J3154" i="1"/>
  <c r="J3150" i="1"/>
  <c r="J3146" i="1"/>
  <c r="J3142" i="1"/>
  <c r="J3138" i="1"/>
  <c r="J3134" i="1"/>
  <c r="J3130" i="1"/>
  <c r="J3126" i="1"/>
  <c r="J3122" i="1"/>
  <c r="J3118" i="1"/>
  <c r="J3114" i="1"/>
  <c r="J3110" i="1"/>
  <c r="J3106" i="1"/>
  <c r="J3102" i="1"/>
  <c r="J3098" i="1"/>
  <c r="J3094" i="1"/>
  <c r="J3090" i="1"/>
  <c r="J3086" i="1"/>
  <c r="J3082" i="1"/>
  <c r="J3078" i="1"/>
  <c r="J3074" i="1"/>
  <c r="J3070" i="1"/>
  <c r="J3066" i="1"/>
  <c r="J3062" i="1"/>
  <c r="J3058" i="1"/>
  <c r="J3054" i="1"/>
  <c r="J3050" i="1"/>
  <c r="J3046" i="1"/>
  <c r="J3042" i="1"/>
  <c r="J3038" i="1"/>
  <c r="J3034" i="1"/>
  <c r="J3030" i="1"/>
  <c r="J3026" i="1"/>
  <c r="J3022" i="1"/>
  <c r="J3018" i="1"/>
  <c r="J3014" i="1"/>
  <c r="J3010" i="1"/>
  <c r="J3006" i="1"/>
  <c r="J3002" i="1"/>
  <c r="J2998" i="1"/>
  <c r="J2994" i="1"/>
  <c r="J2990" i="1"/>
  <c r="J2986" i="1"/>
  <c r="J2982" i="1"/>
  <c r="J2978" i="1"/>
  <c r="J2974" i="1"/>
  <c r="J2970" i="1"/>
  <c r="J2966" i="1"/>
  <c r="J2962" i="1"/>
  <c r="J2958" i="1"/>
  <c r="J2954" i="1"/>
  <c r="J2950" i="1"/>
  <c r="J2946" i="1"/>
  <c r="J2942" i="1"/>
  <c r="J2938" i="1"/>
  <c r="J2934" i="1"/>
  <c r="J2930" i="1"/>
  <c r="J2926" i="1"/>
  <c r="J2922" i="1"/>
  <c r="J2918" i="1"/>
  <c r="J2914" i="1"/>
  <c r="J2910" i="1"/>
  <c r="J2906" i="1"/>
  <c r="J2902" i="1"/>
  <c r="J2898" i="1"/>
  <c r="J2894" i="1"/>
  <c r="J2890" i="1"/>
  <c r="J2886" i="1"/>
  <c r="J2882" i="1"/>
  <c r="J2878" i="1"/>
  <c r="J2874" i="1"/>
  <c r="J2870" i="1"/>
  <c r="J2866" i="1"/>
  <c r="J2862" i="1"/>
  <c r="J2858" i="1"/>
  <c r="J2854" i="1"/>
  <c r="J2850" i="1"/>
  <c r="J2846" i="1"/>
  <c r="J2842" i="1"/>
  <c r="J2838" i="1"/>
  <c r="J2834" i="1"/>
  <c r="J2830" i="1"/>
  <c r="J2826" i="1"/>
  <c r="J2822" i="1"/>
  <c r="J2818" i="1"/>
  <c r="J2814" i="1"/>
  <c r="J2810" i="1"/>
  <c r="J2806" i="1"/>
  <c r="J2802" i="1"/>
  <c r="J2798" i="1"/>
  <c r="J2794" i="1"/>
  <c r="J2790" i="1"/>
  <c r="J2786" i="1"/>
  <c r="J2782" i="1"/>
  <c r="J2778" i="1"/>
  <c r="J2774" i="1"/>
  <c r="J2770" i="1"/>
  <c r="J2766" i="1"/>
  <c r="J2762" i="1"/>
  <c r="J2758" i="1"/>
  <c r="J2754" i="1"/>
  <c r="J2750" i="1"/>
  <c r="J2746" i="1"/>
  <c r="J2742" i="1"/>
  <c r="J2738" i="1"/>
  <c r="J2734" i="1"/>
  <c r="J2730" i="1"/>
  <c r="J2726" i="1"/>
  <c r="J2722" i="1"/>
  <c r="J2718" i="1"/>
  <c r="J2714" i="1"/>
  <c r="J2710" i="1"/>
  <c r="J2706" i="1"/>
  <c r="J2702" i="1"/>
  <c r="J2698" i="1"/>
  <c r="J2694" i="1"/>
  <c r="J2690" i="1"/>
  <c r="J2686" i="1"/>
  <c r="J2682" i="1"/>
  <c r="J2678" i="1"/>
  <c r="J2674" i="1"/>
  <c r="J2670" i="1"/>
  <c r="J2666" i="1"/>
  <c r="J2662" i="1"/>
  <c r="J2658" i="1"/>
  <c r="J2654" i="1"/>
  <c r="J2650" i="1"/>
  <c r="J2646" i="1"/>
  <c r="J2642" i="1"/>
  <c r="J2638" i="1"/>
  <c r="J2634" i="1"/>
  <c r="J2630" i="1"/>
  <c r="J2626" i="1"/>
  <c r="J2622" i="1"/>
  <c r="J2618" i="1"/>
  <c r="J2614" i="1"/>
  <c r="J2610" i="1"/>
  <c r="J2606" i="1"/>
  <c r="J2602" i="1"/>
  <c r="J2598" i="1"/>
  <c r="J2594" i="1"/>
  <c r="J2590" i="1"/>
  <c r="J2586" i="1"/>
  <c r="J2582" i="1"/>
  <c r="J2578" i="1"/>
  <c r="J2574" i="1"/>
  <c r="J2570" i="1"/>
  <c r="J2566" i="1"/>
  <c r="J2562" i="1"/>
  <c r="J2558" i="1"/>
  <c r="J2554" i="1"/>
  <c r="J2550" i="1"/>
  <c r="J2546" i="1"/>
  <c r="J2542" i="1"/>
  <c r="J2538" i="1"/>
  <c r="J2534" i="1"/>
  <c r="J2530" i="1"/>
  <c r="J2526" i="1"/>
  <c r="J2522" i="1"/>
  <c r="J2518" i="1"/>
  <c r="J2514" i="1"/>
  <c r="J2510" i="1"/>
  <c r="J2506" i="1"/>
  <c r="J2502" i="1"/>
  <c r="J2498" i="1"/>
  <c r="J2494" i="1"/>
  <c r="J2490" i="1"/>
  <c r="J2486" i="1"/>
  <c r="J2482" i="1"/>
  <c r="J2478" i="1"/>
  <c r="J2474" i="1"/>
  <c r="J2470" i="1"/>
  <c r="J2466" i="1"/>
  <c r="J2462" i="1"/>
  <c r="J2458" i="1"/>
  <c r="J2454" i="1"/>
  <c r="J2450" i="1"/>
  <c r="J2446" i="1"/>
  <c r="J2442" i="1"/>
  <c r="J2438" i="1"/>
  <c r="J2434" i="1"/>
  <c r="J2430" i="1"/>
  <c r="J2426" i="1"/>
  <c r="J2422" i="1"/>
  <c r="J2418" i="1"/>
  <c r="J2414" i="1"/>
  <c r="J2410" i="1"/>
  <c r="J2406" i="1"/>
  <c r="J2402" i="1"/>
  <c r="J2398" i="1"/>
  <c r="J2394" i="1"/>
  <c r="J2390" i="1"/>
  <c r="J2386" i="1"/>
  <c r="J2382" i="1"/>
  <c r="J2378" i="1"/>
  <c r="J2374" i="1"/>
  <c r="J2370" i="1"/>
  <c r="J2366" i="1"/>
  <c r="J2362" i="1"/>
  <c r="J2358" i="1"/>
  <c r="J2354" i="1"/>
  <c r="J2350" i="1"/>
  <c r="J2346" i="1"/>
  <c r="J2342" i="1"/>
  <c r="J2338" i="1"/>
  <c r="J2334" i="1"/>
  <c r="J2330" i="1"/>
  <c r="J2326" i="1"/>
  <c r="J2322" i="1"/>
  <c r="J2318" i="1"/>
  <c r="J2314" i="1"/>
  <c r="J2310" i="1"/>
  <c r="J2306" i="1"/>
  <c r="J2302" i="1"/>
  <c r="J2298" i="1"/>
  <c r="J2294" i="1"/>
  <c r="J2290" i="1"/>
  <c r="J2286" i="1"/>
  <c r="J2282" i="1"/>
  <c r="J2278" i="1"/>
  <c r="J2274" i="1"/>
  <c r="J2270" i="1"/>
  <c r="J2266" i="1"/>
  <c r="J2262" i="1"/>
  <c r="J2258" i="1"/>
  <c r="J2254" i="1"/>
  <c r="J2250" i="1"/>
  <c r="J2246" i="1"/>
  <c r="J2242" i="1"/>
  <c r="J2238" i="1"/>
  <c r="J2234" i="1"/>
  <c r="J2230" i="1"/>
  <c r="J2226" i="1"/>
  <c r="J2222" i="1"/>
  <c r="J2218" i="1"/>
  <c r="J2214" i="1"/>
  <c r="J2210" i="1"/>
  <c r="J2206" i="1"/>
  <c r="J2202" i="1"/>
  <c r="J2198" i="1"/>
  <c r="J2194" i="1"/>
  <c r="J2190" i="1"/>
  <c r="J2186" i="1"/>
  <c r="J2182" i="1"/>
  <c r="J2178" i="1"/>
  <c r="J2174" i="1"/>
  <c r="J2170" i="1"/>
  <c r="J2166" i="1"/>
  <c r="J2162" i="1"/>
  <c r="J2158" i="1"/>
  <c r="J2154" i="1"/>
  <c r="J2150" i="1"/>
  <c r="J2146" i="1"/>
  <c r="J2142" i="1"/>
  <c r="J2138" i="1"/>
  <c r="J2134" i="1"/>
  <c r="J2130" i="1"/>
  <c r="J2126" i="1"/>
  <c r="J2122" i="1"/>
  <c r="J2118" i="1"/>
  <c r="J2114" i="1"/>
  <c r="J2110" i="1"/>
  <c r="J2106" i="1"/>
  <c r="J2102" i="1"/>
  <c r="J2098" i="1"/>
  <c r="J2094" i="1"/>
  <c r="J2090" i="1"/>
  <c r="J2086" i="1"/>
  <c r="J2082" i="1"/>
  <c r="J2078" i="1"/>
  <c r="J2074" i="1"/>
  <c r="J2070" i="1"/>
  <c r="J2066" i="1"/>
  <c r="J2062" i="1"/>
  <c r="J2058" i="1"/>
  <c r="J2054" i="1"/>
  <c r="J2050" i="1"/>
  <c r="J2046" i="1"/>
  <c r="J2042" i="1"/>
  <c r="J2038" i="1"/>
  <c r="J2034" i="1"/>
  <c r="J2030" i="1"/>
  <c r="J2026" i="1"/>
  <c r="J2022" i="1"/>
  <c r="J2018" i="1"/>
  <c r="J2014" i="1"/>
  <c r="J2010" i="1"/>
  <c r="J2006" i="1"/>
  <c r="J2002" i="1"/>
  <c r="J1998" i="1"/>
  <c r="J1994" i="1"/>
  <c r="J1990" i="1"/>
  <c r="J1986" i="1"/>
  <c r="J1982" i="1"/>
  <c r="J1978" i="1"/>
  <c r="J1974" i="1"/>
  <c r="J1970" i="1"/>
  <c r="J1966" i="1"/>
  <c r="J1962" i="1"/>
  <c r="J1958" i="1"/>
  <c r="J1954" i="1"/>
  <c r="J1950" i="1"/>
  <c r="J1946" i="1"/>
  <c r="J1942" i="1"/>
  <c r="J1938" i="1"/>
  <c r="J1934" i="1"/>
  <c r="J1930" i="1"/>
  <c r="J1926" i="1"/>
  <c r="J1922" i="1"/>
  <c r="J1918" i="1"/>
  <c r="J1914" i="1"/>
  <c r="J1910" i="1"/>
  <c r="J1906" i="1"/>
  <c r="J1902" i="1"/>
  <c r="J1898" i="1"/>
  <c r="J1894" i="1"/>
  <c r="J1890" i="1"/>
  <c r="J1886" i="1"/>
  <c r="J1882" i="1"/>
  <c r="J1878" i="1"/>
  <c r="J1874" i="1"/>
  <c r="J1870" i="1"/>
  <c r="J1866" i="1"/>
  <c r="J1862" i="1"/>
  <c r="J1858" i="1"/>
  <c r="J1854" i="1"/>
  <c r="J1850" i="1"/>
  <c r="J1846" i="1"/>
  <c r="J1842" i="1"/>
  <c r="J1838" i="1"/>
  <c r="J1834" i="1"/>
  <c r="J1830" i="1"/>
  <c r="J1826" i="1"/>
  <c r="J1822" i="1"/>
  <c r="J1818" i="1"/>
  <c r="J1814" i="1"/>
  <c r="J1810" i="1"/>
  <c r="J1806" i="1"/>
  <c r="J1802" i="1"/>
  <c r="J1798" i="1"/>
  <c r="J1794" i="1"/>
  <c r="J1790" i="1"/>
  <c r="J1786" i="1"/>
  <c r="J1782" i="1"/>
  <c r="J1778" i="1"/>
  <c r="J1774" i="1"/>
  <c r="J1770" i="1"/>
  <c r="J1766" i="1"/>
  <c r="J1762" i="1"/>
  <c r="J1758" i="1"/>
  <c r="J1754" i="1"/>
  <c r="J1750" i="1"/>
  <c r="J1746" i="1"/>
  <c r="J1742" i="1"/>
  <c r="J1738" i="1"/>
  <c r="J1734" i="1"/>
  <c r="J1730" i="1"/>
  <c r="J1726" i="1"/>
  <c r="J1722" i="1"/>
  <c r="J1718" i="1"/>
  <c r="J1714" i="1"/>
  <c r="J1710" i="1"/>
  <c r="J1706" i="1"/>
  <c r="J1702" i="1"/>
  <c r="J1698" i="1"/>
  <c r="J1694" i="1"/>
  <c r="J1690" i="1"/>
  <c r="J1686" i="1"/>
  <c r="J1682" i="1"/>
  <c r="J1678" i="1"/>
  <c r="J1674" i="1"/>
  <c r="J1670" i="1"/>
  <c r="J1666" i="1"/>
  <c r="J1662" i="1"/>
  <c r="J1658" i="1"/>
  <c r="J1654" i="1"/>
  <c r="J1650" i="1"/>
  <c r="J1646" i="1"/>
  <c r="J1642" i="1"/>
  <c r="J1638" i="1"/>
  <c r="J1634" i="1"/>
  <c r="J1630" i="1"/>
  <c r="J1626" i="1"/>
  <c r="J1622" i="1"/>
  <c r="J1618" i="1"/>
  <c r="J1614" i="1"/>
  <c r="J1610" i="1"/>
  <c r="J1606" i="1"/>
  <c r="J1602" i="1"/>
  <c r="J1598" i="1"/>
  <c r="J1594" i="1"/>
  <c r="J1590" i="1"/>
  <c r="J1586" i="1"/>
  <c r="J1582" i="1"/>
  <c r="J1578" i="1"/>
  <c r="J1574" i="1"/>
  <c r="J1570" i="1"/>
  <c r="J1566" i="1"/>
  <c r="J1562" i="1"/>
  <c r="J1558" i="1"/>
  <c r="J1554" i="1"/>
  <c r="J1550" i="1"/>
  <c r="J1546" i="1"/>
  <c r="J1542" i="1"/>
  <c r="J1538" i="1"/>
  <c r="J1534" i="1"/>
  <c r="J1530" i="1"/>
  <c r="J1526" i="1"/>
  <c r="J1522" i="1"/>
  <c r="J1518" i="1"/>
  <c r="J1514" i="1"/>
  <c r="J1510" i="1"/>
  <c r="J1506" i="1"/>
  <c r="J1502" i="1"/>
  <c r="J1498" i="1"/>
  <c r="J1494" i="1"/>
  <c r="J1490" i="1"/>
  <c r="J1486" i="1"/>
  <c r="J1482" i="1"/>
  <c r="J1478" i="1"/>
  <c r="J1474" i="1"/>
  <c r="J1470" i="1"/>
  <c r="J1466" i="1"/>
  <c r="J1462" i="1"/>
  <c r="J1458" i="1"/>
  <c r="J1454" i="1"/>
  <c r="J1450" i="1"/>
  <c r="J1446" i="1"/>
  <c r="J1442" i="1"/>
  <c r="J1438" i="1"/>
  <c r="J1434" i="1"/>
  <c r="J1430" i="1"/>
  <c r="J1426" i="1"/>
  <c r="J1422" i="1"/>
  <c r="J1418" i="1"/>
  <c r="J1414" i="1"/>
  <c r="J1410" i="1"/>
  <c r="J1406" i="1"/>
  <c r="J1402" i="1"/>
  <c r="J1398" i="1"/>
  <c r="J1394" i="1"/>
  <c r="J1390" i="1"/>
  <c r="J1386" i="1"/>
  <c r="J1382" i="1"/>
  <c r="J1378" i="1"/>
  <c r="J1374" i="1"/>
  <c r="J1370" i="1"/>
  <c r="J1366" i="1"/>
  <c r="J1362" i="1"/>
  <c r="J1358" i="1"/>
  <c r="J1354" i="1"/>
  <c r="J1350" i="1"/>
  <c r="J1346" i="1"/>
  <c r="J1342" i="1"/>
  <c r="J1338" i="1"/>
  <c r="J1334" i="1"/>
  <c r="J1330" i="1"/>
  <c r="J1326" i="1"/>
  <c r="J1322" i="1"/>
  <c r="J1318" i="1"/>
  <c r="J1314" i="1"/>
  <c r="J1310" i="1"/>
  <c r="J1306" i="1"/>
  <c r="J1302" i="1"/>
  <c r="J1298" i="1"/>
  <c r="J1294" i="1"/>
  <c r="J1290" i="1"/>
  <c r="J1286" i="1"/>
  <c r="J1282" i="1"/>
  <c r="J1278" i="1"/>
  <c r="J1274" i="1"/>
  <c r="J1270" i="1"/>
  <c r="J1266" i="1"/>
  <c r="J1262" i="1"/>
  <c r="J1258" i="1"/>
  <c r="J1254" i="1"/>
  <c r="J1250" i="1"/>
  <c r="J1246" i="1"/>
  <c r="J1242" i="1"/>
  <c r="J1238" i="1"/>
  <c r="J1234" i="1"/>
  <c r="J1230" i="1"/>
  <c r="J1226" i="1"/>
  <c r="J1222" i="1"/>
  <c r="J1218" i="1"/>
  <c r="J1214" i="1"/>
  <c r="J1210" i="1"/>
  <c r="J1206" i="1"/>
  <c r="J1202" i="1"/>
  <c r="J1198" i="1"/>
  <c r="J1194" i="1"/>
  <c r="J1190" i="1"/>
  <c r="J1186" i="1"/>
  <c r="J1182" i="1"/>
  <c r="J1178" i="1"/>
  <c r="J1174" i="1"/>
  <c r="J1170" i="1"/>
  <c r="J1166" i="1"/>
  <c r="J1162" i="1"/>
  <c r="J1158" i="1"/>
  <c r="J1154" i="1"/>
  <c r="J1150" i="1"/>
  <c r="J1146" i="1"/>
  <c r="J1142" i="1"/>
  <c r="J1138" i="1"/>
  <c r="J1134" i="1"/>
  <c r="J1130" i="1"/>
  <c r="J1126" i="1"/>
  <c r="J1122" i="1"/>
  <c r="J1118" i="1"/>
  <c r="J1114" i="1"/>
  <c r="J1110" i="1"/>
  <c r="J1106" i="1"/>
  <c r="J1102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J1046" i="1"/>
  <c r="J1042" i="1"/>
  <c r="J1038" i="1"/>
  <c r="J1034" i="1"/>
  <c r="J1030" i="1"/>
  <c r="J1026" i="1"/>
  <c r="J1022" i="1"/>
  <c r="J1018" i="1"/>
  <c r="J1014" i="1"/>
  <c r="J1010" i="1"/>
  <c r="J1006" i="1"/>
  <c r="J1002" i="1"/>
  <c r="J998" i="1"/>
  <c r="J994" i="1"/>
  <c r="J990" i="1"/>
  <c r="J986" i="1"/>
  <c r="J982" i="1"/>
  <c r="J978" i="1"/>
  <c r="J974" i="1"/>
  <c r="J970" i="1"/>
  <c r="J966" i="1"/>
  <c r="J962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894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J814" i="1"/>
  <c r="J810" i="1"/>
  <c r="J806" i="1"/>
  <c r="J802" i="1"/>
  <c r="J798" i="1"/>
  <c r="J794" i="1"/>
  <c r="J790" i="1"/>
  <c r="J786" i="1"/>
  <c r="J782" i="1"/>
  <c r="J778" i="1"/>
  <c r="J774" i="1"/>
  <c r="J770" i="1"/>
  <c r="J766" i="1"/>
  <c r="J762" i="1"/>
  <c r="J758" i="1"/>
  <c r="J754" i="1"/>
  <c r="J750" i="1"/>
  <c r="J746" i="1"/>
  <c r="J742" i="1"/>
  <c r="J738" i="1"/>
  <c r="J734" i="1"/>
  <c r="J730" i="1"/>
  <c r="J726" i="1"/>
  <c r="J722" i="1"/>
  <c r="J718" i="1"/>
  <c r="J714" i="1"/>
  <c r="J710" i="1"/>
  <c r="J706" i="1"/>
  <c r="J702" i="1"/>
  <c r="J698" i="1"/>
  <c r="J694" i="1"/>
  <c r="J690" i="1"/>
  <c r="J686" i="1"/>
  <c r="J682" i="1"/>
  <c r="J678" i="1"/>
  <c r="J674" i="1"/>
  <c r="J670" i="1"/>
  <c r="J666" i="1"/>
  <c r="J662" i="1"/>
  <c r="J658" i="1"/>
  <c r="J654" i="1"/>
  <c r="J650" i="1"/>
  <c r="J646" i="1"/>
  <c r="J642" i="1"/>
  <c r="J638" i="1"/>
  <c r="J634" i="1"/>
  <c r="J630" i="1"/>
  <c r="J626" i="1"/>
  <c r="J622" i="1"/>
  <c r="J618" i="1"/>
  <c r="J614" i="1"/>
  <c r="J610" i="1"/>
  <c r="J606" i="1"/>
  <c r="J602" i="1"/>
  <c r="J598" i="1"/>
  <c r="J594" i="1"/>
  <c r="J590" i="1"/>
  <c r="J586" i="1"/>
  <c r="J582" i="1"/>
  <c r="J578" i="1"/>
  <c r="J574" i="1"/>
  <c r="J570" i="1"/>
  <c r="J566" i="1"/>
  <c r="J562" i="1"/>
  <c r="J558" i="1"/>
  <c r="J554" i="1"/>
  <c r="J550" i="1"/>
  <c r="J546" i="1"/>
  <c r="J542" i="1"/>
  <c r="J538" i="1"/>
  <c r="J534" i="1"/>
  <c r="J530" i="1"/>
  <c r="J526" i="1"/>
  <c r="J522" i="1"/>
  <c r="J518" i="1"/>
  <c r="J514" i="1"/>
  <c r="J510" i="1"/>
  <c r="J506" i="1"/>
  <c r="J502" i="1"/>
  <c r="J498" i="1"/>
  <c r="J494" i="1"/>
  <c r="J490" i="1"/>
  <c r="J486" i="1"/>
  <c r="J482" i="1"/>
  <c r="J478" i="1"/>
  <c r="J474" i="1"/>
  <c r="J470" i="1"/>
  <c r="J466" i="1"/>
  <c r="J462" i="1"/>
  <c r="J458" i="1"/>
  <c r="J454" i="1"/>
  <c r="J450" i="1"/>
  <c r="J446" i="1"/>
  <c r="J442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6" i="1"/>
  <c r="J302" i="1"/>
  <c r="J298" i="1"/>
  <c r="J294" i="1"/>
  <c r="J290" i="1"/>
  <c r="J286" i="1"/>
  <c r="J282" i="1"/>
  <c r="J278" i="1"/>
  <c r="J274" i="1"/>
  <c r="J270" i="1"/>
  <c r="J266" i="1"/>
  <c r="J262" i="1"/>
  <c r="J258" i="1"/>
  <c r="J254" i="1"/>
  <c r="J250" i="1"/>
  <c r="J246" i="1"/>
  <c r="J242" i="1"/>
  <c r="J238" i="1"/>
  <c r="J2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5" i="1"/>
  <c r="J21" i="1"/>
  <c r="J17" i="1"/>
  <c r="J13" i="1"/>
  <c r="J9" i="1"/>
  <c r="J5" i="1"/>
  <c r="J4937" i="1"/>
  <c r="K4937" i="1" l="1"/>
  <c r="L4937" i="1"/>
  <c r="L4" i="1"/>
  <c r="L26" i="1"/>
  <c r="L8" i="1"/>
  <c r="K5" i="1"/>
  <c r="L28" i="1"/>
  <c r="L16" i="1"/>
  <c r="K8" i="1"/>
  <c r="L22" i="1"/>
  <c r="K30" i="1"/>
  <c r="L18" i="1"/>
  <c r="L17" i="1"/>
  <c r="K19" i="1"/>
  <c r="K26" i="1"/>
  <c r="K12" i="1"/>
  <c r="K3" i="1"/>
  <c r="L29" i="1"/>
  <c r="L30" i="1"/>
  <c r="L24" i="1"/>
  <c r="L13" i="1"/>
  <c r="K17" i="1"/>
  <c r="L10" i="1"/>
  <c r="K20" i="1"/>
  <c r="K11" i="1"/>
  <c r="K9" i="1"/>
  <c r="L25" i="1"/>
  <c r="K21" i="1"/>
  <c r="L31" i="1"/>
  <c r="K13" i="1"/>
  <c r="K28" i="1"/>
  <c r="K24" i="1"/>
  <c r="L27" i="1"/>
  <c r="L21" i="1"/>
  <c r="K15" i="1"/>
  <c r="L15" i="1"/>
  <c r="L11" i="1"/>
  <c r="K22" i="1"/>
  <c r="K31" i="1"/>
  <c r="L12" i="1"/>
  <c r="L14" i="1"/>
  <c r="L23" i="1"/>
  <c r="K25" i="1"/>
  <c r="L6" i="1"/>
  <c r="L20" i="1"/>
  <c r="K27" i="1"/>
  <c r="L7" i="1"/>
  <c r="K10" i="1"/>
  <c r="L3" i="1"/>
  <c r="L5" i="1"/>
  <c r="K29" i="1"/>
  <c r="L9" i="1"/>
  <c r="K7" i="1"/>
  <c r="K14" i="1"/>
  <c r="K18" i="1"/>
  <c r="K6" i="1"/>
  <c r="L19" i="1"/>
  <c r="K23" i="1"/>
  <c r="K4" i="1"/>
  <c r="K16" i="1"/>
</calcChain>
</file>

<file path=xl/sharedStrings.xml><?xml version="1.0" encoding="utf-8"?>
<sst xmlns="http://schemas.openxmlformats.org/spreadsheetml/2006/main" count="214" uniqueCount="125">
  <si>
    <t>Valor Total</t>
  </si>
  <si>
    <t>Desconto</t>
  </si>
  <si>
    <t>Custo Total</t>
  </si>
  <si>
    <t>Lucro</t>
  </si>
  <si>
    <t>Data</t>
  </si>
  <si>
    <t>Hora</t>
  </si>
  <si>
    <t>iFood</t>
  </si>
  <si>
    <t>Presencial</t>
  </si>
  <si>
    <t>WhatsApp</t>
  </si>
  <si>
    <t>Presencial c/ Entrega</t>
  </si>
  <si>
    <t>Bairro</t>
  </si>
  <si>
    <t>Água Preta</t>
  </si>
  <si>
    <t>Terra dos Ipês I</t>
  </si>
  <si>
    <t>Terra dos Ipês II</t>
  </si>
  <si>
    <t>Terra dos Ipês W</t>
  </si>
  <si>
    <t>Araretama</t>
  </si>
  <si>
    <t>Jathay</t>
  </si>
  <si>
    <t>Andrade</t>
  </si>
  <si>
    <t>Araguaia</t>
  </si>
  <si>
    <t>Reserva Bonsucesso</t>
  </si>
  <si>
    <t>Alto do Cardoso</t>
  </si>
  <si>
    <t>Alto do Piracuama</t>
  </si>
  <si>
    <t>Altos do Ribeirão</t>
  </si>
  <si>
    <t>Azeredo</t>
  </si>
  <si>
    <t>Bela Vista</t>
  </si>
  <si>
    <t>Bom Sucesso</t>
  </si>
  <si>
    <t>Borba</t>
  </si>
  <si>
    <t>Bosque da Princesa</t>
  </si>
  <si>
    <t>Campinas</t>
  </si>
  <si>
    <t>Campo Alegre</t>
  </si>
  <si>
    <t>Castolira</t>
  </si>
  <si>
    <t>Centro</t>
  </si>
  <si>
    <t>Chácara da Galega</t>
  </si>
  <si>
    <t>Cícero Prado</t>
  </si>
  <si>
    <t>Cidade Nova</t>
  </si>
  <si>
    <t>Condomínio Village do Sol</t>
  </si>
  <si>
    <t>Crispim</t>
  </si>
  <si>
    <t>Cruz Pequena</t>
  </si>
  <si>
    <t>Distrito Industrial</t>
  </si>
  <si>
    <t>Feital</t>
  </si>
  <si>
    <t>Goiabal</t>
  </si>
  <si>
    <t>Ipiranga</t>
  </si>
  <si>
    <t>Laerte Assunção</t>
  </si>
  <si>
    <t>Eduardo da Silva Neto</t>
  </si>
  <si>
    <t>Vila São Paulo</t>
  </si>
  <si>
    <t>Reserva dos Lagos</t>
  </si>
  <si>
    <t>Village Splendore</t>
  </si>
  <si>
    <t>Mandú</t>
  </si>
  <si>
    <t>Mantiqueira</t>
  </si>
  <si>
    <t>Maria Áurea</t>
  </si>
  <si>
    <t>Marieta Azeredo</t>
  </si>
  <si>
    <t>Mombaça</t>
  </si>
  <si>
    <t>Moreira César</t>
  </si>
  <si>
    <t>Parque das Nações</t>
  </si>
  <si>
    <t>Parque São Domingos</t>
  </si>
  <si>
    <t>Pinhão do Borba</t>
  </si>
  <si>
    <t>Piracuama</t>
  </si>
  <si>
    <t>Arco-Íris</t>
  </si>
  <si>
    <t>Campo Belo</t>
  </si>
  <si>
    <t>Campos Maia</t>
  </si>
  <si>
    <t>Cidade Vista Alegre</t>
  </si>
  <si>
    <t>Cidade Jardim</t>
  </si>
  <si>
    <t>Cidade Morumbi</t>
  </si>
  <si>
    <t>Portal dos Eucaliptos</t>
  </si>
  <si>
    <t>Vila Verde</t>
  </si>
  <si>
    <t>Liberdade (Moreira César)</t>
  </si>
  <si>
    <t>Maricá</t>
  </si>
  <si>
    <t>Nova Esperança</t>
  </si>
  <si>
    <t>Ouro Verde</t>
  </si>
  <si>
    <t>Pasin</t>
  </si>
  <si>
    <t>Primavera</t>
  </si>
  <si>
    <t>Vale das Acácias</t>
  </si>
  <si>
    <t>Ribeirão Grande</t>
  </si>
  <si>
    <t>Rodeio</t>
  </si>
  <si>
    <t>Santana</t>
  </si>
  <si>
    <t>São Benedito</t>
  </si>
  <si>
    <t>Socorro</t>
  </si>
  <si>
    <t>Triângulo</t>
  </si>
  <si>
    <t>Vila Nehemia</t>
  </si>
  <si>
    <t>Vila Rica</t>
  </si>
  <si>
    <t>Vila São Benedito</t>
  </si>
  <si>
    <t>Vila São João</t>
  </si>
  <si>
    <t>Vila Suiça</t>
  </si>
  <si>
    <t>Vitória Vale II</t>
  </si>
  <si>
    <t>Vitória Vale III</t>
  </si>
  <si>
    <t>Lanche</t>
  </si>
  <si>
    <t>Frete</t>
  </si>
  <si>
    <t>Nsa Sra do Perpétuo Socorro</t>
  </si>
  <si>
    <t>Vila Nsa Sra Auxiliadora</t>
  </si>
  <si>
    <t>João Tamborindeguy</t>
  </si>
  <si>
    <t>Jd Aurora</t>
  </si>
  <si>
    <t>Jd Boa Vista</t>
  </si>
  <si>
    <t>Jd Carlota</t>
  </si>
  <si>
    <t>Jd Cristina</t>
  </si>
  <si>
    <t>Jd Doutor Lessa</t>
  </si>
  <si>
    <t>Jd Eloyna</t>
  </si>
  <si>
    <t>Jd Padre Rodolfo</t>
  </si>
  <si>
    <t>Jd Princesa</t>
  </si>
  <si>
    <t>Jd Regina (Moreira César)</t>
  </si>
  <si>
    <t>Jd Rosely</t>
  </si>
  <si>
    <t>Jd Santa Cecília</t>
  </si>
  <si>
    <t>Jd Santa Luzia</t>
  </si>
  <si>
    <t>Custo</t>
  </si>
  <si>
    <t>Valor Venda</t>
  </si>
  <si>
    <t>Total c/ Desconto</t>
  </si>
  <si>
    <t>Tipo Venda</t>
  </si>
  <si>
    <t>Taxa</t>
  </si>
  <si>
    <t>Tipos de Atendimento</t>
  </si>
  <si>
    <t>Quantidade</t>
  </si>
  <si>
    <t>HMM MENOR</t>
  </si>
  <si>
    <t>HMM MAGRINHO</t>
  </si>
  <si>
    <t>HMM EGG</t>
  </si>
  <si>
    <t>HMM GOSTOSO</t>
  </si>
  <si>
    <t>HMM GULOSO</t>
  </si>
  <si>
    <t>HMM CHEDDAR</t>
  </si>
  <si>
    <t>HMM MONSTRO</t>
  </si>
  <si>
    <t>BIG MONSTRO</t>
  </si>
  <si>
    <t>COMBO SOLTEIRO</t>
  </si>
  <si>
    <t>COMBO CASAL</t>
  </si>
  <si>
    <t>COMBO FAMÍLIA I</t>
  </si>
  <si>
    <t>COMBO FAMÍLIA II</t>
  </si>
  <si>
    <t>PORÇÃO P</t>
  </si>
  <si>
    <t>PORÇÃO NA BARCA</t>
  </si>
  <si>
    <t>PORÇÃO G</t>
  </si>
  <si>
    <t>ID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</si>
</sst>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$-409]* #,##0.00_ ;_-[$$-409]* \-#,##0.00\ ;_-[$$-409]* &quot;-&quot;??_ ;_-@_ "/>
    <numFmt numFmtId="165" formatCode="[$-F400]h:mm:ss\ AM/PM"/>
    <numFmt numFmtId="166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000000"/>
      <name val="Goudy Old Style"/>
      <family val="1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vertical="center"/>
    </xf>
    <xf numFmtId="44" fontId="0" fillId="0" borderId="0" xfId="1" applyFont="1"/>
    <xf numFmtId="166" fontId="0" fillId="0" borderId="0" xfId="1" applyNumberFormat="1" applyFont="1"/>
    <xf numFmtId="0" fontId="3" fillId="0" borderId="0" xfId="0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166" fontId="0" fillId="0" borderId="0" xfId="0" applyNumberFormat="1"/>
    <xf numFmtId="9" fontId="0" fillId="0" borderId="0" xfId="0" applyNumberFormat="1"/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7" fontId="0" fillId="0" borderId="0" xfId="0" applyNumberFormat="1" applyProtection="1">
      <protection hidden="1"/>
    </xf>
    <xf numFmtId="0" fontId="4" fillId="3" borderId="0" xfId="2" applyFont="1" applyFill="1" applyAlignment="1">
      <alignment horizontal="center"/>
    </xf>
    <xf numFmtId="164" fontId="4" fillId="3" borderId="0" xfId="2" applyNumberFormat="1" applyFont="1" applyFill="1" applyAlignment="1">
      <alignment horizontal="center"/>
    </xf>
    <xf numFmtId="14" fontId="4" fillId="3" borderId="0" xfId="2" applyNumberFormat="1" applyFont="1" applyFill="1" applyAlignment="1">
      <alignment horizontal="center"/>
    </xf>
    <xf numFmtId="166" fontId="5" fillId="0" borderId="0" xfId="1" applyNumberFormat="1" applyFont="1"/>
    <xf numFmtId="0" fontId="5" fillId="0" borderId="0" xfId="0" applyFont="1"/>
    <xf numFmtId="0" fontId="0" fillId="3" borderId="0" xfId="0" applyFill="1" applyAlignment="1"/>
  </cellXfs>
  <cellStyles count="3">
    <cellStyle name="Moeda" xfId="1" builtinId="4"/>
    <cellStyle name="Neutra" xfId="2" builtinId="28"/>
    <cellStyle name="Normal" xfId="0" builtinId="0"/>
  </cellStyles>
  <dxfs count="2">
    <dxf>
      <numFmt numFmtId="167" formatCode=";;;"/>
    </dxf>
    <dxf>
      <numFmt numFmtId="167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12</xdr:col>
      <xdr:colOff>54</xdr:colOff>
      <xdr:row>2</xdr:row>
      <xdr:rowOff>8902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11652600" cy="107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466725</xdr:colOff>
      <xdr:row>0</xdr:row>
      <xdr:rowOff>123825</xdr:rowOff>
    </xdr:from>
    <xdr:to>
      <xdr:col>6</xdr:col>
      <xdr:colOff>47625</xdr:colOff>
      <xdr:row>0</xdr:row>
      <xdr:rowOff>757471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4925" y="123825"/>
          <a:ext cx="1200150" cy="6336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180975</xdr:rowOff>
        </xdr:from>
        <xdr:to>
          <xdr:col>1</xdr:col>
          <xdr:colOff>742950</xdr:colOff>
          <xdr:row>0</xdr:row>
          <xdr:rowOff>714375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Goudy Old Style"/>
                </a:rPr>
                <a:t>NOVO PEDIDO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MM"/>
  <dimension ref="A1:L4986"/>
  <sheetViews>
    <sheetView tabSelected="1" zoomScale="107" zoomScaleNormal="107" workbookViewId="0">
      <pane ySplit="1" topLeftCell="A2" activePane="bottomLeft" state="frozen"/>
      <selection pane="bottomLeft" activeCell="E31" sqref="E31"/>
    </sheetView>
  </sheetViews>
  <sheetFormatPr defaultRowHeight="15" x14ac:dyDescent="0.25"/>
  <cols>
    <col min="1" max="1" width="13.28515625" customWidth="1"/>
    <col min="2" max="2" width="22.42578125" customWidth="1"/>
    <col min="3" max="3" width="17.28515625" bestFit="1" customWidth="1"/>
    <col min="4" max="4" width="16.7109375" bestFit="1" customWidth="1"/>
    <col min="5" max="5" width="12" customWidth="1"/>
    <col min="6" max="6" width="12.28515625" bestFit="1" customWidth="1"/>
    <col min="7" max="7" width="10.42578125" bestFit="1" customWidth="1"/>
    <col min="8" max="8" width="17.7109375" bestFit="1" customWidth="1"/>
    <col min="9" max="9" width="15.7109375" customWidth="1"/>
    <col min="10" max="10" width="12.5703125" customWidth="1"/>
    <col min="11" max="11" width="14.140625" customWidth="1"/>
    <col min="12" max="12" width="10.140625" bestFit="1" customWidth="1"/>
  </cols>
  <sheetData>
    <row r="1" spans="1:12" ht="84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0.75" hidden="1" x14ac:dyDescent="0.25">
      <c r="A2" s="12" t="s">
        <v>124</v>
      </c>
      <c r="B2" s="12" t="s">
        <v>107</v>
      </c>
      <c r="C2" s="12" t="s">
        <v>10</v>
      </c>
      <c r="D2" s="12" t="s">
        <v>85</v>
      </c>
      <c r="E2" s="12" t="s">
        <v>108</v>
      </c>
      <c r="F2" s="13" t="s">
        <v>0</v>
      </c>
      <c r="G2" s="13" t="s">
        <v>1</v>
      </c>
      <c r="H2" s="13" t="s">
        <v>104</v>
      </c>
      <c r="I2" s="13" t="s">
        <v>2</v>
      </c>
      <c r="J2" s="13" t="s">
        <v>3</v>
      </c>
      <c r="K2" s="14" t="s">
        <v>4</v>
      </c>
      <c r="L2" s="12" t="s">
        <v>5</v>
      </c>
    </row>
    <row r="3" spans="1:12" x14ac:dyDescent="0.25">
      <c r="A3">
        <v>1</v>
      </c>
      <c r="B3" t="s">
        <v>7</v>
      </c>
      <c r="C3" t="s">
        <v>49</v>
      </c>
      <c r="D3" t="s">
        <v>118</v>
      </c>
      <c r="E3">
        <v>1</v>
      </c>
      <c r="F3" s="11">
        <f>IF(ISBLANK(D3),"",(VLOOKUP(D3,Cardápio!$A$2:$B$16,2,0))*E3)</f>
        <v>75</v>
      </c>
      <c r="H3" s="7">
        <f t="shared" ref="H3:H52" si="0">IF(ISBLANK(D3),"",F3-G3)</f>
        <v>75</v>
      </c>
      <c r="I3" s="7">
        <f>IF(AND(ISBLANK(D3),ISBLANK(C3)),"",((VLOOKUP(D3,Cardápio!$A$2:$C$16,3,0))*E3)+IF(B3="iFood",F3*0.27,(VLOOKUP(VENDAS!C3,Bairros!$A$2:$B$90,2,0))))</f>
        <v>6.9</v>
      </c>
      <c r="J3" s="7">
        <f t="shared" ref="J3:J52" si="1">IF(OR(AND(ISBLANK(H3),ISBLANK(I3)),(AND(H3="",I3=""))),"",H3-I3)</f>
        <v>68.099999999999994</v>
      </c>
      <c r="K3" s="9">
        <f t="shared" ref="K3:K52" ca="1" si="2">IF(D3&lt;&gt;"",K3,NOW())</f>
        <v>45404.833256828701</v>
      </c>
      <c r="L3" s="10">
        <f t="shared" ref="L3:L52" ca="1" si="3">IF(D3&lt;&gt;"",L3,NOW())</f>
        <v>45404.833256712962</v>
      </c>
    </row>
    <row r="4" spans="1:12" x14ac:dyDescent="0.25">
      <c r="A4">
        <v>2</v>
      </c>
      <c r="B4" t="s">
        <v>7</v>
      </c>
      <c r="C4" t="s">
        <v>20</v>
      </c>
      <c r="D4" t="s">
        <v>117</v>
      </c>
      <c r="E4">
        <v>1</v>
      </c>
      <c r="F4" s="11">
        <f>IF(ISBLANK(D4),"",(VLOOKUP(D4,Cardápio!$A$2:$B$16,2,0))*E4)</f>
        <v>60</v>
      </c>
      <c r="H4" s="7">
        <f t="shared" si="0"/>
        <v>60</v>
      </c>
      <c r="I4" s="7">
        <f>IF(AND(ISBLANK(D4),ISBLANK(C4)),"",((VLOOKUP(D4,Cardápio!$A$2:$C$16,3,0))*E4)+IF(B4="iFood",F4*0.27,(VLOOKUP(VENDAS!C4,Bairros!$A$2:$B$90,2,0))))</f>
        <v>9.9</v>
      </c>
      <c r="J4" s="7">
        <f t="shared" si="1"/>
        <v>50.1</v>
      </c>
      <c r="K4" s="9">
        <f t="shared" ca="1" si="2"/>
        <v>45404.833895254633</v>
      </c>
      <c r="L4" s="10">
        <f t="shared" ca="1" si="3"/>
        <v>45404.833895138887</v>
      </c>
    </row>
    <row r="5" spans="1:12" x14ac:dyDescent="0.25">
      <c r="A5">
        <v>3</v>
      </c>
      <c r="B5" t="s">
        <v>6</v>
      </c>
      <c r="C5" t="s">
        <v>15</v>
      </c>
      <c r="D5" t="s">
        <v>111</v>
      </c>
      <c r="E5">
        <v>1</v>
      </c>
      <c r="F5" s="11">
        <f>IF(ISBLANK(D5),"",(VLOOKUP(D5,Cardápio!$A$2:$B$16,2,0))*E5)</f>
        <v>24</v>
      </c>
      <c r="H5" s="7">
        <f t="shared" si="0"/>
        <v>24</v>
      </c>
      <c r="I5" s="7">
        <f>IF(AND(ISBLANK(D5),ISBLANK(C5)),"",((VLOOKUP(D5,Cardápio!$A$2:$C$16,3,0))*E5)+IF(B5="iFood",F5*0.27,(VLOOKUP(VENDAS!C5,Bairros!$A$2:$B$90,2,0))))</f>
        <v>13.38</v>
      </c>
      <c r="J5" s="7">
        <f t="shared" si="1"/>
        <v>10.62</v>
      </c>
      <c r="K5" s="9">
        <f t="shared" ca="1" si="2"/>
        <v>45404.834177083336</v>
      </c>
      <c r="L5" s="10">
        <f t="shared" ca="1" si="3"/>
        <v>45404.83417696759</v>
      </c>
    </row>
    <row r="6" spans="1:12" x14ac:dyDescent="0.25">
      <c r="A6">
        <v>4</v>
      </c>
      <c r="B6" t="s">
        <v>6</v>
      </c>
      <c r="C6" t="s">
        <v>17</v>
      </c>
      <c r="D6" t="s">
        <v>113</v>
      </c>
      <c r="E6">
        <v>1</v>
      </c>
      <c r="F6" s="11">
        <f>IF(ISBLANK(D6),"",(VLOOKUP(D6,Cardápio!$A$2:$B$16,2,0))*E6)</f>
        <v>31</v>
      </c>
      <c r="H6" s="7">
        <f t="shared" si="0"/>
        <v>31</v>
      </c>
      <c r="I6" s="7">
        <f>IF(AND(ISBLANK(D6),ISBLANK(C6)),"",((VLOOKUP(D6,Cardápio!$A$2:$C$16,3,0))*E6)+IF(B6="iFood",F6*0.27,(VLOOKUP(VENDAS!C6,Bairros!$A$2:$B$90,2,0))))</f>
        <v>15.270000000000001</v>
      </c>
      <c r="J6" s="7">
        <f t="shared" si="1"/>
        <v>15.729999999999999</v>
      </c>
      <c r="K6" s="9">
        <f t="shared" ca="1" si="2"/>
        <v>45404.834524074075</v>
      </c>
      <c r="L6" s="10">
        <f t="shared" ca="1" si="3"/>
        <v>45404.834523726851</v>
      </c>
    </row>
    <row r="7" spans="1:12" x14ac:dyDescent="0.25">
      <c r="A7">
        <v>5</v>
      </c>
      <c r="B7" t="s">
        <v>6</v>
      </c>
      <c r="C7" t="s">
        <v>21</v>
      </c>
      <c r="D7" t="s">
        <v>112</v>
      </c>
      <c r="E7">
        <v>1</v>
      </c>
      <c r="F7" s="11">
        <f>IF(ISBLANK(D7),"",(VLOOKUP(D7,Cardápio!$A$2:$B$16,2,0))*E7)</f>
        <v>27</v>
      </c>
      <c r="H7" s="7">
        <f t="shared" si="0"/>
        <v>27</v>
      </c>
      <c r="I7" s="7">
        <f>IF(AND(ISBLANK(D7),ISBLANK(C7)),"",((VLOOKUP(D7,Cardápio!$A$2:$C$16,3,0))*E7)+IF(B7="iFood",F7*0.27,(VLOOKUP(VENDAS!C7,Bairros!$A$2:$B$90,2,0))))</f>
        <v>14.190000000000001</v>
      </c>
      <c r="J7" s="7">
        <f t="shared" si="1"/>
        <v>12.809999999999999</v>
      </c>
      <c r="K7" s="9">
        <f t="shared" ca="1" si="2"/>
        <v>45404.834811458335</v>
      </c>
      <c r="L7" s="10">
        <f t="shared" ca="1" si="3"/>
        <v>45404.834811342589</v>
      </c>
    </row>
    <row r="8" spans="1:12" x14ac:dyDescent="0.25">
      <c r="A8">
        <v>6</v>
      </c>
      <c r="B8" t="s">
        <v>8</v>
      </c>
      <c r="C8" t="s">
        <v>20</v>
      </c>
      <c r="D8" t="s">
        <v>112</v>
      </c>
      <c r="E8">
        <v>1</v>
      </c>
      <c r="F8" s="11">
        <f>IF(ISBLANK(D8),"",(VLOOKUP(D8,Cardápio!$A$2:$B$16,2,0))*E8)</f>
        <v>27</v>
      </c>
      <c r="H8" s="7">
        <f t="shared" si="0"/>
        <v>27</v>
      </c>
      <c r="I8" s="7">
        <f>IF(AND(ISBLANK(D8),ISBLANK(C8)),"",((VLOOKUP(D8,Cardápio!$A$2:$C$16,3,0))*E8)+IF(B8="iFood",F8*0.27,(VLOOKUP(VENDAS!C8,Bairros!$A$2:$B$90,2,0))))</f>
        <v>9.9</v>
      </c>
      <c r="J8" s="7">
        <f t="shared" si="1"/>
        <v>17.100000000000001</v>
      </c>
      <c r="K8" s="9">
        <f t="shared" ca="1" si="2"/>
        <v>45404.83510300926</v>
      </c>
      <c r="L8" s="10">
        <f t="shared" ca="1" si="3"/>
        <v>45404.835102893521</v>
      </c>
    </row>
    <row r="9" spans="1:12" x14ac:dyDescent="0.25">
      <c r="A9">
        <v>7</v>
      </c>
      <c r="B9" t="s">
        <v>8</v>
      </c>
      <c r="C9" t="s">
        <v>21</v>
      </c>
      <c r="D9" t="s">
        <v>121</v>
      </c>
      <c r="E9">
        <v>1</v>
      </c>
      <c r="F9" s="11">
        <f>IF(ISBLANK(D9),"",(VLOOKUP(D9,Cardápio!$A$2:$B$16,2,0))*E9)</f>
        <v>50</v>
      </c>
      <c r="H9" s="7">
        <f t="shared" si="0"/>
        <v>50</v>
      </c>
      <c r="I9" s="7">
        <f>IF(AND(ISBLANK(D9),ISBLANK(C9)),"",((VLOOKUP(D9,Cardápio!$A$2:$C$16,3,0))*E9)+IF(B9="iFood",F9*0.27,(VLOOKUP(VENDAS!C9,Bairros!$A$2:$B$90,2,0))))</f>
        <v>10.9</v>
      </c>
      <c r="J9" s="7">
        <f t="shared" si="1"/>
        <v>39.1</v>
      </c>
      <c r="K9" s="9">
        <f t="shared" ca="1" si="2"/>
        <v>45404.835361805555</v>
      </c>
      <c r="L9" s="10">
        <f t="shared" ca="1" si="3"/>
        <v>45404.835361689817</v>
      </c>
    </row>
    <row r="10" spans="1:12" x14ac:dyDescent="0.25">
      <c r="A10">
        <v>8</v>
      </c>
      <c r="B10" t="s">
        <v>9</v>
      </c>
      <c r="C10" t="s">
        <v>15</v>
      </c>
      <c r="D10" t="s">
        <v>116</v>
      </c>
      <c r="E10">
        <v>1</v>
      </c>
      <c r="F10" s="11">
        <f>IF(ISBLANK(D10),"",(VLOOKUP(D10,Cardápio!$A$2:$B$16,2,0))*E10)</f>
        <v>49</v>
      </c>
      <c r="H10" s="7">
        <f t="shared" si="0"/>
        <v>49</v>
      </c>
      <c r="I10" s="7">
        <f>IF(AND(ISBLANK(D10),ISBLANK(C10)),"",((VLOOKUP(D10,Cardápio!$A$2:$C$16,3,0))*E10)+IF(B10="iFood",F10*0.27,(VLOOKUP(VENDAS!C10,Bairros!$A$2:$B$90,2,0))))</f>
        <v>11.9</v>
      </c>
      <c r="J10" s="7">
        <f t="shared" si="1"/>
        <v>37.1</v>
      </c>
      <c r="K10" s="9">
        <f t="shared" ca="1" si="2"/>
        <v>45404.835592824071</v>
      </c>
      <c r="L10" s="10">
        <f t="shared" ca="1" si="3"/>
        <v>45404.835592708332</v>
      </c>
    </row>
    <row r="11" spans="1:12" x14ac:dyDescent="0.25">
      <c r="A11">
        <v>9</v>
      </c>
      <c r="B11" t="s">
        <v>8</v>
      </c>
      <c r="C11" t="s">
        <v>15</v>
      </c>
      <c r="D11" t="s">
        <v>111</v>
      </c>
      <c r="E11">
        <v>1</v>
      </c>
      <c r="F11" s="11">
        <f>IF(ISBLANK(D11),"",(VLOOKUP(D11,Cardápio!$A$2:$B$16,2,0))*E11)</f>
        <v>24</v>
      </c>
      <c r="H11" s="7">
        <f t="shared" si="0"/>
        <v>24</v>
      </c>
      <c r="I11" s="7">
        <f>IF(AND(ISBLANK(D11),ISBLANK(C11)),"",((VLOOKUP(D11,Cardápio!$A$2:$C$16,3,0))*E11)+IF(B11="iFood",F11*0.27,(VLOOKUP(VENDAS!C11,Bairros!$A$2:$B$90,2,0))))</f>
        <v>11.9</v>
      </c>
      <c r="J11" s="7">
        <f t="shared" si="1"/>
        <v>12.1</v>
      </c>
      <c r="K11" s="9">
        <f t="shared" ca="1" si="2"/>
        <v>45404.835875231482</v>
      </c>
      <c r="L11" s="10">
        <f t="shared" ca="1" si="3"/>
        <v>45404.835875115743</v>
      </c>
    </row>
    <row r="12" spans="1:12" x14ac:dyDescent="0.25">
      <c r="A12">
        <v>10</v>
      </c>
      <c r="B12" t="s">
        <v>8</v>
      </c>
      <c r="C12" t="s">
        <v>49</v>
      </c>
      <c r="D12" t="s">
        <v>118</v>
      </c>
      <c r="E12">
        <v>1</v>
      </c>
      <c r="F12" s="11">
        <f>IF(ISBLANK(D12),"",(VLOOKUP(D12,Cardápio!$A$2:$B$16,2,0))*E12)</f>
        <v>75</v>
      </c>
      <c r="H12" s="7">
        <f t="shared" si="0"/>
        <v>75</v>
      </c>
      <c r="I12" s="7">
        <f>IF(AND(ISBLANK(D12),ISBLANK(C12)),"",((VLOOKUP(D12,Cardápio!$A$2:$C$16,3,0))*E12)+IF(B12="iFood",F12*0.27,(VLOOKUP(VENDAS!C12,Bairros!$A$2:$B$90,2,0))))</f>
        <v>6.9</v>
      </c>
      <c r="J12" s="7">
        <f t="shared" si="1"/>
        <v>68.099999999999994</v>
      </c>
      <c r="K12" s="9">
        <f t="shared" ca="1" si="2"/>
        <v>45404.836075347223</v>
      </c>
      <c r="L12" s="10">
        <f t="shared" ca="1" si="3"/>
        <v>45404.836075231484</v>
      </c>
    </row>
    <row r="13" spans="1:12" x14ac:dyDescent="0.25">
      <c r="A13">
        <v>11</v>
      </c>
      <c r="B13" t="s">
        <v>7</v>
      </c>
      <c r="C13" t="s">
        <v>49</v>
      </c>
      <c r="D13" t="s">
        <v>109</v>
      </c>
      <c r="E13">
        <v>2</v>
      </c>
      <c r="F13" s="11">
        <f>IF(ISBLANK(D13),"",(VLOOKUP(D13,Cardápio!$A$2:$B$16,2,0))*E13)</f>
        <v>38</v>
      </c>
      <c r="H13" s="7">
        <f t="shared" si="0"/>
        <v>38</v>
      </c>
      <c r="I13" s="7">
        <f>IF(AND(ISBLANK(D13),ISBLANK(C13)),"",((VLOOKUP(D13,Cardápio!$A$2:$C$16,3,0))*E13)+IF(B13="iFood",F13*0.27,(VLOOKUP(VENDAS!C13,Bairros!$A$2:$B$90,2,0))))</f>
        <v>13</v>
      </c>
      <c r="J13" s="7">
        <f t="shared" si="1"/>
        <v>25</v>
      </c>
      <c r="K13" s="9">
        <f t="shared" ca="1" si="2"/>
        <v>45404.836230208333</v>
      </c>
      <c r="L13" s="10">
        <f t="shared" ca="1" si="3"/>
        <v>45404.836230092595</v>
      </c>
    </row>
    <row r="14" spans="1:12" x14ac:dyDescent="0.25">
      <c r="A14">
        <v>12</v>
      </c>
      <c r="B14" t="s">
        <v>6</v>
      </c>
      <c r="C14" t="s">
        <v>17</v>
      </c>
      <c r="D14" t="s">
        <v>112</v>
      </c>
      <c r="E14">
        <v>1</v>
      </c>
      <c r="F14" s="11">
        <f>IF(ISBLANK(D14),"",(VLOOKUP(D14,Cardápio!$A$2:$B$16,2,0))*E14)</f>
        <v>27</v>
      </c>
      <c r="H14" s="7">
        <f t="shared" si="0"/>
        <v>27</v>
      </c>
      <c r="I14" s="7">
        <f>IF(AND(ISBLANK(D14),ISBLANK(C14)),"",((VLOOKUP(D14,Cardápio!$A$2:$C$16,3,0))*E14)+IF(B14="iFood",F14*0.27,(VLOOKUP(VENDAS!C14,Bairros!$A$2:$B$90,2,0))))</f>
        <v>14.190000000000001</v>
      </c>
      <c r="J14" s="7">
        <f t="shared" si="1"/>
        <v>12.809999999999999</v>
      </c>
      <c r="K14" s="9">
        <f t="shared" ca="1" si="2"/>
        <v>45404.83653576389</v>
      </c>
      <c r="L14" s="10">
        <f t="shared" ca="1" si="3"/>
        <v>45404.836535416667</v>
      </c>
    </row>
    <row r="15" spans="1:12" x14ac:dyDescent="0.25">
      <c r="B15" t="s">
        <v>6</v>
      </c>
      <c r="C15" t="s">
        <v>17</v>
      </c>
      <c r="D15" t="s">
        <v>118</v>
      </c>
      <c r="E15">
        <v>1</v>
      </c>
      <c r="F15" s="11">
        <f>IF(ISBLANK(D15),"",(VLOOKUP(D15,Cardápio!$A$2:$B$16,2,0))*E15)</f>
        <v>75</v>
      </c>
      <c r="H15" s="7">
        <f t="shared" si="0"/>
        <v>75</v>
      </c>
      <c r="I15" s="7">
        <f>IF(AND(ISBLANK(D15),ISBLANK(C15)),"",((VLOOKUP(D15,Cardápio!$A$2:$C$16,3,0))*E15)+IF(B15="iFood",F15*0.27,(VLOOKUP(VENDAS!C15,Bairros!$A$2:$B$90,2,0))))</f>
        <v>27.15</v>
      </c>
      <c r="J15" s="7">
        <f t="shared" si="1"/>
        <v>47.85</v>
      </c>
      <c r="K15" s="9">
        <f t="shared" ca="1" si="2"/>
        <v>45404.836796759257</v>
      </c>
      <c r="L15" s="10">
        <f t="shared" ca="1" si="3"/>
        <v>45404.836796643518</v>
      </c>
    </row>
    <row r="16" spans="1:12" x14ac:dyDescent="0.25">
      <c r="A16">
        <v>14</v>
      </c>
      <c r="B16" t="s">
        <v>6</v>
      </c>
      <c r="C16" t="s">
        <v>20</v>
      </c>
      <c r="D16" t="s">
        <v>114</v>
      </c>
      <c r="E16">
        <v>1</v>
      </c>
      <c r="F16" s="11">
        <f>IF(ISBLANK(D16),"",(VLOOKUP(D16,Cardápio!$A$2:$B$16,2,0))*E16)</f>
        <v>35</v>
      </c>
      <c r="H16" s="7">
        <f t="shared" si="0"/>
        <v>35</v>
      </c>
      <c r="I16" s="7">
        <f>IF(AND(ISBLANK(D16),ISBLANK(C16)),"",((VLOOKUP(D16,Cardápio!$A$2:$C$16,3,0))*E16)+IF(B16="iFood",F16*0.27,(VLOOKUP(VENDAS!C16,Bairros!$A$2:$B$90,2,0))))</f>
        <v>16.350000000000001</v>
      </c>
      <c r="J16" s="7">
        <f t="shared" si="1"/>
        <v>18.649999999999999</v>
      </c>
      <c r="K16" s="9">
        <f t="shared" ca="1" si="2"/>
        <v>45404.836992708333</v>
      </c>
      <c r="L16" s="10">
        <f t="shared" ca="1" si="3"/>
        <v>45404.836992708333</v>
      </c>
    </row>
    <row r="17" spans="1:12" x14ac:dyDescent="0.25">
      <c r="B17" t="s">
        <v>6</v>
      </c>
      <c r="C17" t="s">
        <v>20</v>
      </c>
      <c r="D17" t="s">
        <v>121</v>
      </c>
      <c r="E17">
        <v>1</v>
      </c>
      <c r="F17" s="11">
        <f>IF(ISBLANK(D17),"",(VLOOKUP(D17,Cardápio!$A$2:$B$16,2,0))*E17)</f>
        <v>50</v>
      </c>
      <c r="H17" s="7">
        <f t="shared" si="0"/>
        <v>50</v>
      </c>
      <c r="I17" s="7">
        <f>IF(AND(ISBLANK(D17),ISBLANK(C17)),"",((VLOOKUP(D17,Cardápio!$A$2:$C$16,3,0))*E17)+IF(B17="iFood",F17*0.27,(VLOOKUP(VENDAS!C17,Bairros!$A$2:$B$90,2,0))))</f>
        <v>20.399999999999999</v>
      </c>
      <c r="J17" s="7">
        <f t="shared" si="1"/>
        <v>29.6</v>
      </c>
      <c r="K17" s="9">
        <f t="shared" ca="1" si="2"/>
        <v>45404.837303472224</v>
      </c>
      <c r="L17" s="10">
        <f t="shared" ca="1" si="3"/>
        <v>45404.837303472224</v>
      </c>
    </row>
    <row r="18" spans="1:12" x14ac:dyDescent="0.25">
      <c r="B18" t="s">
        <v>6</v>
      </c>
      <c r="C18" t="s">
        <v>20</v>
      </c>
      <c r="D18" t="s">
        <v>116</v>
      </c>
      <c r="E18">
        <v>1</v>
      </c>
      <c r="F18" s="11">
        <f>IF(ISBLANK(D18),"",(VLOOKUP(D18,Cardápio!$A$2:$B$16,2,0))*E18)</f>
        <v>49</v>
      </c>
      <c r="H18" s="7">
        <f t="shared" si="0"/>
        <v>49</v>
      </c>
      <c r="I18" s="7">
        <f>IF(AND(ISBLANK(D18),ISBLANK(C18)),"",((VLOOKUP(D18,Cardápio!$A$2:$C$16,3,0))*E18)+IF(B18="iFood",F18*0.27,(VLOOKUP(VENDAS!C18,Bairros!$A$2:$B$90,2,0))))</f>
        <v>20.130000000000003</v>
      </c>
      <c r="J18" s="7">
        <f t="shared" si="1"/>
        <v>28.869999999999997</v>
      </c>
      <c r="K18" s="9">
        <f t="shared" ca="1" si="2"/>
        <v>45404.837554282407</v>
      </c>
      <c r="L18" s="10">
        <f t="shared" ca="1" si="3"/>
        <v>45404.837554050922</v>
      </c>
    </row>
    <row r="19" spans="1:12" x14ac:dyDescent="0.25">
      <c r="A19">
        <v>15</v>
      </c>
      <c r="B19" t="s">
        <v>7</v>
      </c>
      <c r="C19" t="s">
        <v>49</v>
      </c>
      <c r="D19" t="s">
        <v>117</v>
      </c>
      <c r="E19">
        <v>1</v>
      </c>
      <c r="F19" s="11">
        <f>IF(ISBLANK(D19),"",(VLOOKUP(D19,Cardápio!$A$2:$B$16,2,0))*E19)</f>
        <v>60</v>
      </c>
      <c r="H19" s="7">
        <f t="shared" si="0"/>
        <v>60</v>
      </c>
      <c r="I19" s="7">
        <f>IF(AND(ISBLANK(D19),ISBLANK(C19)),"",((VLOOKUP(D19,Cardápio!$A$2:$C$16,3,0))*E19)+IF(B19="iFood",F19*0.27,(VLOOKUP(VENDAS!C19,Bairros!$A$2:$B$90,2,0))))</f>
        <v>6.9</v>
      </c>
      <c r="J19" s="7">
        <f t="shared" si="1"/>
        <v>53.1</v>
      </c>
      <c r="K19" s="9">
        <f t="shared" ca="1" si="2"/>
        <v>45404.842899537034</v>
      </c>
      <c r="L19" s="10">
        <f t="shared" ca="1" si="3"/>
        <v>45404.842899421295</v>
      </c>
    </row>
    <row r="20" spans="1:12" x14ac:dyDescent="0.25">
      <c r="B20" t="s">
        <v>7</v>
      </c>
      <c r="C20" t="s">
        <v>49</v>
      </c>
      <c r="D20" t="s">
        <v>109</v>
      </c>
      <c r="E20">
        <v>1</v>
      </c>
      <c r="F20" s="11">
        <f>IF(ISBLANK(D20),"",(VLOOKUP(D20,Cardápio!$A$2:$B$16,2,0))*E20)</f>
        <v>19</v>
      </c>
      <c r="H20" s="7">
        <f t="shared" si="0"/>
        <v>19</v>
      </c>
      <c r="I20" s="7">
        <f>IF(AND(ISBLANK(D20),ISBLANK(C20)),"",((VLOOKUP(D20,Cardápio!$A$2:$C$16,3,0))*E20)+IF(B20="iFood",F20*0.27,(VLOOKUP(VENDAS!C20,Bairros!$A$2:$B$90,2,0))))</f>
        <v>6.5</v>
      </c>
      <c r="J20" s="7">
        <f t="shared" si="1"/>
        <v>12.5</v>
      </c>
      <c r="K20" s="9">
        <f t="shared" ca="1" si="2"/>
        <v>45404.843119212965</v>
      </c>
      <c r="L20" s="10">
        <f t="shared" ca="1" si="3"/>
        <v>45404.843119097219</v>
      </c>
    </row>
    <row r="21" spans="1:12" x14ac:dyDescent="0.25">
      <c r="B21" t="s">
        <v>7</v>
      </c>
      <c r="C21" t="s">
        <v>49</v>
      </c>
      <c r="D21" t="s">
        <v>110</v>
      </c>
      <c r="E21">
        <v>1</v>
      </c>
      <c r="F21" s="11">
        <f>IF(ISBLANK(D21),"",(VLOOKUP(D21,Cardápio!$A$2:$B$16,2,0))*E21)</f>
        <v>21</v>
      </c>
      <c r="H21" s="7">
        <f t="shared" si="0"/>
        <v>21</v>
      </c>
      <c r="I21" s="7">
        <f>IF(AND(ISBLANK(D21),ISBLANK(C21)),"",((VLOOKUP(D21,Cardápio!$A$2:$C$16,3,0))*E21)+IF(B21="iFood",F21*0.27,(VLOOKUP(VENDAS!C21,Bairros!$A$2:$B$90,2,0))))</f>
        <v>7</v>
      </c>
      <c r="J21" s="7">
        <f t="shared" si="1"/>
        <v>14</v>
      </c>
      <c r="K21" s="9">
        <f t="shared" ca="1" si="2"/>
        <v>45404.843587037038</v>
      </c>
      <c r="L21" s="10">
        <f t="shared" ca="1" si="3"/>
        <v>45404.843586921299</v>
      </c>
    </row>
    <row r="22" spans="1:12" x14ac:dyDescent="0.25">
      <c r="B22" t="s">
        <v>7</v>
      </c>
      <c r="C22" t="s">
        <v>49</v>
      </c>
      <c r="D22" t="s">
        <v>111</v>
      </c>
      <c r="E22">
        <v>1</v>
      </c>
      <c r="F22" s="11">
        <f>IF(ISBLANK(D22),"",(VLOOKUP(D22,Cardápio!$A$2:$B$16,2,0))*E22)</f>
        <v>24</v>
      </c>
      <c r="H22" s="7">
        <f t="shared" si="0"/>
        <v>24</v>
      </c>
      <c r="I22" s="7">
        <f>IF(AND(ISBLANK(D22),ISBLANK(C22)),"",((VLOOKUP(D22,Cardápio!$A$2:$C$16,3,0))*E22)+IF(B22="iFood",F22*0.27,(VLOOKUP(VENDAS!C22,Bairros!$A$2:$B$90,2,0))))</f>
        <v>6.9</v>
      </c>
      <c r="J22" s="7">
        <f t="shared" si="1"/>
        <v>17.100000000000001</v>
      </c>
      <c r="K22" s="9">
        <f t="shared" ca="1" si="2"/>
        <v>45404.844032986111</v>
      </c>
      <c r="L22" s="10">
        <f t="shared" ca="1" si="3"/>
        <v>45404.844032638888</v>
      </c>
    </row>
    <row r="23" spans="1:12" x14ac:dyDescent="0.25">
      <c r="A23">
        <v>16</v>
      </c>
      <c r="B23" t="s">
        <v>6</v>
      </c>
      <c r="C23" t="s">
        <v>20</v>
      </c>
      <c r="D23" t="s">
        <v>119</v>
      </c>
      <c r="E23">
        <v>1</v>
      </c>
      <c r="F23" s="11">
        <f>IF(ISBLANK(D23),"",(VLOOKUP(D23,Cardápio!$A$2:$B$16,2,0))*E23)</f>
        <v>90</v>
      </c>
      <c r="H23" s="7">
        <f t="shared" si="0"/>
        <v>90</v>
      </c>
      <c r="I23" s="7">
        <f>IF(AND(ISBLANK(D23),ISBLANK(C23)),"",((VLOOKUP(D23,Cardápio!$A$2:$C$16,3,0))*E23)+IF(B23="iFood",F23*0.27,(VLOOKUP(VENDAS!C23,Bairros!$A$2:$B$90,2,0))))</f>
        <v>59.3</v>
      </c>
      <c r="J23" s="7">
        <f t="shared" si="1"/>
        <v>30.700000000000003</v>
      </c>
      <c r="K23" s="9">
        <f t="shared" ca="1" si="2"/>
        <v>45404.844475115744</v>
      </c>
      <c r="L23" s="10">
        <f t="shared" ca="1" si="3"/>
        <v>45404.844474999998</v>
      </c>
    </row>
    <row r="24" spans="1:12" x14ac:dyDescent="0.25">
      <c r="B24" t="s">
        <v>6</v>
      </c>
      <c r="C24" t="s">
        <v>20</v>
      </c>
      <c r="D24" t="s">
        <v>110</v>
      </c>
      <c r="E24">
        <v>1</v>
      </c>
      <c r="F24" s="11">
        <f>IF(ISBLANK(D24),"",(VLOOKUP(D24,Cardápio!$A$2:$B$16,2,0))*E24)</f>
        <v>21</v>
      </c>
      <c r="H24" s="7">
        <f t="shared" si="0"/>
        <v>21</v>
      </c>
      <c r="I24" s="7">
        <f>IF(AND(ISBLANK(D24),ISBLANK(C24)),"",((VLOOKUP(D24,Cardápio!$A$2:$C$16,3,0))*E24)+IF(B24="iFood",F24*0.27,(VLOOKUP(VENDAS!C24,Bairros!$A$2:$B$90,2,0))))</f>
        <v>12.67</v>
      </c>
      <c r="J24" s="7">
        <f t="shared" si="1"/>
        <v>8.33</v>
      </c>
      <c r="K24" s="9">
        <f t="shared" ca="1" si="2"/>
        <v>45404.845759953707</v>
      </c>
      <c r="L24" s="10">
        <f t="shared" ca="1" si="3"/>
        <v>45404.845759837961</v>
      </c>
    </row>
    <row r="25" spans="1:12" x14ac:dyDescent="0.25">
      <c r="B25" t="s">
        <v>6</v>
      </c>
      <c r="C25" t="s">
        <v>20</v>
      </c>
      <c r="D25" t="s">
        <v>116</v>
      </c>
      <c r="E25">
        <v>1</v>
      </c>
      <c r="F25" s="11">
        <f>IF(ISBLANK(D25),"",(VLOOKUP(D25,Cardápio!$A$2:$B$16,2,0))*E25)</f>
        <v>49</v>
      </c>
      <c r="H25" s="7">
        <f t="shared" si="0"/>
        <v>49</v>
      </c>
      <c r="I25" s="7">
        <f>IF(AND(ISBLANK(D25),ISBLANK(C25)),"",((VLOOKUP(D25,Cardápio!$A$2:$C$16,3,0))*E25)+IF(B25="iFood",F25*0.27,(VLOOKUP(VENDAS!C25,Bairros!$A$2:$B$90,2,0))))</f>
        <v>20.130000000000003</v>
      </c>
      <c r="J25" s="7">
        <f t="shared" si="1"/>
        <v>28.869999999999997</v>
      </c>
      <c r="K25" s="9">
        <f t="shared" ca="1" si="2"/>
        <v>45404.846094560184</v>
      </c>
      <c r="L25" s="10">
        <f t="shared" ca="1" si="3"/>
        <v>45404.846094444445</v>
      </c>
    </row>
    <row r="26" spans="1:12" x14ac:dyDescent="0.25">
      <c r="A26">
        <v>17</v>
      </c>
      <c r="B26" t="s">
        <v>7</v>
      </c>
      <c r="C26" t="s">
        <v>20</v>
      </c>
      <c r="D26" t="s">
        <v>117</v>
      </c>
      <c r="E26">
        <v>1</v>
      </c>
      <c r="F26" s="11">
        <f>IF(ISBLANK(D26),"",(VLOOKUP(D26,Cardápio!$A$2:$B$16,2,0))*E26)</f>
        <v>60</v>
      </c>
      <c r="H26" s="7">
        <f t="shared" si="0"/>
        <v>60</v>
      </c>
      <c r="I26" s="7">
        <f>IF(AND(ISBLANK(D26),ISBLANK(C26)),"",((VLOOKUP(D26,Cardápio!$A$2:$C$16,3,0))*E26)+IF(B26="iFood",F26*0.27,(VLOOKUP(VENDAS!C26,Bairros!$A$2:$B$90,2,0))))</f>
        <v>9.9</v>
      </c>
      <c r="J26" s="7">
        <f t="shared" si="1"/>
        <v>50.1</v>
      </c>
      <c r="K26" s="9">
        <f t="shared" ca="1" si="2"/>
        <v>45404.86379722222</v>
      </c>
      <c r="L26" s="10">
        <f t="shared" ca="1" si="3"/>
        <v>45404.863797106482</v>
      </c>
    </row>
    <row r="27" spans="1:12" x14ac:dyDescent="0.25">
      <c r="A27">
        <v>18</v>
      </c>
      <c r="B27" t="s">
        <v>7</v>
      </c>
      <c r="C27" t="s">
        <v>22</v>
      </c>
      <c r="D27" t="s">
        <v>117</v>
      </c>
      <c r="E27">
        <v>1</v>
      </c>
      <c r="F27" s="11">
        <f>IF(ISBLANK(D27),"",(VLOOKUP(D27,Cardápio!$A$2:$B$16,2,0))*E27)</f>
        <v>60</v>
      </c>
      <c r="H27" s="7">
        <f t="shared" si="0"/>
        <v>60</v>
      </c>
      <c r="I27" s="7">
        <f>IF(AND(ISBLANK(D27),ISBLANK(C27)),"",((VLOOKUP(D27,Cardápio!$A$2:$C$16,3,0))*E27)+IF(B27="iFood",F27*0.27,(VLOOKUP(VENDAS!C27,Bairros!$A$2:$B$90,2,0))))</f>
        <v>11.9</v>
      </c>
      <c r="J27" s="7">
        <f t="shared" si="1"/>
        <v>48.1</v>
      </c>
      <c r="K27" s="9">
        <f t="shared" ca="1" si="2"/>
        <v>45404.865469675926</v>
      </c>
      <c r="L27" s="10">
        <f t="shared" ca="1" si="3"/>
        <v>45404.865469675926</v>
      </c>
    </row>
    <row r="28" spans="1:12" x14ac:dyDescent="0.25">
      <c r="A28">
        <v>19</v>
      </c>
      <c r="B28" t="s">
        <v>6</v>
      </c>
      <c r="C28" t="s">
        <v>24</v>
      </c>
      <c r="D28" t="s">
        <v>111</v>
      </c>
      <c r="E28">
        <v>1</v>
      </c>
      <c r="F28" s="11">
        <f>IF(ISBLANK(D28),"",(VLOOKUP(D28,Cardápio!$A$2:$B$16,2,0))*E28)</f>
        <v>24</v>
      </c>
      <c r="H28" s="7">
        <f t="shared" si="0"/>
        <v>24</v>
      </c>
      <c r="I28" s="7">
        <f>IF(AND(ISBLANK(D28),ISBLANK(C28)),"",((VLOOKUP(D28,Cardápio!$A$2:$C$16,3,0))*E28)+IF(B28="iFood",F28*0.27,(VLOOKUP(VENDAS!C28,Bairros!$A$2:$B$90,2,0))))</f>
        <v>13.38</v>
      </c>
      <c r="J28" s="7">
        <f t="shared" si="1"/>
        <v>10.62</v>
      </c>
      <c r="K28" s="9">
        <f t="shared" ca="1" si="2"/>
        <v>45404.870276851849</v>
      </c>
      <c r="L28" s="10">
        <f t="shared" ca="1" si="3"/>
        <v>45404.87027673611</v>
      </c>
    </row>
    <row r="29" spans="1:12" x14ac:dyDescent="0.25">
      <c r="B29" t="s">
        <v>6</v>
      </c>
      <c r="C29" t="s">
        <v>24</v>
      </c>
      <c r="D29" t="s">
        <v>117</v>
      </c>
      <c r="E29">
        <v>1</v>
      </c>
      <c r="F29" s="11">
        <f>IF(ISBLANK(D29),"",(VLOOKUP(D29,Cardápio!$A$2:$B$16,2,0))*E29)</f>
        <v>60</v>
      </c>
      <c r="H29" s="7">
        <f t="shared" si="0"/>
        <v>60</v>
      </c>
      <c r="I29" s="7">
        <f>IF(AND(ISBLANK(D29),ISBLANK(C29)),"",((VLOOKUP(D29,Cardápio!$A$2:$C$16,3,0))*E29)+IF(B29="iFood",F29*0.27,(VLOOKUP(VENDAS!C29,Bairros!$A$2:$B$90,2,0))))</f>
        <v>23.1</v>
      </c>
      <c r="J29" s="7">
        <f t="shared" si="1"/>
        <v>36.9</v>
      </c>
      <c r="K29" s="9">
        <f t="shared" ca="1" si="2"/>
        <v>45404.870567013888</v>
      </c>
      <c r="L29" s="10">
        <f t="shared" ca="1" si="3"/>
        <v>45404.870567013888</v>
      </c>
    </row>
    <row r="30" spans="1:12" x14ac:dyDescent="0.25">
      <c r="B30" t="s">
        <v>6</v>
      </c>
      <c r="C30" t="s">
        <v>24</v>
      </c>
      <c r="D30" t="s">
        <v>119</v>
      </c>
      <c r="E30">
        <v>1</v>
      </c>
      <c r="F30" s="11">
        <f>IF(ISBLANK(D30),"",(VLOOKUP(D30,Cardápio!$A$2:$B$16,2,0))*E30)</f>
        <v>90</v>
      </c>
      <c r="H30" s="7">
        <f t="shared" si="0"/>
        <v>90</v>
      </c>
      <c r="I30" s="7">
        <f>IF(AND(ISBLANK(D30),ISBLANK(C30)),"",((VLOOKUP(D30,Cardápio!$A$2:$C$16,3,0))*E30)+IF(B30="iFood",F30*0.27,(VLOOKUP(VENDAS!C30,Bairros!$A$2:$B$90,2,0))))</f>
        <v>59.3</v>
      </c>
      <c r="J30" s="7">
        <f t="shared" si="1"/>
        <v>30.700000000000003</v>
      </c>
      <c r="K30" s="9">
        <f t="shared" ca="1" si="2"/>
        <v>45404.870689930554</v>
      </c>
      <c r="L30" s="10">
        <f t="shared" ca="1" si="3"/>
        <v>45404.870689814816</v>
      </c>
    </row>
    <row r="31" spans="1:12" x14ac:dyDescent="0.25">
      <c r="A31">
        <v>20</v>
      </c>
      <c r="B31" t="s">
        <v>6</v>
      </c>
      <c r="C31" t="s">
        <v>15</v>
      </c>
      <c r="D31" t="s">
        <v>123</v>
      </c>
      <c r="E31">
        <v>1</v>
      </c>
      <c r="F31" s="11">
        <f>IF(ISBLANK(D31),"",(VLOOKUP(D31,Cardápio!$A$2:$B$16,2,0))*E31)</f>
        <v>70</v>
      </c>
      <c r="H31" s="7">
        <f t="shared" si="0"/>
        <v>70</v>
      </c>
      <c r="I31" s="7">
        <f>IF(AND(ISBLANK(D31),ISBLANK(C31)),"",((VLOOKUP(D31,Cardápio!$A$2:$C$16,3,0))*E31)+IF(B31="iFood",F31*0.27,(VLOOKUP(VENDAS!C31,Bairros!$A$2:$B$90,2,0))))</f>
        <v>25.800000000000004</v>
      </c>
      <c r="J31" s="7">
        <f t="shared" si="1"/>
        <v>44.199999999999996</v>
      </c>
      <c r="K31" s="9">
        <f t="shared" ca="1" si="2"/>
        <v>45404.871068287037</v>
      </c>
      <c r="L31" s="10">
        <f t="shared" ca="1" si="3"/>
        <v>45404.871068171298</v>
      </c>
    </row>
    <row r="32" spans="1:12" x14ac:dyDescent="0.25">
      <c r="F32" s="11" t="str">
        <f>IF(ISBLANK(D32),"",(VLOOKUP(D32,Cardápio!$A$2:$B$16,2,0))*E32)</f>
        <v/>
      </c>
      <c r="H32" s="7" t="str">
        <f t="shared" si="0"/>
        <v/>
      </c>
      <c r="I32" s="7" t="str">
        <f>IF(AND(ISBLANK(D32),ISBLANK(C32)),"",((VLOOKUP(D32,Cardápio!$A$2:$C$16,3,0))*E32)+IF(B32="iFood",F32*0.27,(VLOOKUP(VENDAS!C32,Bairros!$A$2:$B$90,2,0))))</f>
        <v/>
      </c>
      <c r="J32" s="7" t="str">
        <f t="shared" si="1"/>
        <v/>
      </c>
      <c r="K32" s="9">
        <f t="shared" ca="1" si="2"/>
        <v>45404.878290046297</v>
      </c>
      <c r="L32" s="10">
        <f t="shared" ca="1" si="3"/>
        <v>45404.878290046297</v>
      </c>
    </row>
    <row r="33" spans="6:12" x14ac:dyDescent="0.25">
      <c r="F33" s="11" t="str">
        <f>IF(ISBLANK(D33),"",(VLOOKUP(D33,Cardápio!$A$2:$B$16,2,0))*E33)</f>
        <v/>
      </c>
      <c r="H33" s="7" t="str">
        <f t="shared" si="0"/>
        <v/>
      </c>
      <c r="I33" s="7" t="str">
        <f>IF(AND(ISBLANK(D33),ISBLANK(C33)),"",((VLOOKUP(D33,Cardápio!$A$2:$C$16,3,0))*E33)+IF(B33="iFood",F33*0.27,(VLOOKUP(VENDAS!C33,Bairros!$A$2:$B$90,2,0))))</f>
        <v/>
      </c>
      <c r="J33" s="7" t="str">
        <f t="shared" si="1"/>
        <v/>
      </c>
      <c r="K33" s="9">
        <f t="shared" ca="1" si="2"/>
        <v>45404.878290162036</v>
      </c>
      <c r="L33" s="10">
        <f t="shared" ca="1" si="3"/>
        <v>45404.878290046297</v>
      </c>
    </row>
    <row r="34" spans="6:12" x14ac:dyDescent="0.25">
      <c r="F34" s="11" t="str">
        <f>IF(ISBLANK(D34),"",(VLOOKUP(D34,Cardápio!$A$2:$B$16,2,0))*E34)</f>
        <v/>
      </c>
      <c r="H34" s="7" t="str">
        <f t="shared" si="0"/>
        <v/>
      </c>
      <c r="I34" s="7" t="str">
        <f>IF(AND(ISBLANK(D34),ISBLANK(C34)),"",((VLOOKUP(D34,Cardápio!$A$2:$C$16,3,0))*E34)+IF(B34="iFood",F34*0.27,(VLOOKUP(VENDAS!C34,Bairros!$A$2:$B$90,2,0))))</f>
        <v/>
      </c>
      <c r="J34" s="7" t="str">
        <f t="shared" si="1"/>
        <v/>
      </c>
      <c r="K34" s="9">
        <f t="shared" ca="1" si="2"/>
        <v>45404.878290046297</v>
      </c>
      <c r="L34" s="10">
        <f t="shared" ca="1" si="3"/>
        <v>45404.878290046297</v>
      </c>
    </row>
    <row r="35" spans="6:12" x14ac:dyDescent="0.25">
      <c r="F35" s="11" t="str">
        <f>IF(ISBLANK(D35),"",(VLOOKUP(D35,Cardápio!$A$2:$B$16,2,0))*E35)</f>
        <v/>
      </c>
      <c r="H35" s="7" t="str">
        <f t="shared" si="0"/>
        <v/>
      </c>
      <c r="I35" s="7" t="str">
        <f>IF(AND(ISBLANK(D35),ISBLANK(C35)),"",((VLOOKUP(D35,Cardápio!$A$2:$C$16,3,0))*E35)+IF(B35="iFood",F35*0.27,(VLOOKUP(VENDAS!C35,Bairros!$A$2:$B$90,2,0))))</f>
        <v/>
      </c>
      <c r="J35" s="7" t="str">
        <f t="shared" si="1"/>
        <v/>
      </c>
      <c r="K35" s="9">
        <f t="shared" ca="1" si="2"/>
        <v>45404.878290046297</v>
      </c>
      <c r="L35" s="10">
        <f t="shared" ca="1" si="3"/>
        <v>45404.878290046297</v>
      </c>
    </row>
    <row r="36" spans="6:12" x14ac:dyDescent="0.25">
      <c r="F36" s="11" t="str">
        <f>IF(ISBLANK(D36),"",(VLOOKUP(D36,Cardápio!$A$2:$B$16,2,0))*E36)</f>
        <v/>
      </c>
      <c r="H36" s="7" t="str">
        <f t="shared" si="0"/>
        <v/>
      </c>
      <c r="I36" s="7" t="str">
        <f>IF(AND(ISBLANK(D36),ISBLANK(C36)),"",((VLOOKUP(D36,Cardápio!$A$2:$C$16,3,0))*E36)+IF(B36="iFood",F36*0.27,(VLOOKUP(VENDAS!C36,Bairros!$A$2:$B$90,2,0))))</f>
        <v/>
      </c>
      <c r="J36" s="7" t="str">
        <f t="shared" si="1"/>
        <v/>
      </c>
      <c r="K36" s="9">
        <f t="shared" ca="1" si="2"/>
        <v>45404.878290046297</v>
      </c>
      <c r="L36" s="10">
        <f t="shared" ca="1" si="3"/>
        <v>45404.878290046297</v>
      </c>
    </row>
    <row r="37" spans="6:12" x14ac:dyDescent="0.25">
      <c r="F37" s="11" t="str">
        <f>IF(ISBLANK(D37),"",(VLOOKUP(D37,Cardápio!$A$2:$B$16,2,0))*E37)</f>
        <v/>
      </c>
      <c r="H37" s="7" t="str">
        <f t="shared" si="0"/>
        <v/>
      </c>
      <c r="I37" s="7" t="str">
        <f>IF(AND(ISBLANK(D37),ISBLANK(C37)),"",((VLOOKUP(D37,Cardápio!$A$2:$C$16,3,0))*E37)+IF(B37="iFood",F37*0.27,(VLOOKUP(VENDAS!C37,Bairros!$A$2:$B$90,2,0))))</f>
        <v/>
      </c>
      <c r="J37" s="7" t="str">
        <f t="shared" si="1"/>
        <v/>
      </c>
      <c r="K37" s="9">
        <f t="shared" ca="1" si="2"/>
        <v>45404.878290162036</v>
      </c>
      <c r="L37" s="10">
        <f t="shared" ca="1" si="3"/>
        <v>45404.878290046297</v>
      </c>
    </row>
    <row r="38" spans="6:12" x14ac:dyDescent="0.25">
      <c r="F38" s="11" t="str">
        <f>IF(ISBLANK(D38),"",(VLOOKUP(D38,Cardápio!$A$2:$B$16,2,0))*E38)</f>
        <v/>
      </c>
      <c r="H38" s="7" t="str">
        <f t="shared" si="0"/>
        <v/>
      </c>
      <c r="I38" s="7" t="str">
        <f>IF(AND(ISBLANK(D38),ISBLANK(C38)),"",((VLOOKUP(D38,Cardápio!$A$2:$C$16,3,0))*E38)+IF(B38="iFood",F38*0.27,(VLOOKUP(VENDAS!C38,Bairros!$A$2:$B$90,2,0))))</f>
        <v/>
      </c>
      <c r="J38" s="7" t="str">
        <f t="shared" si="1"/>
        <v/>
      </c>
      <c r="K38" s="9">
        <f t="shared" ca="1" si="2"/>
        <v>45404.878290046297</v>
      </c>
      <c r="L38" s="10">
        <f t="shared" ca="1" si="3"/>
        <v>45404.878290046297</v>
      </c>
    </row>
    <row r="39" spans="6:12" x14ac:dyDescent="0.25">
      <c r="F39" s="11" t="str">
        <f>IF(ISBLANK(D39),"",(VLOOKUP(D39,Cardápio!$A$2:$B$16,2,0))*E39)</f>
        <v/>
      </c>
      <c r="H39" s="7" t="str">
        <f t="shared" si="0"/>
        <v/>
      </c>
      <c r="I39" s="7" t="str">
        <f>IF(AND(ISBLANK(D39),ISBLANK(C39)),"",((VLOOKUP(D39,Cardápio!$A$2:$C$16,3,0))*E39)+IF(B39="iFood",F39*0.27,(VLOOKUP(VENDAS!C39,Bairros!$A$2:$B$90,2,0))))</f>
        <v/>
      </c>
      <c r="J39" s="7" t="str">
        <f t="shared" si="1"/>
        <v/>
      </c>
      <c r="K39" s="9">
        <f t="shared" ca="1" si="2"/>
        <v>45404.878290046297</v>
      </c>
      <c r="L39" s="10">
        <f t="shared" ca="1" si="3"/>
        <v>45404.878290046297</v>
      </c>
    </row>
    <row r="40" spans="6:12" x14ac:dyDescent="0.25">
      <c r="F40" s="11" t="str">
        <f>IF(ISBLANK(D40),"",(VLOOKUP(D40,Cardápio!$A$2:$B$16,2,0))*E40)</f>
        <v/>
      </c>
      <c r="H40" s="7" t="str">
        <f t="shared" si="0"/>
        <v/>
      </c>
      <c r="I40" s="7" t="str">
        <f>IF(AND(ISBLANK(D40),ISBLANK(C40)),"",((VLOOKUP(D40,Cardápio!$A$2:$C$16,3,0))*E40)+IF(B40="iFood",F40*0.27,(VLOOKUP(VENDAS!C40,Bairros!$A$2:$B$90,2,0))))</f>
        <v/>
      </c>
      <c r="J40" s="7" t="str">
        <f t="shared" si="1"/>
        <v/>
      </c>
      <c r="K40" s="9">
        <f t="shared" ca="1" si="2"/>
        <v>45404.878290046297</v>
      </c>
      <c r="L40" s="10">
        <f t="shared" ca="1" si="3"/>
        <v>45404.878290046297</v>
      </c>
    </row>
    <row r="41" spans="6:12" x14ac:dyDescent="0.25">
      <c r="F41" s="11" t="str">
        <f>IF(ISBLANK(D41),"",(VLOOKUP(D41,Cardápio!$A$2:$B$16,2,0))*E41)</f>
        <v/>
      </c>
      <c r="H41" s="7" t="str">
        <f t="shared" si="0"/>
        <v/>
      </c>
      <c r="I41" s="7" t="str">
        <f>IF(AND(ISBLANK(D41),ISBLANK(C41)),"",((VLOOKUP(D41,Cardápio!$A$2:$C$16,3,0))*E41)+IF(B41="iFood",F41*0.27,(VLOOKUP(VENDAS!C41,Bairros!$A$2:$B$90,2,0))))</f>
        <v/>
      </c>
      <c r="J41" s="7" t="str">
        <f t="shared" si="1"/>
        <v/>
      </c>
      <c r="K41" s="9">
        <f t="shared" ca="1" si="2"/>
        <v>45404.878290162036</v>
      </c>
      <c r="L41" s="10">
        <f t="shared" ca="1" si="3"/>
        <v>45404.878290046297</v>
      </c>
    </row>
    <row r="42" spans="6:12" x14ac:dyDescent="0.25">
      <c r="F42" s="11" t="str">
        <f>IF(ISBLANK(D42),"",(VLOOKUP(D42,Cardápio!$A$2:$B$16,2,0))*E42)</f>
        <v/>
      </c>
      <c r="H42" s="7" t="str">
        <f t="shared" si="0"/>
        <v/>
      </c>
      <c r="I42" s="7" t="str">
        <f>IF(AND(ISBLANK(D42),ISBLANK(C42)),"",((VLOOKUP(D42,Cardápio!$A$2:$C$16,3,0))*E42)+IF(B42="iFood",F42*0.27,(VLOOKUP(VENDAS!C42,Bairros!$A$2:$B$90,2,0))))</f>
        <v/>
      </c>
      <c r="J42" s="7" t="str">
        <f t="shared" si="1"/>
        <v/>
      </c>
      <c r="K42" s="9">
        <f t="shared" ca="1" si="2"/>
        <v>45404.878290046297</v>
      </c>
      <c r="L42" s="10">
        <f t="shared" ca="1" si="3"/>
        <v>45404.878290046297</v>
      </c>
    </row>
    <row r="43" spans="6:12" x14ac:dyDescent="0.25">
      <c r="F43" s="11" t="str">
        <f>IF(ISBLANK(D43),"",(VLOOKUP(D43,Cardápio!$A$2:$B$16,2,0))*E43)</f>
        <v/>
      </c>
      <c r="H43" s="7" t="str">
        <f t="shared" si="0"/>
        <v/>
      </c>
      <c r="I43" s="7" t="str">
        <f>IF(AND(ISBLANK(D43),ISBLANK(C43)),"",((VLOOKUP(D43,Cardápio!$A$2:$C$16,3,0))*E43)+IF(B43="iFood",F43*0.27,(VLOOKUP(VENDAS!C43,Bairros!$A$2:$B$90,2,0))))</f>
        <v/>
      </c>
      <c r="J43" s="7" t="str">
        <f t="shared" si="1"/>
        <v/>
      </c>
      <c r="K43" s="9">
        <f t="shared" ca="1" si="2"/>
        <v>45404.878290046297</v>
      </c>
      <c r="L43" s="10">
        <f t="shared" ca="1" si="3"/>
        <v>45404.878290046297</v>
      </c>
    </row>
    <row r="44" spans="6:12" x14ac:dyDescent="0.25">
      <c r="F44" s="11" t="str">
        <f>IF(ISBLANK(D44),"",(VLOOKUP(D44,Cardápio!$A$2:$B$16,2,0))*E44)</f>
        <v/>
      </c>
      <c r="H44" s="7" t="str">
        <f t="shared" si="0"/>
        <v/>
      </c>
      <c r="I44" s="7" t="str">
        <f>IF(AND(ISBLANK(D44),ISBLANK(C44)),"",((VLOOKUP(D44,Cardápio!$A$2:$C$16,3,0))*E44)+IF(B44="iFood",F44*0.27,(VLOOKUP(VENDAS!C44,Bairros!$A$2:$B$90,2,0))))</f>
        <v/>
      </c>
      <c r="J44" s="7" t="str">
        <f t="shared" si="1"/>
        <v/>
      </c>
      <c r="K44" s="9">
        <f t="shared" ca="1" si="2"/>
        <v>45404.878290046297</v>
      </c>
      <c r="L44" s="10">
        <f t="shared" ca="1" si="3"/>
        <v>45404.878290046297</v>
      </c>
    </row>
    <row r="45" spans="6:12" x14ac:dyDescent="0.25">
      <c r="F45" s="11" t="str">
        <f>IF(ISBLANK(D45),"",(VLOOKUP(D45,Cardápio!$A$2:$B$16,2,0))*E45)</f>
        <v/>
      </c>
      <c r="H45" s="7" t="str">
        <f t="shared" si="0"/>
        <v/>
      </c>
      <c r="I45" s="7" t="str">
        <f>IF(AND(ISBLANK(D45),ISBLANK(C45)),"",((VLOOKUP(D45,Cardápio!$A$2:$C$16,3,0))*E45)+IF(B45="iFood",F45*0.27,(VLOOKUP(VENDAS!C45,Bairros!$A$2:$B$90,2,0))))</f>
        <v/>
      </c>
      <c r="J45" s="7" t="str">
        <f t="shared" si="1"/>
        <v/>
      </c>
      <c r="K45" s="9">
        <f t="shared" ca="1" si="2"/>
        <v>45404.878290162036</v>
      </c>
      <c r="L45" s="10">
        <f t="shared" ca="1" si="3"/>
        <v>45404.878290046297</v>
      </c>
    </row>
    <row r="46" spans="6:12" x14ac:dyDescent="0.25">
      <c r="F46" s="11" t="str">
        <f>IF(ISBLANK(D46),"",(VLOOKUP(D46,Cardápio!$A$2:$B$16,2,0))*E46)</f>
        <v/>
      </c>
      <c r="H46" s="7" t="str">
        <f t="shared" si="0"/>
        <v/>
      </c>
      <c r="I46" s="7" t="str">
        <f>IF(AND(ISBLANK(D46),ISBLANK(C46)),"",((VLOOKUP(D46,Cardápio!$A$2:$C$16,3,0))*E46)+IF(B46="iFood",F46*0.27,(VLOOKUP(VENDAS!C46,Bairros!$A$2:$B$90,2,0))))</f>
        <v/>
      </c>
      <c r="J46" s="7" t="str">
        <f t="shared" si="1"/>
        <v/>
      </c>
      <c r="K46" s="9">
        <f t="shared" ca="1" si="2"/>
        <v>45404.878290046297</v>
      </c>
      <c r="L46" s="10">
        <f t="shared" ca="1" si="3"/>
        <v>45404.878290046297</v>
      </c>
    </row>
    <row r="47" spans="6:12" x14ac:dyDescent="0.25">
      <c r="F47" s="11" t="str">
        <f>IF(ISBLANK(D47),"",(VLOOKUP(D47,Cardápio!$A$2:$B$16,2,0))*E47)</f>
        <v/>
      </c>
      <c r="H47" s="7" t="str">
        <f t="shared" si="0"/>
        <v/>
      </c>
      <c r="I47" s="7" t="str">
        <f>IF(AND(ISBLANK(D47),ISBLANK(C47)),"",((VLOOKUP(D47,Cardápio!$A$2:$C$16,3,0))*E47)+IF(B47="iFood",F47*0.27,(VLOOKUP(VENDAS!C47,Bairros!$A$2:$B$90,2,0))))</f>
        <v/>
      </c>
      <c r="J47" s="7" t="str">
        <f t="shared" si="1"/>
        <v/>
      </c>
      <c r="K47" s="9">
        <f t="shared" ca="1" si="2"/>
        <v>45404.878290046297</v>
      </c>
      <c r="L47" s="10">
        <f t="shared" ca="1" si="3"/>
        <v>45404.878290046297</v>
      </c>
    </row>
    <row r="48" spans="6:12" x14ac:dyDescent="0.25">
      <c r="F48" s="11" t="str">
        <f>IF(ISBLANK(D48),"",(VLOOKUP(D48,Cardápio!$A$2:$B$16,2,0))*E48)</f>
        <v/>
      </c>
      <c r="H48" s="7" t="str">
        <f t="shared" si="0"/>
        <v/>
      </c>
      <c r="I48" s="7" t="str">
        <f>IF(AND(ISBLANK(D48),ISBLANK(C48)),"",((VLOOKUP(D48,Cardápio!$A$2:$C$16,3,0))*E48)+IF(B48="iFood",F48*0.27,(VLOOKUP(VENDAS!C48,Bairros!$A$2:$B$90,2,0))))</f>
        <v/>
      </c>
      <c r="J48" s="7" t="str">
        <f t="shared" si="1"/>
        <v/>
      </c>
      <c r="K48" s="9">
        <f t="shared" ca="1" si="2"/>
        <v>45404.878290046297</v>
      </c>
      <c r="L48" s="10">
        <f t="shared" ca="1" si="3"/>
        <v>45404.878290046297</v>
      </c>
    </row>
    <row r="49" spans="6:12" x14ac:dyDescent="0.25">
      <c r="F49" s="11" t="str">
        <f>IF(ISBLANK(D49),"",(VLOOKUP(D49,Cardápio!$A$2:$B$16,2,0))*E49)</f>
        <v/>
      </c>
      <c r="H49" s="7" t="str">
        <f t="shared" si="0"/>
        <v/>
      </c>
      <c r="I49" s="7" t="str">
        <f>IF(AND(ISBLANK(D49),ISBLANK(C49)),"",((VLOOKUP(D49,Cardápio!$A$2:$C$16,3,0))*E49)+IF(B49="iFood",F49*0.27,(VLOOKUP(VENDAS!C49,Bairros!$A$2:$B$90,2,0))))</f>
        <v/>
      </c>
      <c r="J49" s="7" t="str">
        <f t="shared" si="1"/>
        <v/>
      </c>
      <c r="K49" s="9">
        <f t="shared" ca="1" si="2"/>
        <v>45404.878290162036</v>
      </c>
      <c r="L49" s="10">
        <f t="shared" ca="1" si="3"/>
        <v>45404.878290046297</v>
      </c>
    </row>
    <row r="50" spans="6:12" x14ac:dyDescent="0.25">
      <c r="F50" s="11" t="str">
        <f>IF(ISBLANK(D50),"",(VLOOKUP(D50,Cardápio!$A$2:$B$16,2,0))*E50)</f>
        <v/>
      </c>
      <c r="H50" s="7" t="str">
        <f t="shared" si="0"/>
        <v/>
      </c>
      <c r="I50" s="7" t="str">
        <f>IF(AND(ISBLANK(D50),ISBLANK(C50)),"",((VLOOKUP(D50,Cardápio!$A$2:$C$16,3,0))*E50)+IF(B50="iFood",F50*0.27,(VLOOKUP(VENDAS!C50,Bairros!$A$2:$B$90,2,0))))</f>
        <v/>
      </c>
      <c r="J50" s="7" t="str">
        <f t="shared" si="1"/>
        <v/>
      </c>
      <c r="K50" s="9">
        <f t="shared" ca="1" si="2"/>
        <v>45404.878290046297</v>
      </c>
      <c r="L50" s="10">
        <f t="shared" ca="1" si="3"/>
        <v>45404.878290046297</v>
      </c>
    </row>
    <row r="51" spans="6:12" x14ac:dyDescent="0.25">
      <c r="F51" s="11" t="str">
        <f>IF(ISBLANK(D51),"",(VLOOKUP(D51,Cardápio!$A$2:$B$16,2,0))*E51)</f>
        <v/>
      </c>
      <c r="H51" s="7" t="str">
        <f t="shared" si="0"/>
        <v/>
      </c>
      <c r="I51" s="7" t="str">
        <f>IF(AND(ISBLANK(D51),ISBLANK(C51)),"",((VLOOKUP(D51,Cardápio!$A$2:$C$16,3,0))*E51)+IF(B51="iFood",F51*0.27,(VLOOKUP(VENDAS!C51,Bairros!$A$2:$B$90,2,0))))</f>
        <v/>
      </c>
      <c r="J51" s="7" t="str">
        <f t="shared" si="1"/>
        <v/>
      </c>
      <c r="K51" s="9">
        <f t="shared" ca="1" si="2"/>
        <v>45404.878290046297</v>
      </c>
      <c r="L51" s="10">
        <f t="shared" ca="1" si="3"/>
        <v>45404.878290046297</v>
      </c>
    </row>
    <row r="52" spans="6:12" x14ac:dyDescent="0.25">
      <c r="F52" s="11" t="str">
        <f>IF(ISBLANK(D52),"",(VLOOKUP(D52,Cardápio!$A$2:$B$16,2,0))*E52)</f>
        <v/>
      </c>
      <c r="H52" s="7" t="str">
        <f t="shared" si="0"/>
        <v/>
      </c>
      <c r="I52" s="7" t="str">
        <f>IF(AND(ISBLANK(D52),ISBLANK(C52)),"",((VLOOKUP(D52,Cardápio!$A$2:$C$16,3,0))*E52)+IF(B52="iFood",F52*0.27,(VLOOKUP(VENDAS!C52,Bairros!$A$2:$B$90,2,0))))</f>
        <v/>
      </c>
      <c r="J52" s="7" t="str">
        <f t="shared" si="1"/>
        <v/>
      </c>
      <c r="K52" s="9">
        <f t="shared" ca="1" si="2"/>
        <v>45404.878290046297</v>
      </c>
      <c r="L52" s="10">
        <f t="shared" ca="1" si="3"/>
        <v>45404.878290046297</v>
      </c>
    </row>
    <row r="53" spans="6:12" x14ac:dyDescent="0.25">
      <c r="F53" s="11" t="str">
        <f>IF(ISBLANK(D53),"",(VLOOKUP(D53,Cardápio!$A$2:$B$16,2,0))*E53)</f>
        <v/>
      </c>
      <c r="H53" s="7" t="str">
        <f t="shared" ref="H53:H116" si="4">IF(ISBLANK(D53),"",F53-G53)</f>
        <v/>
      </c>
      <c r="I53" s="7" t="str">
        <f>IF(AND(ISBLANK(D53),ISBLANK(C53)),"",((VLOOKUP(D53,Cardápio!$A$2:$C$16,3,0))*E53)+IF(B53="iFood",F53*0.27,(VLOOKUP(VENDAS!C53,Bairros!$A$2:$B$90,2,0))))</f>
        <v/>
      </c>
      <c r="J53" s="7" t="str">
        <f t="shared" ref="J53:J116" si="5">IF(OR(AND(ISBLANK(H53),ISBLANK(I53)),(AND(H53="",I53=""))),"",H53-I53)</f>
        <v/>
      </c>
      <c r="K53" s="9">
        <f t="shared" ref="K53:K116" ca="1" si="6">IF(D53&lt;&gt;"",K53,NOW())</f>
        <v>45404.878290162036</v>
      </c>
      <c r="L53" s="10">
        <f t="shared" ref="L53:L116" ca="1" si="7">IF(D53&lt;&gt;"",L53,NOW())</f>
        <v>45404.878290046297</v>
      </c>
    </row>
    <row r="54" spans="6:12" x14ac:dyDescent="0.25">
      <c r="F54" s="11" t="str">
        <f>IF(ISBLANK(D54),"",(VLOOKUP(D54,Cardápio!$A$2:$B$16,2,0))*E54)</f>
        <v/>
      </c>
      <c r="H54" s="7" t="str">
        <f t="shared" si="4"/>
        <v/>
      </c>
      <c r="I54" s="7" t="str">
        <f>IF(AND(ISBLANK(D54),ISBLANK(C54)),"",((VLOOKUP(D54,Cardápio!$A$2:$C$16,3,0))*E54)+IF(B54="iFood",F54*0.27,(VLOOKUP(VENDAS!C54,Bairros!$A$2:$B$90,2,0))))</f>
        <v/>
      </c>
      <c r="J54" s="7" t="str">
        <f t="shared" si="5"/>
        <v/>
      </c>
      <c r="K54" s="9">
        <f t="shared" ca="1" si="6"/>
        <v>45404.878290046297</v>
      </c>
      <c r="L54" s="10">
        <f t="shared" ca="1" si="7"/>
        <v>45404.878290046297</v>
      </c>
    </row>
    <row r="55" spans="6:12" x14ac:dyDescent="0.25">
      <c r="F55" s="11" t="str">
        <f>IF(ISBLANK(D55),"",(VLOOKUP(D55,Cardápio!$A$2:$B$16,2,0))*E55)</f>
        <v/>
      </c>
      <c r="H55" s="7" t="str">
        <f t="shared" si="4"/>
        <v/>
      </c>
      <c r="I55" s="7" t="str">
        <f>IF(AND(ISBLANK(D55),ISBLANK(C55)),"",((VLOOKUP(D55,Cardápio!$A$2:$C$16,3,0))*E55)+IF(B55="iFood",F55*0.27,(VLOOKUP(VENDAS!C55,Bairros!$A$2:$B$90,2,0))))</f>
        <v/>
      </c>
      <c r="J55" s="7" t="str">
        <f t="shared" si="5"/>
        <v/>
      </c>
      <c r="K55" s="9">
        <f t="shared" ca="1" si="6"/>
        <v>45404.878290046297</v>
      </c>
      <c r="L55" s="10">
        <f t="shared" ca="1" si="7"/>
        <v>45404.878290046297</v>
      </c>
    </row>
    <row r="56" spans="6:12" x14ac:dyDescent="0.25">
      <c r="F56" s="11" t="str">
        <f>IF(ISBLANK(D56),"",(VLOOKUP(D56,Cardápio!$A$2:$B$16,2,0))*E56)</f>
        <v/>
      </c>
      <c r="H56" s="7" t="str">
        <f t="shared" si="4"/>
        <v/>
      </c>
      <c r="I56" s="7" t="str">
        <f>IF(AND(ISBLANK(D56),ISBLANK(C56)),"",((VLOOKUP(D56,Cardápio!$A$2:$C$16,3,0))*E56)+IF(B56="iFood",F56*0.27,(VLOOKUP(VENDAS!C56,Bairros!$A$2:$B$90,2,0))))</f>
        <v/>
      </c>
      <c r="J56" s="7" t="str">
        <f t="shared" si="5"/>
        <v/>
      </c>
      <c r="K56" s="9">
        <f t="shared" ca="1" si="6"/>
        <v>45404.878290046297</v>
      </c>
      <c r="L56" s="10">
        <f t="shared" ca="1" si="7"/>
        <v>45404.878290046297</v>
      </c>
    </row>
    <row r="57" spans="6:12" x14ac:dyDescent="0.25">
      <c r="F57" s="11" t="str">
        <f>IF(ISBLANK(D57),"",(VLOOKUP(D57,Cardápio!$A$2:$B$16,2,0))*E57)</f>
        <v/>
      </c>
      <c r="H57" s="7" t="str">
        <f t="shared" si="4"/>
        <v/>
      </c>
      <c r="I57" s="7" t="str">
        <f>IF(AND(ISBLANK(D57),ISBLANK(C57)),"",((VLOOKUP(D57,Cardápio!$A$2:$C$16,3,0))*E57)+IF(B57="iFood",F57*0.27,(VLOOKUP(VENDAS!C57,Bairros!$A$2:$B$90,2,0))))</f>
        <v/>
      </c>
      <c r="J57" s="7" t="str">
        <f t="shared" si="5"/>
        <v/>
      </c>
      <c r="K57" s="9">
        <f t="shared" ca="1" si="6"/>
        <v>45404.878290162036</v>
      </c>
      <c r="L57" s="10">
        <f t="shared" ca="1" si="7"/>
        <v>45404.878290046297</v>
      </c>
    </row>
    <row r="58" spans="6:12" x14ac:dyDescent="0.25">
      <c r="F58" s="11" t="str">
        <f>IF(ISBLANK(D58),"",(VLOOKUP(D58,Cardápio!$A$2:$B$16,2,0))*E58)</f>
        <v/>
      </c>
      <c r="H58" s="7" t="str">
        <f t="shared" si="4"/>
        <v/>
      </c>
      <c r="I58" s="7" t="str">
        <f>IF(AND(ISBLANK(D58),ISBLANK(C58)),"",((VLOOKUP(D58,Cardápio!$A$2:$C$16,3,0))*E58)+IF(B58="iFood",F58*0.27,(VLOOKUP(VENDAS!C58,Bairros!$A$2:$B$90,2,0))))</f>
        <v/>
      </c>
      <c r="J58" s="7" t="str">
        <f t="shared" si="5"/>
        <v/>
      </c>
      <c r="K58" s="9">
        <f t="shared" ca="1" si="6"/>
        <v>45404.878290046297</v>
      </c>
      <c r="L58" s="10">
        <f t="shared" ca="1" si="7"/>
        <v>45404.878290046297</v>
      </c>
    </row>
    <row r="59" spans="6:12" x14ac:dyDescent="0.25">
      <c r="F59" s="11" t="str">
        <f>IF(ISBLANK(D59),"",(VLOOKUP(D59,Cardápio!$A$2:$B$16,2,0))*E59)</f>
        <v/>
      </c>
      <c r="H59" s="7" t="str">
        <f t="shared" si="4"/>
        <v/>
      </c>
      <c r="I59" s="7" t="str">
        <f>IF(AND(ISBLANK(D59),ISBLANK(C59)),"",((VLOOKUP(D59,Cardápio!$A$2:$C$16,3,0))*E59)+IF(B59="iFood",F59*0.27,(VLOOKUP(VENDAS!C59,Bairros!$A$2:$B$90,2,0))))</f>
        <v/>
      </c>
      <c r="J59" s="7" t="str">
        <f t="shared" si="5"/>
        <v/>
      </c>
      <c r="K59" s="9">
        <f t="shared" ca="1" si="6"/>
        <v>45404.878290046297</v>
      </c>
      <c r="L59" s="10">
        <f t="shared" ca="1" si="7"/>
        <v>45404.878290046297</v>
      </c>
    </row>
    <row r="60" spans="6:12" x14ac:dyDescent="0.25">
      <c r="F60" s="11" t="str">
        <f>IF(ISBLANK(D60),"",(VLOOKUP(D60,Cardápio!$A$2:$B$16,2,0))*E60)</f>
        <v/>
      </c>
      <c r="H60" s="7" t="str">
        <f t="shared" si="4"/>
        <v/>
      </c>
      <c r="I60" s="7" t="str">
        <f>IF(AND(ISBLANK(D60),ISBLANK(C60)),"",((VLOOKUP(D60,Cardápio!$A$2:$C$16,3,0))*E60)+IF(B60="iFood",F60*0.27,(VLOOKUP(VENDAS!C60,Bairros!$A$2:$B$90,2,0))))</f>
        <v/>
      </c>
      <c r="J60" s="7" t="str">
        <f t="shared" si="5"/>
        <v/>
      </c>
      <c r="K60" s="9">
        <f t="shared" ca="1" si="6"/>
        <v>45404.878290046297</v>
      </c>
      <c r="L60" s="10">
        <f t="shared" ca="1" si="7"/>
        <v>45404.878290046297</v>
      </c>
    </row>
    <row r="61" spans="6:12" x14ac:dyDescent="0.25">
      <c r="F61" s="11" t="str">
        <f>IF(ISBLANK(D61),"",(VLOOKUP(D61,Cardápio!$A$2:$B$16,2,0))*E61)</f>
        <v/>
      </c>
      <c r="H61" s="7" t="str">
        <f t="shared" si="4"/>
        <v/>
      </c>
      <c r="I61" s="7" t="str">
        <f>IF(AND(ISBLANK(D61),ISBLANK(C61)),"",((VLOOKUP(D61,Cardápio!$A$2:$C$16,3,0))*E61)+IF(B61="iFood",F61*0.27,(VLOOKUP(VENDAS!C61,Bairros!$A$2:$B$90,2,0))))</f>
        <v/>
      </c>
      <c r="J61" s="7" t="str">
        <f t="shared" si="5"/>
        <v/>
      </c>
      <c r="K61" s="9">
        <f t="shared" ca="1" si="6"/>
        <v>45404.878290162036</v>
      </c>
      <c r="L61" s="10">
        <f t="shared" ca="1" si="7"/>
        <v>45404.878290046297</v>
      </c>
    </row>
    <row r="62" spans="6:12" x14ac:dyDescent="0.25">
      <c r="F62" s="11" t="str">
        <f>IF(ISBLANK(D62),"",(VLOOKUP(D62,Cardápio!$A$2:$B$16,2,0))*E62)</f>
        <v/>
      </c>
      <c r="H62" s="7" t="str">
        <f t="shared" si="4"/>
        <v/>
      </c>
      <c r="I62" s="7" t="str">
        <f>IF(AND(ISBLANK(D62),ISBLANK(C62)),"",((VLOOKUP(D62,Cardápio!$A$2:$C$16,3,0))*E62)+IF(B62="iFood",F62*0.27,(VLOOKUP(VENDAS!C62,Bairros!$A$2:$B$90,2,0))))</f>
        <v/>
      </c>
      <c r="J62" s="7" t="str">
        <f t="shared" si="5"/>
        <v/>
      </c>
      <c r="K62" s="9">
        <f t="shared" ca="1" si="6"/>
        <v>45404.878290046297</v>
      </c>
      <c r="L62" s="10">
        <f t="shared" ca="1" si="7"/>
        <v>45404.878290046297</v>
      </c>
    </row>
    <row r="63" spans="6:12" x14ac:dyDescent="0.25">
      <c r="F63" s="11" t="str">
        <f>IF(ISBLANK(D63),"",(VLOOKUP(D63,Cardápio!$A$2:$B$16,2,0))*E63)</f>
        <v/>
      </c>
      <c r="H63" s="7" t="str">
        <f t="shared" si="4"/>
        <v/>
      </c>
      <c r="I63" s="7" t="str">
        <f>IF(AND(ISBLANK(D63),ISBLANK(C63)),"",((VLOOKUP(D63,Cardápio!$A$2:$C$16,3,0))*E63)+IF(B63="iFood",F63*0.27,(VLOOKUP(VENDAS!C63,Bairros!$A$2:$B$90,2,0))))</f>
        <v/>
      </c>
      <c r="J63" s="7" t="str">
        <f t="shared" si="5"/>
        <v/>
      </c>
      <c r="K63" s="9">
        <f t="shared" ca="1" si="6"/>
        <v>45404.878290046297</v>
      </c>
      <c r="L63" s="10">
        <f t="shared" ca="1" si="7"/>
        <v>45404.878290046297</v>
      </c>
    </row>
    <row r="64" spans="6:12" x14ac:dyDescent="0.25">
      <c r="F64" s="11" t="str">
        <f>IF(ISBLANK(D64),"",(VLOOKUP(D64,Cardápio!$A$2:$B$16,2,0))*E64)</f>
        <v/>
      </c>
      <c r="H64" s="7" t="str">
        <f t="shared" si="4"/>
        <v/>
      </c>
      <c r="I64" s="7" t="str">
        <f>IF(AND(ISBLANK(D64),ISBLANK(C64)),"",((VLOOKUP(D64,Cardápio!$A$2:$C$16,3,0))*E64)+IF(B64="iFood",F64*0.27,(VLOOKUP(VENDAS!C64,Bairros!$A$2:$B$90,2,0))))</f>
        <v/>
      </c>
      <c r="J64" s="7" t="str">
        <f t="shared" si="5"/>
        <v/>
      </c>
      <c r="K64" s="9">
        <f t="shared" ca="1" si="6"/>
        <v>45404.878290046297</v>
      </c>
      <c r="L64" s="10">
        <f t="shared" ca="1" si="7"/>
        <v>45404.878290046297</v>
      </c>
    </row>
    <row r="65" spans="6:12" x14ac:dyDescent="0.25">
      <c r="F65" s="11" t="str">
        <f>IF(ISBLANK(D65),"",(VLOOKUP(D65,Cardápio!$A$2:$B$16,2,0))*E65)</f>
        <v/>
      </c>
      <c r="H65" s="7" t="str">
        <f t="shared" si="4"/>
        <v/>
      </c>
      <c r="I65" s="7" t="str">
        <f>IF(AND(ISBLANK(D65),ISBLANK(C65)),"",((VLOOKUP(D65,Cardápio!$A$2:$C$16,3,0))*E65)+IF(B65="iFood",F65*0.27,(VLOOKUP(VENDAS!C65,Bairros!$A$2:$B$90,2,0))))</f>
        <v/>
      </c>
      <c r="J65" s="7" t="str">
        <f t="shared" si="5"/>
        <v/>
      </c>
      <c r="K65" s="9">
        <f t="shared" ca="1" si="6"/>
        <v>45404.878290162036</v>
      </c>
      <c r="L65" s="10">
        <f t="shared" ca="1" si="7"/>
        <v>45404.878290046297</v>
      </c>
    </row>
    <row r="66" spans="6:12" x14ac:dyDescent="0.25">
      <c r="F66" s="11" t="str">
        <f>IF(ISBLANK(D66),"",(VLOOKUP(D66,Cardápio!$A$2:$B$16,2,0))*E66)</f>
        <v/>
      </c>
      <c r="H66" s="7" t="str">
        <f t="shared" si="4"/>
        <v/>
      </c>
      <c r="I66" s="7" t="str">
        <f>IF(AND(ISBLANK(D66),ISBLANK(C66)),"",((VLOOKUP(D66,Cardápio!$A$2:$C$16,3,0))*E66)+IF(B66="iFood",F66*0.27,(VLOOKUP(VENDAS!C66,Bairros!$A$2:$B$90,2,0))))</f>
        <v/>
      </c>
      <c r="J66" s="7" t="str">
        <f t="shared" si="5"/>
        <v/>
      </c>
      <c r="K66" s="9">
        <f t="shared" ca="1" si="6"/>
        <v>45404.878290046297</v>
      </c>
      <c r="L66" s="10">
        <f t="shared" ca="1" si="7"/>
        <v>45404.878290046297</v>
      </c>
    </row>
    <row r="67" spans="6:12" x14ac:dyDescent="0.25">
      <c r="F67" s="11" t="str">
        <f>IF(ISBLANK(D67),"",(VLOOKUP(D67,Cardápio!$A$2:$B$16,2,0))*E67)</f>
        <v/>
      </c>
      <c r="H67" s="7" t="str">
        <f t="shared" si="4"/>
        <v/>
      </c>
      <c r="I67" s="7" t="str">
        <f>IF(AND(ISBLANK(D67),ISBLANK(C67)),"",((VLOOKUP(D67,Cardápio!$A$2:$C$16,3,0))*E67)+IF(B67="iFood",F67*0.27,(VLOOKUP(VENDAS!C67,Bairros!$A$2:$B$90,2,0))))</f>
        <v/>
      </c>
      <c r="J67" s="7" t="str">
        <f t="shared" si="5"/>
        <v/>
      </c>
      <c r="K67" s="9">
        <f t="shared" ca="1" si="6"/>
        <v>45404.878290046297</v>
      </c>
      <c r="L67" s="10">
        <f t="shared" ca="1" si="7"/>
        <v>45404.878290046297</v>
      </c>
    </row>
    <row r="68" spans="6:12" x14ac:dyDescent="0.25">
      <c r="F68" s="11" t="str">
        <f>IF(ISBLANK(D68),"",(VLOOKUP(D68,Cardápio!$A$2:$B$16,2,0))*E68)</f>
        <v/>
      </c>
      <c r="H68" s="7" t="str">
        <f t="shared" si="4"/>
        <v/>
      </c>
      <c r="I68" s="7" t="str">
        <f>IF(AND(ISBLANK(D68),ISBLANK(C68)),"",((VLOOKUP(D68,Cardápio!$A$2:$C$16,3,0))*E68)+IF(B68="iFood",F68*0.27,(VLOOKUP(VENDAS!C68,Bairros!$A$2:$B$90,2,0))))</f>
        <v/>
      </c>
      <c r="J68" s="7" t="str">
        <f t="shared" si="5"/>
        <v/>
      </c>
      <c r="K68" s="9">
        <f t="shared" ca="1" si="6"/>
        <v>45404.878290046297</v>
      </c>
      <c r="L68" s="10">
        <f t="shared" ca="1" si="7"/>
        <v>45404.878290046297</v>
      </c>
    </row>
    <row r="69" spans="6:12" x14ac:dyDescent="0.25">
      <c r="F69" s="11" t="str">
        <f>IF(ISBLANK(D69),"",(VLOOKUP(D69,Cardápio!$A$2:$B$16,2,0))*E69)</f>
        <v/>
      </c>
      <c r="H69" s="7" t="str">
        <f t="shared" si="4"/>
        <v/>
      </c>
      <c r="I69" s="7" t="str">
        <f>IF(AND(ISBLANK(D69),ISBLANK(C69)),"",((VLOOKUP(D69,Cardápio!$A$2:$C$16,3,0))*E69)+IF(B69="iFood",F69*0.27,(VLOOKUP(VENDAS!C69,Bairros!$A$2:$B$90,2,0))))</f>
        <v/>
      </c>
      <c r="J69" s="7" t="str">
        <f t="shared" si="5"/>
        <v/>
      </c>
      <c r="K69" s="9">
        <f t="shared" ca="1" si="6"/>
        <v>45404.878290162036</v>
      </c>
      <c r="L69" s="10">
        <f t="shared" ca="1" si="7"/>
        <v>45404.878290046297</v>
      </c>
    </row>
    <row r="70" spans="6:12" x14ac:dyDescent="0.25">
      <c r="F70" s="11" t="str">
        <f>IF(ISBLANK(D70),"",(VLOOKUP(D70,Cardápio!$A$2:$B$16,2,0))*E70)</f>
        <v/>
      </c>
      <c r="H70" s="7" t="str">
        <f t="shared" si="4"/>
        <v/>
      </c>
      <c r="I70" s="7" t="str">
        <f>IF(AND(ISBLANK(D70),ISBLANK(C70)),"",((VLOOKUP(D70,Cardápio!$A$2:$C$16,3,0))*E70)+IF(B70="iFood",F70*0.27,(VLOOKUP(VENDAS!C70,Bairros!$A$2:$B$90,2,0))))</f>
        <v/>
      </c>
      <c r="J70" s="7" t="str">
        <f t="shared" si="5"/>
        <v/>
      </c>
      <c r="K70" s="9">
        <f t="shared" ca="1" si="6"/>
        <v>45404.878290046297</v>
      </c>
      <c r="L70" s="10">
        <f t="shared" ca="1" si="7"/>
        <v>45404.878290046297</v>
      </c>
    </row>
    <row r="71" spans="6:12" x14ac:dyDescent="0.25">
      <c r="F71" s="11" t="str">
        <f>IF(ISBLANK(D71),"",(VLOOKUP(D71,Cardápio!$A$2:$B$16,2,0))*E71)</f>
        <v/>
      </c>
      <c r="H71" s="7" t="str">
        <f t="shared" si="4"/>
        <v/>
      </c>
      <c r="I71" s="7" t="str">
        <f>IF(AND(ISBLANK(D71),ISBLANK(C71)),"",((VLOOKUP(D71,Cardápio!$A$2:$C$16,3,0))*E71)+IF(B71="iFood",F71*0.27,(VLOOKUP(VENDAS!C71,Bairros!$A$2:$B$90,2,0))))</f>
        <v/>
      </c>
      <c r="J71" s="7" t="str">
        <f t="shared" si="5"/>
        <v/>
      </c>
      <c r="K71" s="9">
        <f t="shared" ca="1" si="6"/>
        <v>45404.878290046297</v>
      </c>
      <c r="L71" s="10">
        <f t="shared" ca="1" si="7"/>
        <v>45404.878290046297</v>
      </c>
    </row>
    <row r="72" spans="6:12" x14ac:dyDescent="0.25">
      <c r="F72" s="11" t="str">
        <f>IF(ISBLANK(D72),"",(VLOOKUP(D72,Cardápio!$A$2:$B$16,2,0))*E72)</f>
        <v/>
      </c>
      <c r="H72" s="7" t="str">
        <f t="shared" si="4"/>
        <v/>
      </c>
      <c r="I72" s="7" t="str">
        <f>IF(AND(ISBLANK(D72),ISBLANK(C72)),"",((VLOOKUP(D72,Cardápio!$A$2:$C$16,3,0))*E72)+IF(B72="iFood",F72*0.27,(VLOOKUP(VENDAS!C72,Bairros!$A$2:$B$90,2,0))))</f>
        <v/>
      </c>
      <c r="J72" s="7" t="str">
        <f t="shared" si="5"/>
        <v/>
      </c>
      <c r="K72" s="9">
        <f t="shared" ca="1" si="6"/>
        <v>45404.878290046297</v>
      </c>
      <c r="L72" s="10">
        <f t="shared" ca="1" si="7"/>
        <v>45404.878290046297</v>
      </c>
    </row>
    <row r="73" spans="6:12" x14ac:dyDescent="0.25">
      <c r="F73" s="11" t="str">
        <f>IF(ISBLANK(D73),"",(VLOOKUP(D73,Cardápio!$A$2:$B$16,2,0))*E73)</f>
        <v/>
      </c>
      <c r="H73" s="7" t="str">
        <f t="shared" si="4"/>
        <v/>
      </c>
      <c r="I73" s="7" t="str">
        <f>IF(AND(ISBLANK(D73),ISBLANK(C73)),"",((VLOOKUP(D73,Cardápio!$A$2:$C$16,3,0))*E73)+IF(B73="iFood",F73*0.27,(VLOOKUP(VENDAS!C73,Bairros!$A$2:$B$90,2,0))))</f>
        <v/>
      </c>
      <c r="J73" s="7" t="str">
        <f t="shared" si="5"/>
        <v/>
      </c>
      <c r="K73" s="9">
        <f t="shared" ca="1" si="6"/>
        <v>45404.878290162036</v>
      </c>
      <c r="L73" s="10">
        <f t="shared" ca="1" si="7"/>
        <v>45404.878290046297</v>
      </c>
    </row>
    <row r="74" spans="6:12" x14ac:dyDescent="0.25">
      <c r="F74" s="11" t="str">
        <f>IF(ISBLANK(D74),"",(VLOOKUP(D74,Cardápio!$A$2:$B$16,2,0))*E74)</f>
        <v/>
      </c>
      <c r="H74" s="7" t="str">
        <f t="shared" si="4"/>
        <v/>
      </c>
      <c r="I74" s="7" t="str">
        <f>IF(AND(ISBLANK(D74),ISBLANK(C74)),"",((VLOOKUP(D74,Cardápio!$A$2:$C$16,3,0))*E74)+IF(B74="iFood",F74*0.27,(VLOOKUP(VENDAS!C74,Bairros!$A$2:$B$90,2,0))))</f>
        <v/>
      </c>
      <c r="J74" s="7" t="str">
        <f t="shared" si="5"/>
        <v/>
      </c>
      <c r="K74" s="9">
        <f t="shared" ca="1" si="6"/>
        <v>45404.878290046297</v>
      </c>
      <c r="L74" s="10">
        <f t="shared" ca="1" si="7"/>
        <v>45404.878290046297</v>
      </c>
    </row>
    <row r="75" spans="6:12" x14ac:dyDescent="0.25">
      <c r="F75" s="11" t="str">
        <f>IF(ISBLANK(D75),"",(VLOOKUP(D75,Cardápio!$A$2:$B$16,2,0))*E75)</f>
        <v/>
      </c>
      <c r="H75" s="7" t="str">
        <f t="shared" si="4"/>
        <v/>
      </c>
      <c r="I75" s="7" t="str">
        <f>IF(AND(ISBLANK(D75),ISBLANK(C75)),"",((VLOOKUP(D75,Cardápio!$A$2:$C$16,3,0))*E75)+IF(B75="iFood",F75*0.27,(VLOOKUP(VENDAS!C75,Bairros!$A$2:$B$90,2,0))))</f>
        <v/>
      </c>
      <c r="J75" s="7" t="str">
        <f t="shared" si="5"/>
        <v/>
      </c>
      <c r="K75" s="9">
        <f t="shared" ca="1" si="6"/>
        <v>45404.878290046297</v>
      </c>
      <c r="L75" s="10">
        <f t="shared" ca="1" si="7"/>
        <v>45404.878290046297</v>
      </c>
    </row>
    <row r="76" spans="6:12" x14ac:dyDescent="0.25">
      <c r="F76" s="11" t="str">
        <f>IF(ISBLANK(D76),"",(VLOOKUP(D76,Cardápio!$A$2:$B$16,2,0))*E76)</f>
        <v/>
      </c>
      <c r="H76" s="7" t="str">
        <f t="shared" si="4"/>
        <v/>
      </c>
      <c r="I76" s="7" t="str">
        <f>IF(AND(ISBLANK(D76),ISBLANK(C76)),"",((VLOOKUP(D76,Cardápio!$A$2:$C$16,3,0))*E76)+IF(B76="iFood",F76*0.27,(VLOOKUP(VENDAS!C76,Bairros!$A$2:$B$90,2,0))))</f>
        <v/>
      </c>
      <c r="J76" s="7" t="str">
        <f t="shared" si="5"/>
        <v/>
      </c>
      <c r="K76" s="9">
        <f t="shared" ca="1" si="6"/>
        <v>45404.878290046297</v>
      </c>
      <c r="L76" s="10">
        <f t="shared" ca="1" si="7"/>
        <v>45404.878290046297</v>
      </c>
    </row>
    <row r="77" spans="6:12" x14ac:dyDescent="0.25">
      <c r="F77" s="11" t="str">
        <f>IF(ISBLANK(D77),"",(VLOOKUP(D77,Cardápio!$A$2:$B$16,2,0))*E77)</f>
        <v/>
      </c>
      <c r="H77" s="7" t="str">
        <f t="shared" si="4"/>
        <v/>
      </c>
      <c r="I77" s="7" t="str">
        <f>IF(AND(ISBLANK(D77),ISBLANK(C77)),"",((VLOOKUP(D77,Cardápio!$A$2:$C$16,3,0))*E77)+IF(B77="iFood",F77*0.27,(VLOOKUP(VENDAS!C77,Bairros!$A$2:$B$90,2,0))))</f>
        <v/>
      </c>
      <c r="J77" s="7" t="str">
        <f t="shared" si="5"/>
        <v/>
      </c>
      <c r="K77" s="9">
        <f t="shared" ca="1" si="6"/>
        <v>45404.878290162036</v>
      </c>
      <c r="L77" s="10">
        <f t="shared" ca="1" si="7"/>
        <v>45404.878290046297</v>
      </c>
    </row>
    <row r="78" spans="6:12" x14ac:dyDescent="0.25">
      <c r="F78" s="11" t="str">
        <f>IF(ISBLANK(D78),"",(VLOOKUP(D78,Cardápio!$A$2:$B$16,2,0))*E78)</f>
        <v/>
      </c>
      <c r="H78" s="7" t="str">
        <f t="shared" si="4"/>
        <v/>
      </c>
      <c r="I78" s="7" t="str">
        <f>IF(AND(ISBLANK(D78),ISBLANK(C78)),"",((VLOOKUP(D78,Cardápio!$A$2:$C$16,3,0))*E78)+IF(B78="iFood",F78*0.27,(VLOOKUP(VENDAS!C78,Bairros!$A$2:$B$90,2,0))))</f>
        <v/>
      </c>
      <c r="J78" s="7" t="str">
        <f t="shared" si="5"/>
        <v/>
      </c>
      <c r="K78" s="9">
        <f t="shared" ca="1" si="6"/>
        <v>45404.878290046297</v>
      </c>
      <c r="L78" s="10">
        <f t="shared" ca="1" si="7"/>
        <v>45404.878290046297</v>
      </c>
    </row>
    <row r="79" spans="6:12" x14ac:dyDescent="0.25">
      <c r="F79" s="11" t="str">
        <f>IF(ISBLANK(D79),"",(VLOOKUP(D79,Cardápio!$A$2:$B$16,2,0))*E79)</f>
        <v/>
      </c>
      <c r="H79" s="7" t="str">
        <f t="shared" si="4"/>
        <v/>
      </c>
      <c r="I79" s="7" t="str">
        <f>IF(AND(ISBLANK(D79),ISBLANK(C79)),"",((VLOOKUP(D79,Cardápio!$A$2:$C$16,3,0))*E79)+IF(B79="iFood",F79*0.27,(VLOOKUP(VENDAS!C79,Bairros!$A$2:$B$90,2,0))))</f>
        <v/>
      </c>
      <c r="J79" s="7" t="str">
        <f t="shared" si="5"/>
        <v/>
      </c>
      <c r="K79" s="9">
        <f t="shared" ca="1" si="6"/>
        <v>45404.878290046297</v>
      </c>
      <c r="L79" s="10">
        <f t="shared" ca="1" si="7"/>
        <v>45404.878290046297</v>
      </c>
    </row>
    <row r="80" spans="6:12" x14ac:dyDescent="0.25">
      <c r="F80" s="11" t="str">
        <f>IF(ISBLANK(D80),"",(VLOOKUP(D80,Cardápio!$A$2:$B$16,2,0))*E80)</f>
        <v/>
      </c>
      <c r="H80" s="7" t="str">
        <f t="shared" si="4"/>
        <v/>
      </c>
      <c r="I80" s="7" t="str">
        <f>IF(AND(ISBLANK(D80),ISBLANK(C80)),"",((VLOOKUP(D80,Cardápio!$A$2:$C$16,3,0))*E80)+IF(B80="iFood",F80*0.27,(VLOOKUP(VENDAS!C80,Bairros!$A$2:$B$90,2,0))))</f>
        <v/>
      </c>
      <c r="J80" s="7" t="str">
        <f t="shared" si="5"/>
        <v/>
      </c>
      <c r="K80" s="9">
        <f t="shared" ca="1" si="6"/>
        <v>45404.878290046297</v>
      </c>
      <c r="L80" s="10">
        <f t="shared" ca="1" si="7"/>
        <v>45404.878290046297</v>
      </c>
    </row>
    <row r="81" spans="6:12" x14ac:dyDescent="0.25">
      <c r="F81" s="11" t="str">
        <f>IF(ISBLANK(D81),"",(VLOOKUP(D81,Cardápio!$A$2:$B$16,2,0))*E81)</f>
        <v/>
      </c>
      <c r="H81" s="7" t="str">
        <f t="shared" si="4"/>
        <v/>
      </c>
      <c r="I81" s="7" t="str">
        <f>IF(AND(ISBLANK(D81),ISBLANK(C81)),"",((VLOOKUP(D81,Cardápio!$A$2:$C$16,3,0))*E81)+IF(B81="iFood",F81*0.27,(VLOOKUP(VENDAS!C81,Bairros!$A$2:$B$90,2,0))))</f>
        <v/>
      </c>
      <c r="J81" s="7" t="str">
        <f t="shared" si="5"/>
        <v/>
      </c>
      <c r="K81" s="9">
        <f t="shared" ca="1" si="6"/>
        <v>45404.878290162036</v>
      </c>
      <c r="L81" s="10">
        <f t="shared" ca="1" si="7"/>
        <v>45404.878290046297</v>
      </c>
    </row>
    <row r="82" spans="6:12" x14ac:dyDescent="0.25">
      <c r="F82" s="11" t="str">
        <f>IF(ISBLANK(D82),"",(VLOOKUP(D82,Cardápio!$A$2:$B$16,2,0))*E82)</f>
        <v/>
      </c>
      <c r="H82" s="7" t="str">
        <f t="shared" si="4"/>
        <v/>
      </c>
      <c r="I82" s="7" t="str">
        <f>IF(AND(ISBLANK(D82),ISBLANK(C82)),"",((VLOOKUP(D82,Cardápio!$A$2:$C$16,3,0))*E82)+IF(B82="iFood",F82*0.27,(VLOOKUP(VENDAS!C82,Bairros!$A$2:$B$90,2,0))))</f>
        <v/>
      </c>
      <c r="J82" s="7" t="str">
        <f t="shared" si="5"/>
        <v/>
      </c>
      <c r="K82" s="9">
        <f t="shared" ca="1" si="6"/>
        <v>45404.878290046297</v>
      </c>
      <c r="L82" s="10">
        <f t="shared" ca="1" si="7"/>
        <v>45404.878290046297</v>
      </c>
    </row>
    <row r="83" spans="6:12" x14ac:dyDescent="0.25">
      <c r="F83" s="11" t="str">
        <f>IF(ISBLANK(D83),"",(VLOOKUP(D83,Cardápio!$A$2:$B$16,2,0))*E83)</f>
        <v/>
      </c>
      <c r="H83" s="7" t="str">
        <f t="shared" si="4"/>
        <v/>
      </c>
      <c r="I83" s="7" t="str">
        <f>IF(AND(ISBLANK(D83),ISBLANK(C83)),"",((VLOOKUP(D83,Cardápio!$A$2:$C$16,3,0))*E83)+IF(B83="iFood",F83*0.27,(VLOOKUP(VENDAS!C83,Bairros!$A$2:$B$90,2,0))))</f>
        <v/>
      </c>
      <c r="J83" s="7" t="str">
        <f t="shared" si="5"/>
        <v/>
      </c>
      <c r="K83" s="9">
        <f t="shared" ca="1" si="6"/>
        <v>45404.878290046297</v>
      </c>
      <c r="L83" s="10">
        <f t="shared" ca="1" si="7"/>
        <v>45404.878290046297</v>
      </c>
    </row>
    <row r="84" spans="6:12" x14ac:dyDescent="0.25">
      <c r="F84" s="11" t="str">
        <f>IF(ISBLANK(D84),"",(VLOOKUP(D84,Cardápio!$A$2:$B$16,2,0))*E84)</f>
        <v/>
      </c>
      <c r="H84" s="7" t="str">
        <f t="shared" si="4"/>
        <v/>
      </c>
      <c r="I84" s="7" t="str">
        <f>IF(AND(ISBLANK(D84),ISBLANK(C84)),"",((VLOOKUP(D84,Cardápio!$A$2:$C$16,3,0))*E84)+IF(B84="iFood",F84*0.27,(VLOOKUP(VENDAS!C84,Bairros!$A$2:$B$90,2,0))))</f>
        <v/>
      </c>
      <c r="J84" s="7" t="str">
        <f t="shared" si="5"/>
        <v/>
      </c>
      <c r="K84" s="9">
        <f t="shared" ca="1" si="6"/>
        <v>45404.878290046297</v>
      </c>
      <c r="L84" s="10">
        <f t="shared" ca="1" si="7"/>
        <v>45404.878290046297</v>
      </c>
    </row>
    <row r="85" spans="6:12" x14ac:dyDescent="0.25">
      <c r="F85" s="11" t="str">
        <f>IF(ISBLANK(D85),"",(VLOOKUP(D85,Cardápio!$A$2:$B$16,2,0))*E85)</f>
        <v/>
      </c>
      <c r="H85" s="7" t="str">
        <f t="shared" si="4"/>
        <v/>
      </c>
      <c r="I85" s="7" t="str">
        <f>IF(AND(ISBLANK(D85),ISBLANK(C85)),"",((VLOOKUP(D85,Cardápio!$A$2:$C$16,3,0))*E85)+IF(B85="iFood",F85*0.27,(VLOOKUP(VENDAS!C85,Bairros!$A$2:$B$90,2,0))))</f>
        <v/>
      </c>
      <c r="J85" s="7" t="str">
        <f t="shared" si="5"/>
        <v/>
      </c>
      <c r="K85" s="9">
        <f t="shared" ca="1" si="6"/>
        <v>45404.878290162036</v>
      </c>
      <c r="L85" s="10">
        <f t="shared" ca="1" si="7"/>
        <v>45404.878290046297</v>
      </c>
    </row>
    <row r="86" spans="6:12" x14ac:dyDescent="0.25">
      <c r="F86" s="11" t="str">
        <f>IF(ISBLANK(D86),"",(VLOOKUP(D86,Cardápio!$A$2:$B$16,2,0))*E86)</f>
        <v/>
      </c>
      <c r="H86" s="7" t="str">
        <f t="shared" si="4"/>
        <v/>
      </c>
      <c r="I86" s="7" t="str">
        <f>IF(AND(ISBLANK(D86),ISBLANK(C86)),"",((VLOOKUP(D86,Cardápio!$A$2:$C$16,3,0))*E86)+IF(B86="iFood",F86*0.27,(VLOOKUP(VENDAS!C86,Bairros!$A$2:$B$90,2,0))))</f>
        <v/>
      </c>
      <c r="J86" s="7" t="str">
        <f t="shared" si="5"/>
        <v/>
      </c>
      <c r="K86" s="9">
        <f t="shared" ca="1" si="6"/>
        <v>45404.878290046297</v>
      </c>
      <c r="L86" s="10">
        <f t="shared" ca="1" si="7"/>
        <v>45404.878290046297</v>
      </c>
    </row>
    <row r="87" spans="6:12" x14ac:dyDescent="0.25">
      <c r="F87" s="11" t="str">
        <f>IF(ISBLANK(D87),"",(VLOOKUP(D87,Cardápio!$A$2:$B$16,2,0))*E87)</f>
        <v/>
      </c>
      <c r="H87" s="7" t="str">
        <f t="shared" si="4"/>
        <v/>
      </c>
      <c r="I87" s="7" t="str">
        <f>IF(AND(ISBLANK(D87),ISBLANK(C87)),"",((VLOOKUP(D87,Cardápio!$A$2:$C$16,3,0))*E87)+IF(B87="iFood",F87*0.27,(VLOOKUP(VENDAS!C87,Bairros!$A$2:$B$90,2,0))))</f>
        <v/>
      </c>
      <c r="J87" s="7" t="str">
        <f t="shared" si="5"/>
        <v/>
      </c>
      <c r="K87" s="9">
        <f t="shared" ca="1" si="6"/>
        <v>45404.878290046297</v>
      </c>
      <c r="L87" s="10">
        <f t="shared" ca="1" si="7"/>
        <v>45404.878290046297</v>
      </c>
    </row>
    <row r="88" spans="6:12" x14ac:dyDescent="0.25">
      <c r="F88" s="11" t="str">
        <f>IF(ISBLANK(D88),"",(VLOOKUP(D88,Cardápio!$A$2:$B$16,2,0))*E88)</f>
        <v/>
      </c>
      <c r="H88" s="7" t="str">
        <f t="shared" si="4"/>
        <v/>
      </c>
      <c r="I88" s="7" t="str">
        <f>IF(AND(ISBLANK(D88),ISBLANK(C88)),"",((VLOOKUP(D88,Cardápio!$A$2:$C$16,3,0))*E88)+IF(B88="iFood",F88*0.27,(VLOOKUP(VENDAS!C88,Bairros!$A$2:$B$90,2,0))))</f>
        <v/>
      </c>
      <c r="J88" s="7" t="str">
        <f t="shared" si="5"/>
        <v/>
      </c>
      <c r="K88" s="9">
        <f t="shared" ca="1" si="6"/>
        <v>45404.878290046297</v>
      </c>
      <c r="L88" s="10">
        <f t="shared" ca="1" si="7"/>
        <v>45404.878290046297</v>
      </c>
    </row>
    <row r="89" spans="6:12" x14ac:dyDescent="0.25">
      <c r="F89" s="11" t="str">
        <f>IF(ISBLANK(D89),"",(VLOOKUP(D89,Cardápio!$A$2:$B$16,2,0))*E89)</f>
        <v/>
      </c>
      <c r="H89" s="7" t="str">
        <f t="shared" si="4"/>
        <v/>
      </c>
      <c r="I89" s="7" t="str">
        <f>IF(AND(ISBLANK(D89),ISBLANK(C89)),"",((VLOOKUP(D89,Cardápio!$A$2:$C$16,3,0))*E89)+IF(B89="iFood",F89*0.27,(VLOOKUP(VENDAS!C89,Bairros!$A$2:$B$90,2,0))))</f>
        <v/>
      </c>
      <c r="J89" s="7" t="str">
        <f t="shared" si="5"/>
        <v/>
      </c>
      <c r="K89" s="9">
        <f t="shared" ca="1" si="6"/>
        <v>45404.878290162036</v>
      </c>
      <c r="L89" s="10">
        <f t="shared" ca="1" si="7"/>
        <v>45404.878290046297</v>
      </c>
    </row>
    <row r="90" spans="6:12" x14ac:dyDescent="0.25">
      <c r="F90" s="11" t="str">
        <f>IF(ISBLANK(D90),"",(VLOOKUP(D90,Cardápio!$A$2:$B$16,2,0))*E90)</f>
        <v/>
      </c>
      <c r="H90" s="7" t="str">
        <f t="shared" si="4"/>
        <v/>
      </c>
      <c r="I90" s="7" t="str">
        <f>IF(AND(ISBLANK(D90),ISBLANK(C90)),"",((VLOOKUP(D90,Cardápio!$A$2:$C$16,3,0))*E90)+IF(B90="iFood",F90*0.27,(VLOOKUP(VENDAS!C90,Bairros!$A$2:$B$90,2,0))))</f>
        <v/>
      </c>
      <c r="J90" s="7" t="str">
        <f t="shared" si="5"/>
        <v/>
      </c>
      <c r="K90" s="9">
        <f t="shared" ca="1" si="6"/>
        <v>45404.878290046297</v>
      </c>
      <c r="L90" s="10">
        <f t="shared" ca="1" si="7"/>
        <v>45404.878290046297</v>
      </c>
    </row>
    <row r="91" spans="6:12" x14ac:dyDescent="0.25">
      <c r="F91" s="11" t="str">
        <f>IF(ISBLANK(D91),"",(VLOOKUP(D91,Cardápio!$A$2:$B$16,2,0))*E91)</f>
        <v/>
      </c>
      <c r="H91" s="7" t="str">
        <f t="shared" si="4"/>
        <v/>
      </c>
      <c r="I91" s="7" t="str">
        <f>IF(AND(ISBLANK(D91),ISBLANK(C91)),"",((VLOOKUP(D91,Cardápio!$A$2:$C$16,3,0))*E91)+IF(B91="iFood",F91*0.27,(VLOOKUP(VENDAS!C91,Bairros!$A$2:$B$90,2,0))))</f>
        <v/>
      </c>
      <c r="J91" s="7" t="str">
        <f t="shared" si="5"/>
        <v/>
      </c>
      <c r="K91" s="9">
        <f t="shared" ca="1" si="6"/>
        <v>45404.878290046297</v>
      </c>
      <c r="L91" s="10">
        <f t="shared" ca="1" si="7"/>
        <v>45404.878290046297</v>
      </c>
    </row>
    <row r="92" spans="6:12" x14ac:dyDescent="0.25">
      <c r="F92" s="11" t="str">
        <f>IF(ISBLANK(D92),"",(VLOOKUP(D92,Cardápio!$A$2:$B$16,2,0))*E92)</f>
        <v/>
      </c>
      <c r="H92" s="7" t="str">
        <f t="shared" si="4"/>
        <v/>
      </c>
      <c r="I92" s="7" t="str">
        <f>IF(AND(ISBLANK(D92),ISBLANK(C92)),"",((VLOOKUP(D92,Cardápio!$A$2:$C$16,3,0))*E92)+IF(B92="iFood",F92*0.27,(VLOOKUP(VENDAS!C92,Bairros!$A$2:$B$90,2,0))))</f>
        <v/>
      </c>
      <c r="J92" s="7" t="str">
        <f t="shared" si="5"/>
        <v/>
      </c>
      <c r="K92" s="9">
        <f t="shared" ca="1" si="6"/>
        <v>45404.878290046297</v>
      </c>
      <c r="L92" s="10">
        <f t="shared" ca="1" si="7"/>
        <v>45404.878290046297</v>
      </c>
    </row>
    <row r="93" spans="6:12" x14ac:dyDescent="0.25">
      <c r="F93" s="11" t="str">
        <f>IF(ISBLANK(D93),"",(VLOOKUP(D93,Cardápio!$A$2:$B$16,2,0))*E93)</f>
        <v/>
      </c>
      <c r="H93" s="7" t="str">
        <f t="shared" si="4"/>
        <v/>
      </c>
      <c r="I93" s="7" t="str">
        <f>IF(AND(ISBLANK(D93),ISBLANK(C93)),"",((VLOOKUP(D93,Cardápio!$A$2:$C$16,3,0))*E93)+IF(B93="iFood",F93*0.27,(VLOOKUP(VENDAS!C93,Bairros!$A$2:$B$90,2,0))))</f>
        <v/>
      </c>
      <c r="J93" s="7" t="str">
        <f t="shared" si="5"/>
        <v/>
      </c>
      <c r="K93" s="9">
        <f t="shared" ca="1" si="6"/>
        <v>45404.878290162036</v>
      </c>
      <c r="L93" s="10">
        <f t="shared" ca="1" si="7"/>
        <v>45404.878290046297</v>
      </c>
    </row>
    <row r="94" spans="6:12" x14ac:dyDescent="0.25">
      <c r="F94" s="11" t="str">
        <f>IF(ISBLANK(D94),"",(VLOOKUP(D94,Cardápio!$A$2:$B$16,2,0))*E94)</f>
        <v/>
      </c>
      <c r="H94" s="7" t="str">
        <f t="shared" si="4"/>
        <v/>
      </c>
      <c r="I94" s="7" t="str">
        <f>IF(AND(ISBLANK(D94),ISBLANK(C94)),"",((VLOOKUP(D94,Cardápio!$A$2:$C$16,3,0))*E94)+IF(B94="iFood",F94*0.27,(VLOOKUP(VENDAS!C94,Bairros!$A$2:$B$90,2,0))))</f>
        <v/>
      </c>
      <c r="J94" s="7" t="str">
        <f t="shared" si="5"/>
        <v/>
      </c>
      <c r="K94" s="9">
        <f t="shared" ca="1" si="6"/>
        <v>45404.878290046297</v>
      </c>
      <c r="L94" s="10">
        <f t="shared" ca="1" si="7"/>
        <v>45404.878290046297</v>
      </c>
    </row>
    <row r="95" spans="6:12" x14ac:dyDescent="0.25">
      <c r="F95" s="11" t="str">
        <f>IF(ISBLANK(D95),"",(VLOOKUP(D95,Cardápio!$A$2:$B$16,2,0))*E95)</f>
        <v/>
      </c>
      <c r="H95" s="7" t="str">
        <f t="shared" si="4"/>
        <v/>
      </c>
      <c r="I95" s="7" t="str">
        <f>IF(AND(ISBLANK(D95),ISBLANK(C95)),"",((VLOOKUP(D95,Cardápio!$A$2:$C$16,3,0))*E95)+IF(B95="iFood",F95*0.27,(VLOOKUP(VENDAS!C95,Bairros!$A$2:$B$90,2,0))))</f>
        <v/>
      </c>
      <c r="J95" s="7" t="str">
        <f t="shared" si="5"/>
        <v/>
      </c>
      <c r="K95" s="9">
        <f t="shared" ca="1" si="6"/>
        <v>45404.878290046297</v>
      </c>
      <c r="L95" s="10">
        <f t="shared" ca="1" si="7"/>
        <v>45404.878290046297</v>
      </c>
    </row>
    <row r="96" spans="6:12" x14ac:dyDescent="0.25">
      <c r="F96" s="11" t="str">
        <f>IF(ISBLANK(D96),"",(VLOOKUP(D96,Cardápio!$A$2:$B$16,2,0))*E96)</f>
        <v/>
      </c>
      <c r="H96" s="7" t="str">
        <f t="shared" si="4"/>
        <v/>
      </c>
      <c r="I96" s="7" t="str">
        <f>IF(AND(ISBLANK(D96),ISBLANK(C96)),"",((VLOOKUP(D96,Cardápio!$A$2:$C$16,3,0))*E96)+IF(B96="iFood",F96*0.27,(VLOOKUP(VENDAS!C96,Bairros!$A$2:$B$90,2,0))))</f>
        <v/>
      </c>
      <c r="J96" s="7" t="str">
        <f t="shared" si="5"/>
        <v/>
      </c>
      <c r="K96" s="9">
        <f t="shared" ca="1" si="6"/>
        <v>45404.878290046297</v>
      </c>
      <c r="L96" s="10">
        <f t="shared" ca="1" si="7"/>
        <v>45404.878290046297</v>
      </c>
    </row>
    <row r="97" spans="6:12" x14ac:dyDescent="0.25">
      <c r="F97" s="11" t="str">
        <f>IF(ISBLANK(D97),"",(VLOOKUP(D97,Cardápio!$A$2:$B$16,2,0))*E97)</f>
        <v/>
      </c>
      <c r="H97" s="7" t="str">
        <f t="shared" si="4"/>
        <v/>
      </c>
      <c r="I97" s="7" t="str">
        <f>IF(AND(ISBLANK(D97),ISBLANK(C97)),"",((VLOOKUP(D97,Cardápio!$A$2:$C$16,3,0))*E97)+IF(B97="iFood",F97*0.27,(VLOOKUP(VENDAS!C97,Bairros!$A$2:$B$90,2,0))))</f>
        <v/>
      </c>
      <c r="J97" s="7" t="str">
        <f t="shared" si="5"/>
        <v/>
      </c>
      <c r="K97" s="9">
        <f t="shared" ca="1" si="6"/>
        <v>45404.878290162036</v>
      </c>
      <c r="L97" s="10">
        <f t="shared" ca="1" si="7"/>
        <v>45404.878290046297</v>
      </c>
    </row>
    <row r="98" spans="6:12" x14ac:dyDescent="0.25">
      <c r="F98" s="11" t="str">
        <f>IF(ISBLANK(D98),"",(VLOOKUP(D98,Cardápio!$A$2:$B$16,2,0))*E98)</f>
        <v/>
      </c>
      <c r="H98" s="7" t="str">
        <f t="shared" si="4"/>
        <v/>
      </c>
      <c r="I98" s="7" t="str">
        <f>IF(AND(ISBLANK(D98),ISBLANK(C98)),"",((VLOOKUP(D98,Cardápio!$A$2:$C$16,3,0))*E98)+IF(B98="iFood",F98*0.27,(VLOOKUP(VENDAS!C98,Bairros!$A$2:$B$90,2,0))))</f>
        <v/>
      </c>
      <c r="J98" s="7" t="str">
        <f t="shared" si="5"/>
        <v/>
      </c>
      <c r="K98" s="9">
        <f t="shared" ca="1" si="6"/>
        <v>45404.878290046297</v>
      </c>
      <c r="L98" s="10">
        <f t="shared" ca="1" si="7"/>
        <v>45404.878290046297</v>
      </c>
    </row>
    <row r="99" spans="6:12" x14ac:dyDescent="0.25">
      <c r="F99" s="11" t="str">
        <f>IF(ISBLANK(D99),"",(VLOOKUP(D99,Cardápio!$A$2:$B$16,2,0))*E99)</f>
        <v/>
      </c>
      <c r="H99" s="7" t="str">
        <f t="shared" si="4"/>
        <v/>
      </c>
      <c r="I99" s="7" t="str">
        <f>IF(AND(ISBLANK(D99),ISBLANK(C99)),"",((VLOOKUP(D99,Cardápio!$A$2:$C$16,3,0))*E99)+IF(B99="iFood",F99*0.27,(VLOOKUP(VENDAS!C99,Bairros!$A$2:$B$90,2,0))))</f>
        <v/>
      </c>
      <c r="J99" s="7" t="str">
        <f t="shared" si="5"/>
        <v/>
      </c>
      <c r="K99" s="9">
        <f t="shared" ca="1" si="6"/>
        <v>45404.878290046297</v>
      </c>
      <c r="L99" s="10">
        <f t="shared" ca="1" si="7"/>
        <v>45404.878290046297</v>
      </c>
    </row>
    <row r="100" spans="6:12" x14ac:dyDescent="0.25">
      <c r="F100" s="11" t="str">
        <f>IF(ISBLANK(D100),"",(VLOOKUP(D100,Cardápio!$A$2:$B$16,2,0))*E100)</f>
        <v/>
      </c>
      <c r="H100" s="7" t="str">
        <f t="shared" si="4"/>
        <v/>
      </c>
      <c r="I100" s="7" t="str">
        <f>IF(AND(ISBLANK(D100),ISBLANK(C100)),"",((VLOOKUP(D100,Cardápio!$A$2:$C$16,3,0))*E100)+IF(B100="iFood",F100*0.27,(VLOOKUP(VENDAS!C100,Bairros!$A$2:$B$90,2,0))))</f>
        <v/>
      </c>
      <c r="J100" s="7" t="str">
        <f t="shared" si="5"/>
        <v/>
      </c>
      <c r="K100" s="9">
        <f t="shared" ca="1" si="6"/>
        <v>45404.878290046297</v>
      </c>
      <c r="L100" s="10">
        <f t="shared" ca="1" si="7"/>
        <v>45404.878290046297</v>
      </c>
    </row>
    <row r="101" spans="6:12" x14ac:dyDescent="0.25">
      <c r="F101" s="11" t="str">
        <f>IF(ISBLANK(D101),"",(VLOOKUP(D101,Cardápio!$A$2:$B$16,2,0))*E101)</f>
        <v/>
      </c>
      <c r="H101" s="7" t="str">
        <f t="shared" si="4"/>
        <v/>
      </c>
      <c r="I101" s="7" t="str">
        <f>IF(AND(ISBLANK(D101),ISBLANK(C101)),"",((VLOOKUP(D101,Cardápio!$A$2:$C$16,3,0))*E101)+IF(B101="iFood",F101*0.27,(VLOOKUP(VENDAS!C101,Bairros!$A$2:$B$90,2,0))))</f>
        <v/>
      </c>
      <c r="J101" s="7" t="str">
        <f t="shared" si="5"/>
        <v/>
      </c>
      <c r="K101" s="9">
        <f t="shared" ca="1" si="6"/>
        <v>45404.878290162036</v>
      </c>
      <c r="L101" s="10">
        <f t="shared" ca="1" si="7"/>
        <v>45404.878290046297</v>
      </c>
    </row>
    <row r="102" spans="6:12" x14ac:dyDescent="0.25">
      <c r="F102" s="11" t="str">
        <f>IF(ISBLANK(D102),"",(VLOOKUP(D102,Cardápio!$A$2:$B$16,2,0))*E102)</f>
        <v/>
      </c>
      <c r="H102" s="7" t="str">
        <f t="shared" si="4"/>
        <v/>
      </c>
      <c r="I102" s="7" t="str">
        <f>IF(AND(ISBLANK(D102),ISBLANK(C102)),"",((VLOOKUP(D102,Cardápio!$A$2:$C$16,3,0))*E102)+IF(B102="iFood",F102*0.27,(VLOOKUP(VENDAS!C102,Bairros!$A$2:$B$90,2,0))))</f>
        <v/>
      </c>
      <c r="J102" s="7" t="str">
        <f t="shared" si="5"/>
        <v/>
      </c>
      <c r="K102" s="9">
        <f t="shared" ca="1" si="6"/>
        <v>45404.878290046297</v>
      </c>
      <c r="L102" s="10">
        <f t="shared" ca="1" si="7"/>
        <v>45404.878290046297</v>
      </c>
    </row>
    <row r="103" spans="6:12" x14ac:dyDescent="0.25">
      <c r="F103" s="11" t="str">
        <f>IF(ISBLANK(D103),"",(VLOOKUP(D103,Cardápio!$A$2:$B$16,2,0))*E103)</f>
        <v/>
      </c>
      <c r="H103" s="7" t="str">
        <f t="shared" si="4"/>
        <v/>
      </c>
      <c r="I103" s="7" t="str">
        <f>IF(AND(ISBLANK(D103),ISBLANK(C103)),"",((VLOOKUP(D103,Cardápio!$A$2:$C$16,3,0))*E103)+IF(B103="iFood",F103*0.27,(VLOOKUP(VENDAS!C103,Bairros!$A$2:$B$90,2,0))))</f>
        <v/>
      </c>
      <c r="J103" s="7" t="str">
        <f t="shared" si="5"/>
        <v/>
      </c>
      <c r="K103" s="9">
        <f t="shared" ca="1" si="6"/>
        <v>45404.878290046297</v>
      </c>
      <c r="L103" s="10">
        <f t="shared" ca="1" si="7"/>
        <v>45404.878290046297</v>
      </c>
    </row>
    <row r="104" spans="6:12" x14ac:dyDescent="0.25">
      <c r="F104" s="11" t="str">
        <f>IF(ISBLANK(D104),"",(VLOOKUP(D104,Cardápio!$A$2:$B$16,2,0))*E104)</f>
        <v/>
      </c>
      <c r="H104" s="7" t="str">
        <f t="shared" si="4"/>
        <v/>
      </c>
      <c r="I104" s="7" t="str">
        <f>IF(AND(ISBLANK(D104),ISBLANK(C104)),"",((VLOOKUP(D104,Cardápio!$A$2:$C$16,3,0))*E104)+IF(B104="iFood",F104*0.27,(VLOOKUP(VENDAS!C104,Bairros!$A$2:$B$90,2,0))))</f>
        <v/>
      </c>
      <c r="J104" s="7" t="str">
        <f t="shared" si="5"/>
        <v/>
      </c>
      <c r="K104" s="9">
        <f t="shared" ca="1" si="6"/>
        <v>45404.878290046297</v>
      </c>
      <c r="L104" s="10">
        <f t="shared" ca="1" si="7"/>
        <v>45404.878290046297</v>
      </c>
    </row>
    <row r="105" spans="6:12" x14ac:dyDescent="0.25">
      <c r="F105" s="11" t="str">
        <f>IF(ISBLANK(D105),"",(VLOOKUP(D105,Cardápio!$A$2:$B$16,2,0))*E105)</f>
        <v/>
      </c>
      <c r="H105" s="7" t="str">
        <f t="shared" si="4"/>
        <v/>
      </c>
      <c r="I105" s="7" t="str">
        <f>IF(AND(ISBLANK(D105),ISBLANK(C105)),"",((VLOOKUP(D105,Cardápio!$A$2:$C$16,3,0))*E105)+IF(B105="iFood",F105*0.27,(VLOOKUP(VENDAS!C105,Bairros!$A$2:$B$90,2,0))))</f>
        <v/>
      </c>
      <c r="J105" s="7" t="str">
        <f t="shared" si="5"/>
        <v/>
      </c>
      <c r="K105" s="9">
        <f t="shared" ca="1" si="6"/>
        <v>45404.878290162036</v>
      </c>
      <c r="L105" s="10">
        <f t="shared" ca="1" si="7"/>
        <v>45404.878290046297</v>
      </c>
    </row>
    <row r="106" spans="6:12" x14ac:dyDescent="0.25">
      <c r="F106" s="11" t="str">
        <f>IF(ISBLANK(D106),"",(VLOOKUP(D106,Cardápio!$A$2:$B$16,2,0))*E106)</f>
        <v/>
      </c>
      <c r="H106" s="7" t="str">
        <f t="shared" si="4"/>
        <v/>
      </c>
      <c r="I106" s="7" t="str">
        <f>IF(AND(ISBLANK(D106),ISBLANK(C106)),"",((VLOOKUP(D106,Cardápio!$A$2:$C$16,3,0))*E106)+IF(B106="iFood",F106*0.27,(VLOOKUP(VENDAS!C106,Bairros!$A$2:$B$90,2,0))))</f>
        <v/>
      </c>
      <c r="J106" s="7" t="str">
        <f t="shared" si="5"/>
        <v/>
      </c>
      <c r="K106" s="9">
        <f t="shared" ca="1" si="6"/>
        <v>45404.878290046297</v>
      </c>
      <c r="L106" s="10">
        <f t="shared" ca="1" si="7"/>
        <v>45404.878290046297</v>
      </c>
    </row>
    <row r="107" spans="6:12" x14ac:dyDescent="0.25">
      <c r="F107" s="11" t="str">
        <f>IF(ISBLANK(D107),"",(VLOOKUP(D107,Cardápio!$A$2:$B$16,2,0))*E107)</f>
        <v/>
      </c>
      <c r="H107" s="7" t="str">
        <f t="shared" si="4"/>
        <v/>
      </c>
      <c r="I107" s="7" t="str">
        <f>IF(AND(ISBLANK(D107),ISBLANK(C107)),"",((VLOOKUP(D107,Cardápio!$A$2:$C$16,3,0))*E107)+IF(B107="iFood",F107*0.27,(VLOOKUP(VENDAS!C107,Bairros!$A$2:$B$90,2,0))))</f>
        <v/>
      </c>
      <c r="J107" s="7" t="str">
        <f t="shared" si="5"/>
        <v/>
      </c>
      <c r="K107" s="9">
        <f t="shared" ca="1" si="6"/>
        <v>45404.878290046297</v>
      </c>
      <c r="L107" s="10">
        <f t="shared" ca="1" si="7"/>
        <v>45404.878290046297</v>
      </c>
    </row>
    <row r="108" spans="6:12" x14ac:dyDescent="0.25">
      <c r="F108" s="11" t="str">
        <f>IF(ISBLANK(D108),"",(VLOOKUP(D108,Cardápio!$A$2:$B$16,2,0))*E108)</f>
        <v/>
      </c>
      <c r="H108" s="7" t="str">
        <f t="shared" si="4"/>
        <v/>
      </c>
      <c r="I108" s="7" t="str">
        <f>IF(AND(ISBLANK(D108),ISBLANK(C108)),"",((VLOOKUP(D108,Cardápio!$A$2:$C$16,3,0))*E108)+IF(B108="iFood",F108*0.27,(VLOOKUP(VENDAS!C108,Bairros!$A$2:$B$90,2,0))))</f>
        <v/>
      </c>
      <c r="J108" s="7" t="str">
        <f t="shared" si="5"/>
        <v/>
      </c>
      <c r="K108" s="9">
        <f t="shared" ca="1" si="6"/>
        <v>45404.878290046297</v>
      </c>
      <c r="L108" s="10">
        <f t="shared" ca="1" si="7"/>
        <v>45404.878290046297</v>
      </c>
    </row>
    <row r="109" spans="6:12" x14ac:dyDescent="0.25">
      <c r="F109" s="11" t="str">
        <f>IF(ISBLANK(D109),"",(VLOOKUP(D109,Cardápio!$A$2:$B$16,2,0))*E109)</f>
        <v/>
      </c>
      <c r="H109" s="7" t="str">
        <f t="shared" si="4"/>
        <v/>
      </c>
      <c r="I109" s="7" t="str">
        <f>IF(AND(ISBLANK(D109),ISBLANK(C109)),"",((VLOOKUP(D109,Cardápio!$A$2:$C$16,3,0))*E109)+IF(B109="iFood",F109*0.27,(VLOOKUP(VENDAS!C109,Bairros!$A$2:$B$90,2,0))))</f>
        <v/>
      </c>
      <c r="J109" s="7" t="str">
        <f t="shared" si="5"/>
        <v/>
      </c>
      <c r="K109" s="9">
        <f t="shared" ca="1" si="6"/>
        <v>45404.878290162036</v>
      </c>
      <c r="L109" s="10">
        <f t="shared" ca="1" si="7"/>
        <v>45404.878290046297</v>
      </c>
    </row>
    <row r="110" spans="6:12" x14ac:dyDescent="0.25">
      <c r="F110" s="11" t="str">
        <f>IF(ISBLANK(D110),"",(VLOOKUP(D110,Cardápio!$A$2:$B$16,2,0))*E110)</f>
        <v/>
      </c>
      <c r="H110" s="7" t="str">
        <f t="shared" si="4"/>
        <v/>
      </c>
      <c r="I110" s="7" t="str">
        <f>IF(AND(ISBLANK(D110),ISBLANK(C110)),"",((VLOOKUP(D110,Cardápio!$A$2:$C$16,3,0))*E110)+IF(B110="iFood",F110*0.27,(VLOOKUP(VENDAS!C110,Bairros!$A$2:$B$90,2,0))))</f>
        <v/>
      </c>
      <c r="J110" s="7" t="str">
        <f t="shared" si="5"/>
        <v/>
      </c>
      <c r="K110" s="9">
        <f t="shared" ca="1" si="6"/>
        <v>45404.878290046297</v>
      </c>
      <c r="L110" s="10">
        <f t="shared" ca="1" si="7"/>
        <v>45404.878290046297</v>
      </c>
    </row>
    <row r="111" spans="6:12" x14ac:dyDescent="0.25">
      <c r="F111" s="11" t="str">
        <f>IF(ISBLANK(D111),"",(VLOOKUP(D111,Cardápio!$A$2:$B$16,2,0))*E111)</f>
        <v/>
      </c>
      <c r="H111" s="7" t="str">
        <f t="shared" si="4"/>
        <v/>
      </c>
      <c r="I111" s="7" t="str">
        <f>IF(AND(ISBLANK(D111),ISBLANK(C111)),"",((VLOOKUP(D111,Cardápio!$A$2:$C$16,3,0))*E111)+IF(B111="iFood",F111*0.27,(VLOOKUP(VENDAS!C111,Bairros!$A$2:$B$90,2,0))))</f>
        <v/>
      </c>
      <c r="J111" s="7" t="str">
        <f t="shared" si="5"/>
        <v/>
      </c>
      <c r="K111" s="9">
        <f t="shared" ca="1" si="6"/>
        <v>45404.878290046297</v>
      </c>
      <c r="L111" s="10">
        <f t="shared" ca="1" si="7"/>
        <v>45404.878290046297</v>
      </c>
    </row>
    <row r="112" spans="6:12" x14ac:dyDescent="0.25">
      <c r="F112" s="11" t="str">
        <f>IF(ISBLANK(D112),"",(VLOOKUP(D112,Cardápio!$A$2:$B$16,2,0))*E112)</f>
        <v/>
      </c>
      <c r="H112" s="7" t="str">
        <f t="shared" si="4"/>
        <v/>
      </c>
      <c r="I112" s="7" t="str">
        <f>IF(AND(ISBLANK(D112),ISBLANK(C112)),"",((VLOOKUP(D112,Cardápio!$A$2:$C$16,3,0))*E112)+IF(B112="iFood",F112*0.27,(VLOOKUP(VENDAS!C112,Bairros!$A$2:$B$90,2,0))))</f>
        <v/>
      </c>
      <c r="J112" s="7" t="str">
        <f t="shared" si="5"/>
        <v/>
      </c>
      <c r="K112" s="9">
        <f t="shared" ca="1" si="6"/>
        <v>45404.878290046297</v>
      </c>
      <c r="L112" s="10">
        <f t="shared" ca="1" si="7"/>
        <v>45404.878290046297</v>
      </c>
    </row>
    <row r="113" spans="6:12" x14ac:dyDescent="0.25">
      <c r="F113" s="11" t="str">
        <f>IF(ISBLANK(D113),"",(VLOOKUP(D113,Cardápio!$A$2:$B$16,2,0))*E113)</f>
        <v/>
      </c>
      <c r="H113" s="7" t="str">
        <f t="shared" si="4"/>
        <v/>
      </c>
      <c r="I113" s="7" t="str">
        <f>IF(AND(ISBLANK(D113),ISBLANK(C113)),"",((VLOOKUP(D113,Cardápio!$A$2:$C$16,3,0))*E113)+IF(B113="iFood",F113*0.27,(VLOOKUP(VENDAS!C113,Bairros!$A$2:$B$90,2,0))))</f>
        <v/>
      </c>
      <c r="J113" s="7" t="str">
        <f t="shared" si="5"/>
        <v/>
      </c>
      <c r="K113" s="9">
        <f t="shared" ca="1" si="6"/>
        <v>45404.878290162036</v>
      </c>
      <c r="L113" s="10">
        <f t="shared" ca="1" si="7"/>
        <v>45404.878290046297</v>
      </c>
    </row>
    <row r="114" spans="6:12" x14ac:dyDescent="0.25">
      <c r="F114" s="11" t="str">
        <f>IF(ISBLANK(D114),"",(VLOOKUP(D114,Cardápio!$A$2:$B$16,2,0))*E114)</f>
        <v/>
      </c>
      <c r="H114" s="7" t="str">
        <f t="shared" si="4"/>
        <v/>
      </c>
      <c r="I114" s="7" t="str">
        <f>IF(AND(ISBLANK(D114),ISBLANK(C114)),"",((VLOOKUP(D114,Cardápio!$A$2:$C$16,3,0))*E114)+IF(B114="iFood",F114*0.27,(VLOOKUP(VENDAS!C114,Bairros!$A$2:$B$90,2,0))))</f>
        <v/>
      </c>
      <c r="J114" s="7" t="str">
        <f t="shared" si="5"/>
        <v/>
      </c>
      <c r="K114" s="9">
        <f t="shared" ca="1" si="6"/>
        <v>45404.878290046297</v>
      </c>
      <c r="L114" s="10">
        <f t="shared" ca="1" si="7"/>
        <v>45404.878290046297</v>
      </c>
    </row>
    <row r="115" spans="6:12" x14ac:dyDescent="0.25">
      <c r="F115" s="11" t="str">
        <f>IF(ISBLANK(D115),"",(VLOOKUP(D115,Cardápio!$A$2:$B$16,2,0))*E115)</f>
        <v/>
      </c>
      <c r="H115" s="7" t="str">
        <f t="shared" si="4"/>
        <v/>
      </c>
      <c r="I115" s="7" t="str">
        <f>IF(AND(ISBLANK(D115),ISBLANK(C115)),"",((VLOOKUP(D115,Cardápio!$A$2:$C$16,3,0))*E115)+IF(B115="iFood",F115*0.27,(VLOOKUP(VENDAS!C115,Bairros!$A$2:$B$90,2,0))))</f>
        <v/>
      </c>
      <c r="J115" s="7" t="str">
        <f t="shared" si="5"/>
        <v/>
      </c>
      <c r="K115" s="9">
        <f t="shared" ca="1" si="6"/>
        <v>45404.878290046297</v>
      </c>
      <c r="L115" s="10">
        <f t="shared" ca="1" si="7"/>
        <v>45404.878290046297</v>
      </c>
    </row>
    <row r="116" spans="6:12" x14ac:dyDescent="0.25">
      <c r="F116" s="11" t="str">
        <f>IF(ISBLANK(D116),"",(VLOOKUP(D116,Cardápio!$A$2:$B$16,2,0))*E116)</f>
        <v/>
      </c>
      <c r="H116" s="7" t="str">
        <f t="shared" si="4"/>
        <v/>
      </c>
      <c r="I116" s="7" t="str">
        <f>IF(AND(ISBLANK(D116),ISBLANK(C116)),"",((VLOOKUP(D116,Cardápio!$A$2:$C$16,3,0))*E116)+IF(B116="iFood",F116*0.27,(VLOOKUP(VENDAS!C116,Bairros!$A$2:$B$90,2,0))))</f>
        <v/>
      </c>
      <c r="J116" s="7" t="str">
        <f t="shared" si="5"/>
        <v/>
      </c>
      <c r="K116" s="9">
        <f t="shared" ca="1" si="6"/>
        <v>45404.878290046297</v>
      </c>
      <c r="L116" s="10">
        <f t="shared" ca="1" si="7"/>
        <v>45404.878290046297</v>
      </c>
    </row>
    <row r="117" spans="6:12" x14ac:dyDescent="0.25">
      <c r="F117" s="11" t="str">
        <f>IF(ISBLANK(D117),"",(VLOOKUP(D117,Cardápio!$A$2:$B$16,2,0))*E117)</f>
        <v/>
      </c>
      <c r="H117" s="7" t="str">
        <f t="shared" ref="H117:H180" si="8">IF(ISBLANK(D117),"",F117-G117)</f>
        <v/>
      </c>
      <c r="I117" s="7" t="str">
        <f>IF(AND(ISBLANK(D117),ISBLANK(C117)),"",((VLOOKUP(D117,Cardápio!$A$2:$C$16,3,0))*E117)+IF(B117="iFood",F117*0.27,(VLOOKUP(VENDAS!C117,Bairros!$A$2:$B$90,2,0))))</f>
        <v/>
      </c>
      <c r="J117" s="7" t="str">
        <f t="shared" ref="J117:J180" si="9">IF(OR(AND(ISBLANK(H117),ISBLANK(I117)),(AND(H117="",I117=""))),"",H117-I117)</f>
        <v/>
      </c>
      <c r="K117" s="9">
        <f t="shared" ref="K117:K180" ca="1" si="10">IF(D117&lt;&gt;"",K117,NOW())</f>
        <v>45404.878290162036</v>
      </c>
      <c r="L117" s="10">
        <f t="shared" ref="L117:L180" ca="1" si="11">IF(D117&lt;&gt;"",L117,NOW())</f>
        <v>45404.878290046297</v>
      </c>
    </row>
    <row r="118" spans="6:12" x14ac:dyDescent="0.25">
      <c r="F118" s="11" t="str">
        <f>IF(ISBLANK(D118),"",(VLOOKUP(D118,Cardápio!$A$2:$B$16,2,0))*E118)</f>
        <v/>
      </c>
      <c r="H118" s="7" t="str">
        <f t="shared" si="8"/>
        <v/>
      </c>
      <c r="I118" s="7" t="str">
        <f>IF(AND(ISBLANK(D118),ISBLANK(C118)),"",((VLOOKUP(D118,Cardápio!$A$2:$C$16,3,0))*E118)+IF(B118="iFood",F118*0.27,(VLOOKUP(VENDAS!C118,Bairros!$A$2:$B$90,2,0))))</f>
        <v/>
      </c>
      <c r="J118" s="7" t="str">
        <f t="shared" si="9"/>
        <v/>
      </c>
      <c r="K118" s="9">
        <f t="shared" ca="1" si="10"/>
        <v>45404.878290046297</v>
      </c>
      <c r="L118" s="10">
        <f t="shared" ca="1" si="11"/>
        <v>45404.878290046297</v>
      </c>
    </row>
    <row r="119" spans="6:12" x14ac:dyDescent="0.25">
      <c r="F119" s="11" t="str">
        <f>IF(ISBLANK(D119),"",(VLOOKUP(D119,Cardápio!$A$2:$B$16,2,0))*E119)</f>
        <v/>
      </c>
      <c r="H119" s="7" t="str">
        <f t="shared" si="8"/>
        <v/>
      </c>
      <c r="I119" s="7" t="str">
        <f>IF(AND(ISBLANK(D119),ISBLANK(C119)),"",((VLOOKUP(D119,Cardápio!$A$2:$C$16,3,0))*E119)+IF(B119="iFood",F119*0.27,(VLOOKUP(VENDAS!C119,Bairros!$A$2:$B$90,2,0))))</f>
        <v/>
      </c>
      <c r="J119" s="7" t="str">
        <f t="shared" si="9"/>
        <v/>
      </c>
      <c r="K119" s="9">
        <f t="shared" ca="1" si="10"/>
        <v>45404.878290046297</v>
      </c>
      <c r="L119" s="10">
        <f t="shared" ca="1" si="11"/>
        <v>45404.878290046297</v>
      </c>
    </row>
    <row r="120" spans="6:12" x14ac:dyDescent="0.25">
      <c r="F120" s="11" t="str">
        <f>IF(ISBLANK(D120),"",(VLOOKUP(D120,Cardápio!$A$2:$B$16,2,0))*E120)</f>
        <v/>
      </c>
      <c r="H120" s="7" t="str">
        <f t="shared" si="8"/>
        <v/>
      </c>
      <c r="I120" s="7" t="str">
        <f>IF(AND(ISBLANK(D120),ISBLANK(C120)),"",((VLOOKUP(D120,Cardápio!$A$2:$C$16,3,0))*E120)+IF(B120="iFood",F120*0.27,(VLOOKUP(VENDAS!C120,Bairros!$A$2:$B$90,2,0))))</f>
        <v/>
      </c>
      <c r="J120" s="7" t="str">
        <f t="shared" si="9"/>
        <v/>
      </c>
      <c r="K120" s="9">
        <f t="shared" ca="1" si="10"/>
        <v>45404.878290046297</v>
      </c>
      <c r="L120" s="10">
        <f t="shared" ca="1" si="11"/>
        <v>45404.878290046297</v>
      </c>
    </row>
    <row r="121" spans="6:12" x14ac:dyDescent="0.25">
      <c r="F121" s="11" t="str">
        <f>IF(ISBLANK(D121),"",(VLOOKUP(D121,Cardápio!$A$2:$B$16,2,0))*E121)</f>
        <v/>
      </c>
      <c r="H121" s="7" t="str">
        <f t="shared" si="8"/>
        <v/>
      </c>
      <c r="I121" s="7" t="str">
        <f>IF(AND(ISBLANK(D121),ISBLANK(C121)),"",((VLOOKUP(D121,Cardápio!$A$2:$C$16,3,0))*E121)+IF(B121="iFood",F121*0.27,(VLOOKUP(VENDAS!C121,Bairros!$A$2:$B$90,2,0))))</f>
        <v/>
      </c>
      <c r="J121" s="7" t="str">
        <f t="shared" si="9"/>
        <v/>
      </c>
      <c r="K121" s="9">
        <f t="shared" ca="1" si="10"/>
        <v>45404.878290162036</v>
      </c>
      <c r="L121" s="10">
        <f t="shared" ca="1" si="11"/>
        <v>45404.878290046297</v>
      </c>
    </row>
    <row r="122" spans="6:12" x14ac:dyDescent="0.25">
      <c r="F122" s="11" t="str">
        <f>IF(ISBLANK(D122),"",(VLOOKUP(D122,Cardápio!$A$2:$B$16,2,0))*E122)</f>
        <v/>
      </c>
      <c r="H122" s="7" t="str">
        <f t="shared" si="8"/>
        <v/>
      </c>
      <c r="I122" s="7" t="str">
        <f>IF(AND(ISBLANK(D122),ISBLANK(C122)),"",((VLOOKUP(D122,Cardápio!$A$2:$C$16,3,0))*E122)+IF(B122="iFood",F122*0.27,(VLOOKUP(VENDAS!C122,Bairros!$A$2:$B$90,2,0))))</f>
        <v/>
      </c>
      <c r="J122" s="7" t="str">
        <f t="shared" si="9"/>
        <v/>
      </c>
      <c r="K122" s="9">
        <f t="shared" ca="1" si="10"/>
        <v>45404.878290046297</v>
      </c>
      <c r="L122" s="10">
        <f t="shared" ca="1" si="11"/>
        <v>45404.878290046297</v>
      </c>
    </row>
    <row r="123" spans="6:12" x14ac:dyDescent="0.25">
      <c r="F123" s="11" t="str">
        <f>IF(ISBLANK(D123),"",(VLOOKUP(D123,Cardápio!$A$2:$B$16,2,0))*E123)</f>
        <v/>
      </c>
      <c r="H123" s="7" t="str">
        <f t="shared" si="8"/>
        <v/>
      </c>
      <c r="I123" s="7" t="str">
        <f>IF(AND(ISBLANK(D123),ISBLANK(C123)),"",((VLOOKUP(D123,Cardápio!$A$2:$C$16,3,0))*E123)+IF(B123="iFood",F123*0.27,(VLOOKUP(VENDAS!C123,Bairros!$A$2:$B$90,2,0))))</f>
        <v/>
      </c>
      <c r="J123" s="7" t="str">
        <f t="shared" si="9"/>
        <v/>
      </c>
      <c r="K123" s="9">
        <f t="shared" ca="1" si="10"/>
        <v>45404.878290046297</v>
      </c>
      <c r="L123" s="10">
        <f t="shared" ca="1" si="11"/>
        <v>45404.878290046297</v>
      </c>
    </row>
    <row r="124" spans="6:12" x14ac:dyDescent="0.25">
      <c r="F124" s="11" t="str">
        <f>IF(ISBLANK(D124),"",(VLOOKUP(D124,Cardápio!$A$2:$B$16,2,0))*E124)</f>
        <v/>
      </c>
      <c r="H124" s="7" t="str">
        <f t="shared" si="8"/>
        <v/>
      </c>
      <c r="I124" s="7" t="str">
        <f>IF(AND(ISBLANK(D124),ISBLANK(C124)),"",((VLOOKUP(D124,Cardápio!$A$2:$C$16,3,0))*E124)+IF(B124="iFood",F124*0.27,(VLOOKUP(VENDAS!C124,Bairros!$A$2:$B$90,2,0))))</f>
        <v/>
      </c>
      <c r="J124" s="7" t="str">
        <f t="shared" si="9"/>
        <v/>
      </c>
      <c r="K124" s="9">
        <f t="shared" ca="1" si="10"/>
        <v>45404.878290046297</v>
      </c>
      <c r="L124" s="10">
        <f t="shared" ca="1" si="11"/>
        <v>45404.878290046297</v>
      </c>
    </row>
    <row r="125" spans="6:12" x14ac:dyDescent="0.25">
      <c r="F125" s="11" t="str">
        <f>IF(ISBLANK(D125),"",(VLOOKUP(D125,Cardápio!$A$2:$B$16,2,0))*E125)</f>
        <v/>
      </c>
      <c r="H125" s="7" t="str">
        <f t="shared" si="8"/>
        <v/>
      </c>
      <c r="I125" s="7" t="str">
        <f>IF(AND(ISBLANK(D125),ISBLANK(C125)),"",((VLOOKUP(D125,Cardápio!$A$2:$C$16,3,0))*E125)+IF(B125="iFood",F125*0.27,(VLOOKUP(VENDAS!C125,Bairros!$A$2:$B$90,2,0))))</f>
        <v/>
      </c>
      <c r="J125" s="7" t="str">
        <f t="shared" si="9"/>
        <v/>
      </c>
      <c r="K125" s="9">
        <f t="shared" ca="1" si="10"/>
        <v>45404.878290162036</v>
      </c>
      <c r="L125" s="10">
        <f t="shared" ca="1" si="11"/>
        <v>45404.878290046297</v>
      </c>
    </row>
    <row r="126" spans="6:12" x14ac:dyDescent="0.25">
      <c r="F126" s="11" t="str">
        <f>IF(ISBLANK(D126),"",(VLOOKUP(D126,Cardápio!$A$2:$B$16,2,0))*E126)</f>
        <v/>
      </c>
      <c r="H126" s="7" t="str">
        <f t="shared" si="8"/>
        <v/>
      </c>
      <c r="I126" s="7" t="str">
        <f>IF(AND(ISBLANK(D126),ISBLANK(C126)),"",((VLOOKUP(D126,Cardápio!$A$2:$C$16,3,0))*E126)+IF(B126="iFood",F126*0.27,(VLOOKUP(VENDAS!C126,Bairros!$A$2:$B$90,2,0))))</f>
        <v/>
      </c>
      <c r="J126" s="7" t="str">
        <f t="shared" si="9"/>
        <v/>
      </c>
      <c r="K126" s="9">
        <f t="shared" ca="1" si="10"/>
        <v>45404.878290046297</v>
      </c>
      <c r="L126" s="10">
        <f t="shared" ca="1" si="11"/>
        <v>45404.878290046297</v>
      </c>
    </row>
    <row r="127" spans="6:12" x14ac:dyDescent="0.25">
      <c r="F127" s="11" t="str">
        <f>IF(ISBLANK(D127),"",(VLOOKUP(D127,Cardápio!$A$2:$B$16,2,0))*E127)</f>
        <v/>
      </c>
      <c r="H127" s="7" t="str">
        <f t="shared" si="8"/>
        <v/>
      </c>
      <c r="I127" s="7" t="str">
        <f>IF(AND(ISBLANK(D127),ISBLANK(C127)),"",((VLOOKUP(D127,Cardápio!$A$2:$C$16,3,0))*E127)+IF(B127="iFood",F127*0.27,(VLOOKUP(VENDAS!C127,Bairros!$A$2:$B$90,2,0))))</f>
        <v/>
      </c>
      <c r="J127" s="7" t="str">
        <f t="shared" si="9"/>
        <v/>
      </c>
      <c r="K127" s="9">
        <f t="shared" ca="1" si="10"/>
        <v>45404.878290046297</v>
      </c>
      <c r="L127" s="10">
        <f t="shared" ca="1" si="11"/>
        <v>45404.878290046297</v>
      </c>
    </row>
    <row r="128" spans="6:12" x14ac:dyDescent="0.25">
      <c r="F128" s="11" t="str">
        <f>IF(ISBLANK(D128),"",(VLOOKUP(D128,Cardápio!$A$2:$B$16,2,0))*E128)</f>
        <v/>
      </c>
      <c r="H128" s="7" t="str">
        <f t="shared" si="8"/>
        <v/>
      </c>
      <c r="I128" s="7" t="str">
        <f>IF(AND(ISBLANK(D128),ISBLANK(C128)),"",((VLOOKUP(D128,Cardápio!$A$2:$C$16,3,0))*E128)+IF(B128="iFood",F128*0.27,(VLOOKUP(VENDAS!C128,Bairros!$A$2:$B$90,2,0))))</f>
        <v/>
      </c>
      <c r="J128" s="7" t="str">
        <f t="shared" si="9"/>
        <v/>
      </c>
      <c r="K128" s="9">
        <f t="shared" ca="1" si="10"/>
        <v>45404.878290046297</v>
      </c>
      <c r="L128" s="10">
        <f t="shared" ca="1" si="11"/>
        <v>45404.878290046297</v>
      </c>
    </row>
    <row r="129" spans="6:12" x14ac:dyDescent="0.25">
      <c r="F129" s="11" t="str">
        <f>IF(ISBLANK(D129),"",(VLOOKUP(D129,Cardápio!$A$2:$B$16,2,0))*E129)</f>
        <v/>
      </c>
      <c r="H129" s="7" t="str">
        <f t="shared" si="8"/>
        <v/>
      </c>
      <c r="I129" s="7" t="str">
        <f>IF(AND(ISBLANK(D129),ISBLANK(C129)),"",((VLOOKUP(D129,Cardápio!$A$2:$C$16,3,0))*E129)+IF(B129="iFood",F129*0.27,(VLOOKUP(VENDAS!C129,Bairros!$A$2:$B$90,2,0))))</f>
        <v/>
      </c>
      <c r="J129" s="7" t="str">
        <f t="shared" si="9"/>
        <v/>
      </c>
      <c r="K129" s="9">
        <f t="shared" ca="1" si="10"/>
        <v>45404.878290162036</v>
      </c>
      <c r="L129" s="10">
        <f t="shared" ca="1" si="11"/>
        <v>45404.878290046297</v>
      </c>
    </row>
    <row r="130" spans="6:12" x14ac:dyDescent="0.25">
      <c r="F130" s="11" t="str">
        <f>IF(ISBLANK(D130),"",(VLOOKUP(D130,Cardápio!$A$2:$B$16,2,0))*E130)</f>
        <v/>
      </c>
      <c r="H130" s="7" t="str">
        <f t="shared" si="8"/>
        <v/>
      </c>
      <c r="I130" s="7" t="str">
        <f>IF(AND(ISBLANK(D130),ISBLANK(C130)),"",((VLOOKUP(D130,Cardápio!$A$2:$C$16,3,0))*E130)+IF(B130="iFood",F130*0.27,(VLOOKUP(VENDAS!C130,Bairros!$A$2:$B$90,2,0))))</f>
        <v/>
      </c>
      <c r="J130" s="7" t="str">
        <f t="shared" si="9"/>
        <v/>
      </c>
      <c r="K130" s="9">
        <f t="shared" ca="1" si="10"/>
        <v>45404.878290046297</v>
      </c>
      <c r="L130" s="10">
        <f t="shared" ca="1" si="11"/>
        <v>45404.878290046297</v>
      </c>
    </row>
    <row r="131" spans="6:12" x14ac:dyDescent="0.25">
      <c r="F131" s="11" t="str">
        <f>IF(ISBLANK(D131),"",(VLOOKUP(D131,Cardápio!$A$2:$B$16,2,0))*E131)</f>
        <v/>
      </c>
      <c r="H131" s="7" t="str">
        <f t="shared" si="8"/>
        <v/>
      </c>
      <c r="I131" s="7" t="str">
        <f>IF(AND(ISBLANK(D131),ISBLANK(C131)),"",((VLOOKUP(D131,Cardápio!$A$2:$C$16,3,0))*E131)+IF(B131="iFood",F131*0.27,(VLOOKUP(VENDAS!C131,Bairros!$A$2:$B$90,2,0))))</f>
        <v/>
      </c>
      <c r="J131" s="7" t="str">
        <f t="shared" si="9"/>
        <v/>
      </c>
      <c r="K131" s="9">
        <f t="shared" ca="1" si="10"/>
        <v>45404.878290046297</v>
      </c>
      <c r="L131" s="10">
        <f t="shared" ca="1" si="11"/>
        <v>45404.878290046297</v>
      </c>
    </row>
    <row r="132" spans="6:12" x14ac:dyDescent="0.25">
      <c r="F132" s="11" t="str">
        <f>IF(ISBLANK(D132),"",(VLOOKUP(D132,Cardápio!$A$2:$B$16,2,0))*E132)</f>
        <v/>
      </c>
      <c r="H132" s="7" t="str">
        <f t="shared" si="8"/>
        <v/>
      </c>
      <c r="I132" s="7" t="str">
        <f>IF(AND(ISBLANK(D132),ISBLANK(C132)),"",((VLOOKUP(D132,Cardápio!$A$2:$C$16,3,0))*E132)+IF(B132="iFood",F132*0.27,(VLOOKUP(VENDAS!C132,Bairros!$A$2:$B$90,2,0))))</f>
        <v/>
      </c>
      <c r="J132" s="7" t="str">
        <f t="shared" si="9"/>
        <v/>
      </c>
      <c r="K132" s="9">
        <f t="shared" ca="1" si="10"/>
        <v>45404.878290046297</v>
      </c>
      <c r="L132" s="10">
        <f t="shared" ca="1" si="11"/>
        <v>45404.878290046297</v>
      </c>
    </row>
    <row r="133" spans="6:12" x14ac:dyDescent="0.25">
      <c r="F133" s="11" t="str">
        <f>IF(ISBLANK(D133),"",(VLOOKUP(D133,Cardápio!$A$2:$B$16,2,0))*E133)</f>
        <v/>
      </c>
      <c r="H133" s="7" t="str">
        <f t="shared" si="8"/>
        <v/>
      </c>
      <c r="I133" s="7" t="str">
        <f>IF(AND(ISBLANK(D133),ISBLANK(C133)),"",((VLOOKUP(D133,Cardápio!$A$2:$C$16,3,0))*E133)+IF(B133="iFood",F133*0.27,(VLOOKUP(VENDAS!C133,Bairros!$A$2:$B$90,2,0))))</f>
        <v/>
      </c>
      <c r="J133" s="7" t="str">
        <f t="shared" si="9"/>
        <v/>
      </c>
      <c r="K133" s="9">
        <f t="shared" ca="1" si="10"/>
        <v>45404.878290162036</v>
      </c>
      <c r="L133" s="10">
        <f t="shared" ca="1" si="11"/>
        <v>45404.878290046297</v>
      </c>
    </row>
    <row r="134" spans="6:12" x14ac:dyDescent="0.25">
      <c r="F134" s="11" t="str">
        <f>IF(ISBLANK(D134),"",(VLOOKUP(D134,Cardápio!$A$2:$B$16,2,0))*E134)</f>
        <v/>
      </c>
      <c r="H134" s="7" t="str">
        <f t="shared" si="8"/>
        <v/>
      </c>
      <c r="I134" s="7" t="str">
        <f>IF(AND(ISBLANK(D134),ISBLANK(C134)),"",((VLOOKUP(D134,Cardápio!$A$2:$C$16,3,0))*E134)+IF(B134="iFood",F134*0.27,(VLOOKUP(VENDAS!C134,Bairros!$A$2:$B$90,2,0))))</f>
        <v/>
      </c>
      <c r="J134" s="7" t="str">
        <f t="shared" si="9"/>
        <v/>
      </c>
      <c r="K134" s="9">
        <f t="shared" ca="1" si="10"/>
        <v>45404.878290046297</v>
      </c>
      <c r="L134" s="10">
        <f t="shared" ca="1" si="11"/>
        <v>45404.878290046297</v>
      </c>
    </row>
    <row r="135" spans="6:12" x14ac:dyDescent="0.25">
      <c r="F135" s="11" t="str">
        <f>IF(ISBLANK(D135),"",(VLOOKUP(D135,Cardápio!$A$2:$B$16,2,0))*E135)</f>
        <v/>
      </c>
      <c r="H135" s="7" t="str">
        <f t="shared" si="8"/>
        <v/>
      </c>
      <c r="I135" s="7" t="str">
        <f>IF(AND(ISBLANK(D135),ISBLANK(C135)),"",((VLOOKUP(D135,Cardápio!$A$2:$C$16,3,0))*E135)+IF(B135="iFood",F135*0.27,(VLOOKUP(VENDAS!C135,Bairros!$A$2:$B$90,2,0))))</f>
        <v/>
      </c>
      <c r="J135" s="7" t="str">
        <f t="shared" si="9"/>
        <v/>
      </c>
      <c r="K135" s="9">
        <f t="shared" ca="1" si="10"/>
        <v>45404.878290046297</v>
      </c>
      <c r="L135" s="10">
        <f t="shared" ca="1" si="11"/>
        <v>45404.878290046297</v>
      </c>
    </row>
    <row r="136" spans="6:12" x14ac:dyDescent="0.25">
      <c r="F136" s="11" t="str">
        <f>IF(ISBLANK(D136),"",(VLOOKUP(D136,Cardápio!$A$2:$B$16,2,0))*E136)</f>
        <v/>
      </c>
      <c r="H136" s="7" t="str">
        <f t="shared" si="8"/>
        <v/>
      </c>
      <c r="I136" s="7" t="str">
        <f>IF(AND(ISBLANK(D136),ISBLANK(C136)),"",((VLOOKUP(D136,Cardápio!$A$2:$C$16,3,0))*E136)+IF(B136="iFood",F136*0.27,(VLOOKUP(VENDAS!C136,Bairros!$A$2:$B$90,2,0))))</f>
        <v/>
      </c>
      <c r="J136" s="7" t="str">
        <f t="shared" si="9"/>
        <v/>
      </c>
      <c r="K136" s="9">
        <f t="shared" ca="1" si="10"/>
        <v>45404.878290046297</v>
      </c>
      <c r="L136" s="10">
        <f t="shared" ca="1" si="11"/>
        <v>45404.878290046297</v>
      </c>
    </row>
    <row r="137" spans="6:12" x14ac:dyDescent="0.25">
      <c r="F137" s="11" t="str">
        <f>IF(ISBLANK(D137),"",(VLOOKUP(D137,Cardápio!$A$2:$B$16,2,0))*E137)</f>
        <v/>
      </c>
      <c r="H137" s="7" t="str">
        <f t="shared" si="8"/>
        <v/>
      </c>
      <c r="I137" s="7" t="str">
        <f>IF(AND(ISBLANK(D137),ISBLANK(C137)),"",((VLOOKUP(D137,Cardápio!$A$2:$C$16,3,0))*E137)+IF(B137="iFood",F137*0.27,(VLOOKUP(VENDAS!C137,Bairros!$A$2:$B$90,2,0))))</f>
        <v/>
      </c>
      <c r="J137" s="7" t="str">
        <f t="shared" si="9"/>
        <v/>
      </c>
      <c r="K137" s="9">
        <f t="shared" ca="1" si="10"/>
        <v>45404.878290162036</v>
      </c>
      <c r="L137" s="10">
        <f t="shared" ca="1" si="11"/>
        <v>45404.878290046297</v>
      </c>
    </row>
    <row r="138" spans="6:12" x14ac:dyDescent="0.25">
      <c r="F138" s="11" t="str">
        <f>IF(ISBLANK(D138),"",(VLOOKUP(D138,Cardápio!$A$2:$B$16,2,0))*E138)</f>
        <v/>
      </c>
      <c r="H138" s="7" t="str">
        <f t="shared" si="8"/>
        <v/>
      </c>
      <c r="I138" s="7" t="str">
        <f>IF(AND(ISBLANK(D138),ISBLANK(C138)),"",((VLOOKUP(D138,Cardápio!$A$2:$C$16,3,0))*E138)+IF(B138="iFood",F138*0.27,(VLOOKUP(VENDAS!C138,Bairros!$A$2:$B$90,2,0))))</f>
        <v/>
      </c>
      <c r="J138" s="7" t="str">
        <f t="shared" si="9"/>
        <v/>
      </c>
      <c r="K138" s="9">
        <f t="shared" ca="1" si="10"/>
        <v>45404.878290046297</v>
      </c>
      <c r="L138" s="10">
        <f t="shared" ca="1" si="11"/>
        <v>45404.878290046297</v>
      </c>
    </row>
    <row r="139" spans="6:12" x14ac:dyDescent="0.25">
      <c r="F139" s="11" t="str">
        <f>IF(ISBLANK(D139),"",(VLOOKUP(D139,Cardápio!$A$2:$B$16,2,0))*E139)</f>
        <v/>
      </c>
      <c r="H139" s="7" t="str">
        <f t="shared" si="8"/>
        <v/>
      </c>
      <c r="I139" s="7" t="str">
        <f>IF(AND(ISBLANK(D139),ISBLANK(C139)),"",((VLOOKUP(D139,Cardápio!$A$2:$C$16,3,0))*E139)+IF(B139="iFood",F139*0.27,(VLOOKUP(VENDAS!C139,Bairros!$A$2:$B$90,2,0))))</f>
        <v/>
      </c>
      <c r="J139" s="7" t="str">
        <f t="shared" si="9"/>
        <v/>
      </c>
      <c r="K139" s="9">
        <f t="shared" ca="1" si="10"/>
        <v>45404.878290046297</v>
      </c>
      <c r="L139" s="10">
        <f t="shared" ca="1" si="11"/>
        <v>45404.878290046297</v>
      </c>
    </row>
    <row r="140" spans="6:12" x14ac:dyDescent="0.25">
      <c r="F140" s="11" t="str">
        <f>IF(ISBLANK(D140),"",(VLOOKUP(D140,Cardápio!$A$2:$B$16,2,0))*E140)</f>
        <v/>
      </c>
      <c r="H140" s="7" t="str">
        <f t="shared" si="8"/>
        <v/>
      </c>
      <c r="I140" s="7" t="str">
        <f>IF(AND(ISBLANK(D140),ISBLANK(C140)),"",((VLOOKUP(D140,Cardápio!$A$2:$C$16,3,0))*E140)+IF(B140="iFood",F140*0.27,(VLOOKUP(VENDAS!C140,Bairros!$A$2:$B$90,2,0))))</f>
        <v/>
      </c>
      <c r="J140" s="7" t="str">
        <f t="shared" si="9"/>
        <v/>
      </c>
      <c r="K140" s="9">
        <f t="shared" ca="1" si="10"/>
        <v>45404.878290046297</v>
      </c>
      <c r="L140" s="10">
        <f t="shared" ca="1" si="11"/>
        <v>45404.878290046297</v>
      </c>
    </row>
    <row r="141" spans="6:12" x14ac:dyDescent="0.25">
      <c r="F141" s="11" t="str">
        <f>IF(ISBLANK(D141),"",(VLOOKUP(D141,Cardápio!$A$2:$B$16,2,0))*E141)</f>
        <v/>
      </c>
      <c r="H141" s="7" t="str">
        <f t="shared" si="8"/>
        <v/>
      </c>
      <c r="I141" s="7" t="str">
        <f>IF(AND(ISBLANK(D141),ISBLANK(C141)),"",((VLOOKUP(D141,Cardápio!$A$2:$C$16,3,0))*E141)+IF(B141="iFood",F141*0.27,(VLOOKUP(VENDAS!C141,Bairros!$A$2:$B$90,2,0))))</f>
        <v/>
      </c>
      <c r="J141" s="7" t="str">
        <f t="shared" si="9"/>
        <v/>
      </c>
      <c r="K141" s="9">
        <f t="shared" ca="1" si="10"/>
        <v>45404.878290162036</v>
      </c>
      <c r="L141" s="10">
        <f t="shared" ca="1" si="11"/>
        <v>45404.878290046297</v>
      </c>
    </row>
    <row r="142" spans="6:12" x14ac:dyDescent="0.25">
      <c r="F142" s="11" t="str">
        <f>IF(ISBLANK(D142),"",(VLOOKUP(D142,Cardápio!$A$2:$B$16,2,0))*E142)</f>
        <v/>
      </c>
      <c r="H142" s="7" t="str">
        <f t="shared" si="8"/>
        <v/>
      </c>
      <c r="I142" s="7" t="str">
        <f>IF(AND(ISBLANK(D142),ISBLANK(C142)),"",((VLOOKUP(D142,Cardápio!$A$2:$C$16,3,0))*E142)+IF(B142="iFood",F142*0.27,(VLOOKUP(VENDAS!C142,Bairros!$A$2:$B$90,2,0))))</f>
        <v/>
      </c>
      <c r="J142" s="7" t="str">
        <f t="shared" si="9"/>
        <v/>
      </c>
      <c r="K142" s="9">
        <f t="shared" ca="1" si="10"/>
        <v>45404.878290046297</v>
      </c>
      <c r="L142" s="10">
        <f t="shared" ca="1" si="11"/>
        <v>45404.878290046297</v>
      </c>
    </row>
    <row r="143" spans="6:12" x14ac:dyDescent="0.25">
      <c r="F143" s="11" t="str">
        <f>IF(ISBLANK(D143),"",(VLOOKUP(D143,Cardápio!$A$2:$B$16,2,0))*E143)</f>
        <v/>
      </c>
      <c r="H143" s="7" t="str">
        <f t="shared" si="8"/>
        <v/>
      </c>
      <c r="I143" s="7" t="str">
        <f>IF(AND(ISBLANK(D143),ISBLANK(C143)),"",((VLOOKUP(D143,Cardápio!$A$2:$C$16,3,0))*E143)+IF(B143="iFood",F143*0.27,(VLOOKUP(VENDAS!C143,Bairros!$A$2:$B$90,2,0))))</f>
        <v/>
      </c>
      <c r="J143" s="7" t="str">
        <f t="shared" si="9"/>
        <v/>
      </c>
      <c r="K143" s="9">
        <f t="shared" ca="1" si="10"/>
        <v>45404.878290046297</v>
      </c>
      <c r="L143" s="10">
        <f t="shared" ca="1" si="11"/>
        <v>45404.878290046297</v>
      </c>
    </row>
    <row r="144" spans="6:12" x14ac:dyDescent="0.25">
      <c r="F144" s="11" t="str">
        <f>IF(ISBLANK(D144),"",(VLOOKUP(D144,Cardápio!$A$2:$B$16,2,0))*E144)</f>
        <v/>
      </c>
      <c r="H144" s="7" t="str">
        <f t="shared" si="8"/>
        <v/>
      </c>
      <c r="I144" s="7" t="str">
        <f>IF(AND(ISBLANK(D144),ISBLANK(C144)),"",((VLOOKUP(D144,Cardápio!$A$2:$C$16,3,0))*E144)+IF(B144="iFood",F144*0.27,(VLOOKUP(VENDAS!C144,Bairros!$A$2:$B$90,2,0))))</f>
        <v/>
      </c>
      <c r="J144" s="7" t="str">
        <f t="shared" si="9"/>
        <v/>
      </c>
      <c r="K144" s="9">
        <f t="shared" ca="1" si="10"/>
        <v>45404.878290046297</v>
      </c>
      <c r="L144" s="10">
        <f t="shared" ca="1" si="11"/>
        <v>45404.878290046297</v>
      </c>
    </row>
    <row r="145" spans="6:12" x14ac:dyDescent="0.25">
      <c r="F145" s="11" t="str">
        <f>IF(ISBLANK(D145),"",(VLOOKUP(D145,Cardápio!$A$2:$B$16,2,0))*E145)</f>
        <v/>
      </c>
      <c r="H145" s="7" t="str">
        <f t="shared" si="8"/>
        <v/>
      </c>
      <c r="I145" s="7" t="str">
        <f>IF(AND(ISBLANK(D145),ISBLANK(C145)),"",((VLOOKUP(D145,Cardápio!$A$2:$C$16,3,0))*E145)+IF(B145="iFood",F145*0.27,(VLOOKUP(VENDAS!C145,Bairros!$A$2:$B$90,2,0))))</f>
        <v/>
      </c>
      <c r="J145" s="7" t="str">
        <f t="shared" si="9"/>
        <v/>
      </c>
      <c r="K145" s="9">
        <f t="shared" ca="1" si="10"/>
        <v>45404.878290162036</v>
      </c>
      <c r="L145" s="10">
        <f t="shared" ca="1" si="11"/>
        <v>45404.878290046297</v>
      </c>
    </row>
    <row r="146" spans="6:12" x14ac:dyDescent="0.25">
      <c r="F146" s="11" t="str">
        <f>IF(ISBLANK(D146),"",(VLOOKUP(D146,Cardápio!$A$2:$B$16,2,0))*E146)</f>
        <v/>
      </c>
      <c r="H146" s="7" t="str">
        <f t="shared" si="8"/>
        <v/>
      </c>
      <c r="I146" s="7" t="str">
        <f>IF(AND(ISBLANK(D146),ISBLANK(C146)),"",((VLOOKUP(D146,Cardápio!$A$2:$C$16,3,0))*E146)+IF(B146="iFood",F146*0.27,(VLOOKUP(VENDAS!C146,Bairros!$A$2:$B$90,2,0))))</f>
        <v/>
      </c>
      <c r="J146" s="7" t="str">
        <f t="shared" si="9"/>
        <v/>
      </c>
      <c r="K146" s="9">
        <f t="shared" ca="1" si="10"/>
        <v>45404.878290046297</v>
      </c>
      <c r="L146" s="10">
        <f t="shared" ca="1" si="11"/>
        <v>45404.878290046297</v>
      </c>
    </row>
    <row r="147" spans="6:12" x14ac:dyDescent="0.25">
      <c r="F147" s="11" t="str">
        <f>IF(ISBLANK(D147),"",(VLOOKUP(D147,Cardápio!$A$2:$B$16,2,0))*E147)</f>
        <v/>
      </c>
      <c r="H147" s="7" t="str">
        <f t="shared" si="8"/>
        <v/>
      </c>
      <c r="I147" s="7" t="str">
        <f>IF(AND(ISBLANK(D147),ISBLANK(C147)),"",((VLOOKUP(D147,Cardápio!$A$2:$C$16,3,0))*E147)+IF(B147="iFood",F147*0.27,(VLOOKUP(VENDAS!C147,Bairros!$A$2:$B$90,2,0))))</f>
        <v/>
      </c>
      <c r="J147" s="7" t="str">
        <f t="shared" si="9"/>
        <v/>
      </c>
      <c r="K147" s="9">
        <f t="shared" ca="1" si="10"/>
        <v>45404.878290046297</v>
      </c>
      <c r="L147" s="10">
        <f t="shared" ca="1" si="11"/>
        <v>45404.878290046297</v>
      </c>
    </row>
    <row r="148" spans="6:12" x14ac:dyDescent="0.25">
      <c r="F148" s="11" t="str">
        <f>IF(ISBLANK(D148),"",(VLOOKUP(D148,Cardápio!$A$2:$B$16,2,0))*E148)</f>
        <v/>
      </c>
      <c r="H148" s="7" t="str">
        <f t="shared" si="8"/>
        <v/>
      </c>
      <c r="I148" s="7" t="str">
        <f>IF(AND(ISBLANK(D148),ISBLANK(C148)),"",((VLOOKUP(D148,Cardápio!$A$2:$C$16,3,0))*E148)+IF(B148="iFood",F148*0.27,(VLOOKUP(VENDAS!C148,Bairros!$A$2:$B$90,2,0))))</f>
        <v/>
      </c>
      <c r="J148" s="7" t="str">
        <f t="shared" si="9"/>
        <v/>
      </c>
      <c r="K148" s="9">
        <f t="shared" ca="1" si="10"/>
        <v>45404.878290046297</v>
      </c>
      <c r="L148" s="10">
        <f t="shared" ca="1" si="11"/>
        <v>45404.878290046297</v>
      </c>
    </row>
    <row r="149" spans="6:12" x14ac:dyDescent="0.25">
      <c r="F149" s="11" t="str">
        <f>IF(ISBLANK(D149),"",(VLOOKUP(D149,Cardápio!$A$2:$B$16,2,0))*E149)</f>
        <v/>
      </c>
      <c r="H149" s="7" t="str">
        <f t="shared" si="8"/>
        <v/>
      </c>
      <c r="I149" s="7" t="str">
        <f>IF(AND(ISBLANK(D149),ISBLANK(C149)),"",((VLOOKUP(D149,Cardápio!$A$2:$C$16,3,0))*E149)+IF(B149="iFood",F149*0.27,(VLOOKUP(VENDAS!C149,Bairros!$A$2:$B$90,2,0))))</f>
        <v/>
      </c>
      <c r="J149" s="7" t="str">
        <f t="shared" si="9"/>
        <v/>
      </c>
      <c r="K149" s="9">
        <f t="shared" ca="1" si="10"/>
        <v>45404.878290162036</v>
      </c>
      <c r="L149" s="10">
        <f t="shared" ca="1" si="11"/>
        <v>45404.878290046297</v>
      </c>
    </row>
    <row r="150" spans="6:12" x14ac:dyDescent="0.25">
      <c r="F150" s="11" t="str">
        <f>IF(ISBLANK(D150),"",(VLOOKUP(D150,Cardápio!$A$2:$B$16,2,0))*E150)</f>
        <v/>
      </c>
      <c r="H150" s="7" t="str">
        <f t="shared" si="8"/>
        <v/>
      </c>
      <c r="I150" s="7" t="str">
        <f>IF(AND(ISBLANK(D150),ISBLANK(C150)),"",((VLOOKUP(D150,Cardápio!$A$2:$C$16,3,0))*E150)+IF(B150="iFood",F150*0.27,(VLOOKUP(VENDAS!C150,Bairros!$A$2:$B$90,2,0))))</f>
        <v/>
      </c>
      <c r="J150" s="7" t="str">
        <f t="shared" si="9"/>
        <v/>
      </c>
      <c r="K150" s="9">
        <f t="shared" ca="1" si="10"/>
        <v>45404.878290046297</v>
      </c>
      <c r="L150" s="10">
        <f t="shared" ca="1" si="11"/>
        <v>45404.878290046297</v>
      </c>
    </row>
    <row r="151" spans="6:12" x14ac:dyDescent="0.25">
      <c r="F151" s="11" t="str">
        <f>IF(ISBLANK(D151),"",(VLOOKUP(D151,Cardápio!$A$2:$B$16,2,0))*E151)</f>
        <v/>
      </c>
      <c r="H151" s="7" t="str">
        <f t="shared" si="8"/>
        <v/>
      </c>
      <c r="I151" s="7" t="str">
        <f>IF(AND(ISBLANK(D151),ISBLANK(C151)),"",((VLOOKUP(D151,Cardápio!$A$2:$C$16,3,0))*E151)+IF(B151="iFood",F151*0.27,(VLOOKUP(VENDAS!C151,Bairros!$A$2:$B$90,2,0))))</f>
        <v/>
      </c>
      <c r="J151" s="7" t="str">
        <f t="shared" si="9"/>
        <v/>
      </c>
      <c r="K151" s="9">
        <f t="shared" ca="1" si="10"/>
        <v>45404.878290046297</v>
      </c>
      <c r="L151" s="10">
        <f t="shared" ca="1" si="11"/>
        <v>45404.878290046297</v>
      </c>
    </row>
    <row r="152" spans="6:12" x14ac:dyDescent="0.25">
      <c r="F152" s="11" t="str">
        <f>IF(ISBLANK(D152),"",(VLOOKUP(D152,Cardápio!$A$2:$B$16,2,0))*E152)</f>
        <v/>
      </c>
      <c r="H152" s="7" t="str">
        <f t="shared" si="8"/>
        <v/>
      </c>
      <c r="I152" s="7" t="str">
        <f>IF(AND(ISBLANK(D152),ISBLANK(C152)),"",((VLOOKUP(D152,Cardápio!$A$2:$C$16,3,0))*E152)+IF(B152="iFood",F152*0.27,(VLOOKUP(VENDAS!C152,Bairros!$A$2:$B$90,2,0))))</f>
        <v/>
      </c>
      <c r="J152" s="7" t="str">
        <f t="shared" si="9"/>
        <v/>
      </c>
      <c r="K152" s="9">
        <f t="shared" ca="1" si="10"/>
        <v>45404.878290046297</v>
      </c>
      <c r="L152" s="10">
        <f t="shared" ca="1" si="11"/>
        <v>45404.878290046297</v>
      </c>
    </row>
    <row r="153" spans="6:12" x14ac:dyDescent="0.25">
      <c r="F153" s="11" t="str">
        <f>IF(ISBLANK(D153),"",(VLOOKUP(D153,Cardápio!$A$2:$B$16,2,0))*E153)</f>
        <v/>
      </c>
      <c r="H153" s="7" t="str">
        <f t="shared" si="8"/>
        <v/>
      </c>
      <c r="I153" s="7" t="str">
        <f>IF(AND(ISBLANK(D153),ISBLANK(C153)),"",((VLOOKUP(D153,Cardápio!$A$2:$C$16,3,0))*E153)+IF(B153="iFood",F153*0.27,(VLOOKUP(VENDAS!C153,Bairros!$A$2:$B$90,2,0))))</f>
        <v/>
      </c>
      <c r="J153" s="7" t="str">
        <f t="shared" si="9"/>
        <v/>
      </c>
      <c r="K153" s="9">
        <f t="shared" ca="1" si="10"/>
        <v>45404.878290162036</v>
      </c>
      <c r="L153" s="10">
        <f t="shared" ca="1" si="11"/>
        <v>45404.878290046297</v>
      </c>
    </row>
    <row r="154" spans="6:12" x14ac:dyDescent="0.25">
      <c r="F154" s="11" t="str">
        <f>IF(ISBLANK(D154),"",(VLOOKUP(D154,Cardápio!$A$2:$B$16,2,0))*E154)</f>
        <v/>
      </c>
      <c r="H154" s="7" t="str">
        <f t="shared" si="8"/>
        <v/>
      </c>
      <c r="I154" s="7" t="str">
        <f>IF(AND(ISBLANK(D154),ISBLANK(C154)),"",((VLOOKUP(D154,Cardápio!$A$2:$C$16,3,0))*E154)+IF(B154="iFood",F154*0.27,(VLOOKUP(VENDAS!C154,Bairros!$A$2:$B$90,2,0))))</f>
        <v/>
      </c>
      <c r="J154" s="7" t="str">
        <f t="shared" si="9"/>
        <v/>
      </c>
      <c r="K154" s="9">
        <f t="shared" ca="1" si="10"/>
        <v>45404.878290046297</v>
      </c>
      <c r="L154" s="10">
        <f t="shared" ca="1" si="11"/>
        <v>45404.878290046297</v>
      </c>
    </row>
    <row r="155" spans="6:12" x14ac:dyDescent="0.25">
      <c r="F155" s="11" t="str">
        <f>IF(ISBLANK(D155),"",(VLOOKUP(D155,Cardápio!$A$2:$B$16,2,0))*E155)</f>
        <v/>
      </c>
      <c r="H155" s="7" t="str">
        <f t="shared" si="8"/>
        <v/>
      </c>
      <c r="I155" s="7" t="str">
        <f>IF(AND(ISBLANK(D155),ISBLANK(C155)),"",((VLOOKUP(D155,Cardápio!$A$2:$C$16,3,0))*E155)+IF(B155="iFood",F155*0.27,(VLOOKUP(VENDAS!C155,Bairros!$A$2:$B$90,2,0))))</f>
        <v/>
      </c>
      <c r="J155" s="7" t="str">
        <f t="shared" si="9"/>
        <v/>
      </c>
      <c r="K155" s="9">
        <f t="shared" ca="1" si="10"/>
        <v>45404.878290046297</v>
      </c>
      <c r="L155" s="10">
        <f t="shared" ca="1" si="11"/>
        <v>45404.878290046297</v>
      </c>
    </row>
    <row r="156" spans="6:12" x14ac:dyDescent="0.25">
      <c r="F156" s="11" t="str">
        <f>IF(ISBLANK(D156),"",(VLOOKUP(D156,Cardápio!$A$2:$B$16,2,0))*E156)</f>
        <v/>
      </c>
      <c r="H156" s="7" t="str">
        <f t="shared" si="8"/>
        <v/>
      </c>
      <c r="I156" s="7" t="str">
        <f>IF(AND(ISBLANK(D156),ISBLANK(C156)),"",((VLOOKUP(D156,Cardápio!$A$2:$C$16,3,0))*E156)+IF(B156="iFood",F156*0.27,(VLOOKUP(VENDAS!C156,Bairros!$A$2:$B$90,2,0))))</f>
        <v/>
      </c>
      <c r="J156" s="7" t="str">
        <f t="shared" si="9"/>
        <v/>
      </c>
      <c r="K156" s="9">
        <f t="shared" ca="1" si="10"/>
        <v>45404.878290046297</v>
      </c>
      <c r="L156" s="10">
        <f t="shared" ca="1" si="11"/>
        <v>45404.878290046297</v>
      </c>
    </row>
    <row r="157" spans="6:12" x14ac:dyDescent="0.25">
      <c r="F157" s="11" t="str">
        <f>IF(ISBLANK(D157),"",(VLOOKUP(D157,Cardápio!$A$2:$B$16,2,0))*E157)</f>
        <v/>
      </c>
      <c r="H157" s="7" t="str">
        <f t="shared" si="8"/>
        <v/>
      </c>
      <c r="I157" s="7" t="str">
        <f>IF(AND(ISBLANK(D157),ISBLANK(C157)),"",((VLOOKUP(D157,Cardápio!$A$2:$C$16,3,0))*E157)+IF(B157="iFood",F157*0.27,(VLOOKUP(VENDAS!C157,Bairros!$A$2:$B$90,2,0))))</f>
        <v/>
      </c>
      <c r="J157" s="7" t="str">
        <f t="shared" si="9"/>
        <v/>
      </c>
      <c r="K157" s="9">
        <f t="shared" ca="1" si="10"/>
        <v>45404.878290162036</v>
      </c>
      <c r="L157" s="10">
        <f t="shared" ca="1" si="11"/>
        <v>45404.878290046297</v>
      </c>
    </row>
    <row r="158" spans="6:12" x14ac:dyDescent="0.25">
      <c r="F158" s="11" t="str">
        <f>IF(ISBLANK(D158),"",(VLOOKUP(D158,Cardápio!$A$2:$B$16,2,0))*E158)</f>
        <v/>
      </c>
      <c r="H158" s="7" t="str">
        <f t="shared" si="8"/>
        <v/>
      </c>
      <c r="I158" s="7" t="str">
        <f>IF(AND(ISBLANK(D158),ISBLANK(C158)),"",((VLOOKUP(D158,Cardápio!$A$2:$C$16,3,0))*E158)+IF(B158="iFood",F158*0.27,(VLOOKUP(VENDAS!C158,Bairros!$A$2:$B$90,2,0))))</f>
        <v/>
      </c>
      <c r="J158" s="7" t="str">
        <f t="shared" si="9"/>
        <v/>
      </c>
      <c r="K158" s="9">
        <f t="shared" ca="1" si="10"/>
        <v>45404.878290046297</v>
      </c>
      <c r="L158" s="10">
        <f t="shared" ca="1" si="11"/>
        <v>45404.878290046297</v>
      </c>
    </row>
    <row r="159" spans="6:12" x14ac:dyDescent="0.25">
      <c r="F159" s="11" t="str">
        <f>IF(ISBLANK(D159),"",(VLOOKUP(D159,Cardápio!$A$2:$B$16,2,0))*E159)</f>
        <v/>
      </c>
      <c r="H159" s="7" t="str">
        <f t="shared" si="8"/>
        <v/>
      </c>
      <c r="I159" s="7" t="str">
        <f>IF(AND(ISBLANK(D159),ISBLANK(C159)),"",((VLOOKUP(D159,Cardápio!$A$2:$C$16,3,0))*E159)+IF(B159="iFood",F159*0.27,(VLOOKUP(VENDAS!C159,Bairros!$A$2:$B$90,2,0))))</f>
        <v/>
      </c>
      <c r="J159" s="7" t="str">
        <f t="shared" si="9"/>
        <v/>
      </c>
      <c r="K159" s="9">
        <f t="shared" ca="1" si="10"/>
        <v>45404.878290046297</v>
      </c>
      <c r="L159" s="10">
        <f t="shared" ca="1" si="11"/>
        <v>45404.878290046297</v>
      </c>
    </row>
    <row r="160" spans="6:12" x14ac:dyDescent="0.25">
      <c r="F160" s="11" t="str">
        <f>IF(ISBLANK(D160),"",(VLOOKUP(D160,Cardápio!$A$2:$B$16,2,0))*E160)</f>
        <v/>
      </c>
      <c r="H160" s="7" t="str">
        <f t="shared" si="8"/>
        <v/>
      </c>
      <c r="I160" s="7" t="str">
        <f>IF(AND(ISBLANK(D160),ISBLANK(C160)),"",((VLOOKUP(D160,Cardápio!$A$2:$C$16,3,0))*E160)+IF(B160="iFood",F160*0.27,(VLOOKUP(VENDAS!C160,Bairros!$A$2:$B$90,2,0))))</f>
        <v/>
      </c>
      <c r="J160" s="7" t="str">
        <f t="shared" si="9"/>
        <v/>
      </c>
      <c r="K160" s="9">
        <f t="shared" ca="1" si="10"/>
        <v>45404.878290046297</v>
      </c>
      <c r="L160" s="10">
        <f t="shared" ca="1" si="11"/>
        <v>45404.878290046297</v>
      </c>
    </row>
    <row r="161" spans="6:12" x14ac:dyDescent="0.25">
      <c r="F161" s="11" t="str">
        <f>IF(ISBLANK(D161),"",(VLOOKUP(D161,Cardápio!$A$2:$B$16,2,0))*E161)</f>
        <v/>
      </c>
      <c r="H161" s="7" t="str">
        <f t="shared" si="8"/>
        <v/>
      </c>
      <c r="I161" s="7" t="str">
        <f>IF(AND(ISBLANK(D161),ISBLANK(C161)),"",((VLOOKUP(D161,Cardápio!$A$2:$C$16,3,0))*E161)+IF(B161="iFood",F161*0.27,(VLOOKUP(VENDAS!C161,Bairros!$A$2:$B$90,2,0))))</f>
        <v/>
      </c>
      <c r="J161" s="7" t="str">
        <f t="shared" si="9"/>
        <v/>
      </c>
      <c r="K161" s="9">
        <f t="shared" ca="1" si="10"/>
        <v>45404.878290162036</v>
      </c>
      <c r="L161" s="10">
        <f t="shared" ca="1" si="11"/>
        <v>45404.878290046297</v>
      </c>
    </row>
    <row r="162" spans="6:12" x14ac:dyDescent="0.25">
      <c r="F162" s="11" t="str">
        <f>IF(ISBLANK(D162),"",(VLOOKUP(D162,Cardápio!$A$2:$B$16,2,0))*E162)</f>
        <v/>
      </c>
      <c r="H162" s="7" t="str">
        <f t="shared" si="8"/>
        <v/>
      </c>
      <c r="I162" s="7" t="str">
        <f>IF(AND(ISBLANK(D162),ISBLANK(C162)),"",((VLOOKUP(D162,Cardápio!$A$2:$C$16,3,0))*E162)+IF(B162="iFood",F162*0.27,(VLOOKUP(VENDAS!C162,Bairros!$A$2:$B$90,2,0))))</f>
        <v/>
      </c>
      <c r="J162" s="7" t="str">
        <f t="shared" si="9"/>
        <v/>
      </c>
      <c r="K162" s="9">
        <f t="shared" ca="1" si="10"/>
        <v>45404.878290046297</v>
      </c>
      <c r="L162" s="10">
        <f t="shared" ca="1" si="11"/>
        <v>45404.878290046297</v>
      </c>
    </row>
    <row r="163" spans="6:12" x14ac:dyDescent="0.25">
      <c r="F163" s="11" t="str">
        <f>IF(ISBLANK(D163),"",(VLOOKUP(D163,Cardápio!$A$2:$B$16,2,0))*E163)</f>
        <v/>
      </c>
      <c r="H163" s="7" t="str">
        <f t="shared" si="8"/>
        <v/>
      </c>
      <c r="I163" s="7" t="str">
        <f>IF(AND(ISBLANK(D163),ISBLANK(C163)),"",((VLOOKUP(D163,Cardápio!$A$2:$C$16,3,0))*E163)+IF(B163="iFood",F163*0.27,(VLOOKUP(VENDAS!C163,Bairros!$A$2:$B$90,2,0))))</f>
        <v/>
      </c>
      <c r="J163" s="7" t="str">
        <f t="shared" si="9"/>
        <v/>
      </c>
      <c r="K163" s="9">
        <f t="shared" ca="1" si="10"/>
        <v>45404.878290046297</v>
      </c>
      <c r="L163" s="10">
        <f t="shared" ca="1" si="11"/>
        <v>45404.878290046297</v>
      </c>
    </row>
    <row r="164" spans="6:12" x14ac:dyDescent="0.25">
      <c r="F164" s="11" t="str">
        <f>IF(ISBLANK(D164),"",(VLOOKUP(D164,Cardápio!$A$2:$B$16,2,0))*E164)</f>
        <v/>
      </c>
      <c r="H164" s="7" t="str">
        <f t="shared" si="8"/>
        <v/>
      </c>
      <c r="I164" s="7" t="str">
        <f>IF(AND(ISBLANK(D164),ISBLANK(C164)),"",((VLOOKUP(D164,Cardápio!$A$2:$C$16,3,0))*E164)+IF(B164="iFood",F164*0.27,(VLOOKUP(VENDAS!C164,Bairros!$A$2:$B$90,2,0))))</f>
        <v/>
      </c>
      <c r="J164" s="7" t="str">
        <f t="shared" si="9"/>
        <v/>
      </c>
      <c r="K164" s="9">
        <f t="shared" ca="1" si="10"/>
        <v>45404.878290046297</v>
      </c>
      <c r="L164" s="10">
        <f t="shared" ca="1" si="11"/>
        <v>45404.878290046297</v>
      </c>
    </row>
    <row r="165" spans="6:12" x14ac:dyDescent="0.25">
      <c r="F165" s="11" t="str">
        <f>IF(ISBLANK(D165),"",(VLOOKUP(D165,Cardápio!$A$2:$B$16,2,0))*E165)</f>
        <v/>
      </c>
      <c r="H165" s="7" t="str">
        <f t="shared" si="8"/>
        <v/>
      </c>
      <c r="I165" s="7" t="str">
        <f>IF(AND(ISBLANK(D165),ISBLANK(C165)),"",((VLOOKUP(D165,Cardápio!$A$2:$C$16,3,0))*E165)+IF(B165="iFood",F165*0.27,(VLOOKUP(VENDAS!C165,Bairros!$A$2:$B$90,2,0))))</f>
        <v/>
      </c>
      <c r="J165" s="7" t="str">
        <f t="shared" si="9"/>
        <v/>
      </c>
      <c r="K165" s="9">
        <f t="shared" ca="1" si="10"/>
        <v>45404.878290162036</v>
      </c>
      <c r="L165" s="10">
        <f t="shared" ca="1" si="11"/>
        <v>45404.878290046297</v>
      </c>
    </row>
    <row r="166" spans="6:12" x14ac:dyDescent="0.25">
      <c r="F166" s="11" t="str">
        <f>IF(ISBLANK(D166),"",(VLOOKUP(D166,Cardápio!$A$2:$B$16,2,0))*E166)</f>
        <v/>
      </c>
      <c r="H166" s="7" t="str">
        <f t="shared" si="8"/>
        <v/>
      </c>
      <c r="I166" s="7" t="str">
        <f>IF(AND(ISBLANK(D166),ISBLANK(C166)),"",((VLOOKUP(D166,Cardápio!$A$2:$C$16,3,0))*E166)+IF(B166="iFood",F166*0.27,(VLOOKUP(VENDAS!C166,Bairros!$A$2:$B$90,2,0))))</f>
        <v/>
      </c>
      <c r="J166" s="7" t="str">
        <f t="shared" si="9"/>
        <v/>
      </c>
      <c r="K166" s="9">
        <f t="shared" ca="1" si="10"/>
        <v>45404.878290046297</v>
      </c>
      <c r="L166" s="10">
        <f t="shared" ca="1" si="11"/>
        <v>45404.878290046297</v>
      </c>
    </row>
    <row r="167" spans="6:12" x14ac:dyDescent="0.25">
      <c r="F167" s="11" t="str">
        <f>IF(ISBLANK(D167),"",(VLOOKUP(D167,Cardápio!$A$2:$B$16,2,0))*E167)</f>
        <v/>
      </c>
      <c r="H167" s="7" t="str">
        <f t="shared" si="8"/>
        <v/>
      </c>
      <c r="I167" s="7" t="str">
        <f>IF(AND(ISBLANK(D167),ISBLANK(C167)),"",((VLOOKUP(D167,Cardápio!$A$2:$C$16,3,0))*E167)+IF(B167="iFood",F167*0.27,(VLOOKUP(VENDAS!C167,Bairros!$A$2:$B$90,2,0))))</f>
        <v/>
      </c>
      <c r="J167" s="7" t="str">
        <f t="shared" si="9"/>
        <v/>
      </c>
      <c r="K167" s="9">
        <f t="shared" ca="1" si="10"/>
        <v>45404.878290046297</v>
      </c>
      <c r="L167" s="10">
        <f t="shared" ca="1" si="11"/>
        <v>45404.878290046297</v>
      </c>
    </row>
    <row r="168" spans="6:12" x14ac:dyDescent="0.25">
      <c r="F168" s="11" t="str">
        <f>IF(ISBLANK(D168),"",(VLOOKUP(D168,Cardápio!$A$2:$B$16,2,0))*E168)</f>
        <v/>
      </c>
      <c r="H168" s="7" t="str">
        <f t="shared" si="8"/>
        <v/>
      </c>
      <c r="I168" s="7" t="str">
        <f>IF(AND(ISBLANK(D168),ISBLANK(C168)),"",((VLOOKUP(D168,Cardápio!$A$2:$C$16,3,0))*E168)+IF(B168="iFood",F168*0.27,(VLOOKUP(VENDAS!C168,Bairros!$A$2:$B$90,2,0))))</f>
        <v/>
      </c>
      <c r="J168" s="7" t="str">
        <f t="shared" si="9"/>
        <v/>
      </c>
      <c r="K168" s="9">
        <f t="shared" ca="1" si="10"/>
        <v>45404.878290046297</v>
      </c>
      <c r="L168" s="10">
        <f t="shared" ca="1" si="11"/>
        <v>45404.878290046297</v>
      </c>
    </row>
    <row r="169" spans="6:12" x14ac:dyDescent="0.25">
      <c r="F169" s="11" t="str">
        <f>IF(ISBLANK(D169),"",(VLOOKUP(D169,Cardápio!$A$2:$B$16,2,0))*E169)</f>
        <v/>
      </c>
      <c r="H169" s="7" t="str">
        <f t="shared" si="8"/>
        <v/>
      </c>
      <c r="I169" s="7" t="str">
        <f>IF(AND(ISBLANK(D169),ISBLANK(C169)),"",((VLOOKUP(D169,Cardápio!$A$2:$C$16,3,0))*E169)+IF(B169="iFood",F169*0.27,(VLOOKUP(VENDAS!C169,Bairros!$A$2:$B$90,2,0))))</f>
        <v/>
      </c>
      <c r="J169" s="7" t="str">
        <f t="shared" si="9"/>
        <v/>
      </c>
      <c r="K169" s="9">
        <f t="shared" ca="1" si="10"/>
        <v>45404.878290162036</v>
      </c>
      <c r="L169" s="10">
        <f t="shared" ca="1" si="11"/>
        <v>45404.878290046297</v>
      </c>
    </row>
    <row r="170" spans="6:12" x14ac:dyDescent="0.25">
      <c r="F170" s="11" t="str">
        <f>IF(ISBLANK(D170),"",(VLOOKUP(D170,Cardápio!$A$2:$B$16,2,0))*E170)</f>
        <v/>
      </c>
      <c r="H170" s="7" t="str">
        <f t="shared" si="8"/>
        <v/>
      </c>
      <c r="I170" s="7" t="str">
        <f>IF(AND(ISBLANK(D170),ISBLANK(C170)),"",((VLOOKUP(D170,Cardápio!$A$2:$C$16,3,0))*E170)+IF(B170="iFood",F170*0.27,(VLOOKUP(VENDAS!C170,Bairros!$A$2:$B$90,2,0))))</f>
        <v/>
      </c>
      <c r="J170" s="7" t="str">
        <f t="shared" si="9"/>
        <v/>
      </c>
      <c r="K170" s="9">
        <f t="shared" ca="1" si="10"/>
        <v>45404.878290046297</v>
      </c>
      <c r="L170" s="10">
        <f t="shared" ca="1" si="11"/>
        <v>45404.878290046297</v>
      </c>
    </row>
    <row r="171" spans="6:12" x14ac:dyDescent="0.25">
      <c r="F171" s="11" t="str">
        <f>IF(ISBLANK(D171),"",(VLOOKUP(D171,Cardápio!$A$2:$B$16,2,0))*E171)</f>
        <v/>
      </c>
      <c r="H171" s="7" t="str">
        <f t="shared" si="8"/>
        <v/>
      </c>
      <c r="I171" s="7" t="str">
        <f>IF(AND(ISBLANK(D171),ISBLANK(C171)),"",((VLOOKUP(D171,Cardápio!$A$2:$C$16,3,0))*E171)+IF(B171="iFood",F171*0.27,(VLOOKUP(VENDAS!C171,Bairros!$A$2:$B$90,2,0))))</f>
        <v/>
      </c>
      <c r="J171" s="7" t="str">
        <f t="shared" si="9"/>
        <v/>
      </c>
      <c r="K171" s="9">
        <f t="shared" ca="1" si="10"/>
        <v>45404.878290046297</v>
      </c>
      <c r="L171" s="10">
        <f t="shared" ca="1" si="11"/>
        <v>45404.878290046297</v>
      </c>
    </row>
    <row r="172" spans="6:12" x14ac:dyDescent="0.25">
      <c r="F172" s="11" t="str">
        <f>IF(ISBLANK(D172),"",(VLOOKUP(D172,Cardápio!$A$2:$B$16,2,0))*E172)</f>
        <v/>
      </c>
      <c r="H172" s="7" t="str">
        <f t="shared" si="8"/>
        <v/>
      </c>
      <c r="I172" s="7" t="str">
        <f>IF(AND(ISBLANK(D172),ISBLANK(C172)),"",((VLOOKUP(D172,Cardápio!$A$2:$C$16,3,0))*E172)+IF(B172="iFood",F172*0.27,(VLOOKUP(VENDAS!C172,Bairros!$A$2:$B$90,2,0))))</f>
        <v/>
      </c>
      <c r="J172" s="7" t="str">
        <f t="shared" si="9"/>
        <v/>
      </c>
      <c r="K172" s="9">
        <f t="shared" ca="1" si="10"/>
        <v>45404.878290046297</v>
      </c>
      <c r="L172" s="10">
        <f t="shared" ca="1" si="11"/>
        <v>45404.878290046297</v>
      </c>
    </row>
    <row r="173" spans="6:12" x14ac:dyDescent="0.25">
      <c r="F173" s="11" t="str">
        <f>IF(ISBLANK(D173),"",(VLOOKUP(D173,Cardápio!$A$2:$B$16,2,0))*E173)</f>
        <v/>
      </c>
      <c r="H173" s="7" t="str">
        <f t="shared" si="8"/>
        <v/>
      </c>
      <c r="I173" s="7" t="str">
        <f>IF(AND(ISBLANK(D173),ISBLANK(C173)),"",((VLOOKUP(D173,Cardápio!$A$2:$C$16,3,0))*E173)+IF(B173="iFood",F173*0.27,(VLOOKUP(VENDAS!C173,Bairros!$A$2:$B$90,2,0))))</f>
        <v/>
      </c>
      <c r="J173" s="7" t="str">
        <f t="shared" si="9"/>
        <v/>
      </c>
      <c r="K173" s="9">
        <f t="shared" ca="1" si="10"/>
        <v>45404.878290162036</v>
      </c>
      <c r="L173" s="10">
        <f t="shared" ca="1" si="11"/>
        <v>45404.878290046297</v>
      </c>
    </row>
    <row r="174" spans="6:12" x14ac:dyDescent="0.25">
      <c r="F174" s="11" t="str">
        <f>IF(ISBLANK(D174),"",(VLOOKUP(D174,Cardápio!$A$2:$B$16,2,0))*E174)</f>
        <v/>
      </c>
      <c r="H174" s="7" t="str">
        <f t="shared" si="8"/>
        <v/>
      </c>
      <c r="I174" s="7" t="str">
        <f>IF(AND(ISBLANK(D174),ISBLANK(C174)),"",((VLOOKUP(D174,Cardápio!$A$2:$C$16,3,0))*E174)+IF(B174="iFood",F174*0.27,(VLOOKUP(VENDAS!C174,Bairros!$A$2:$B$90,2,0))))</f>
        <v/>
      </c>
      <c r="J174" s="7" t="str">
        <f t="shared" si="9"/>
        <v/>
      </c>
      <c r="K174" s="9">
        <f t="shared" ca="1" si="10"/>
        <v>45404.878290046297</v>
      </c>
      <c r="L174" s="10">
        <f t="shared" ca="1" si="11"/>
        <v>45404.878290046297</v>
      </c>
    </row>
    <row r="175" spans="6:12" x14ac:dyDescent="0.25">
      <c r="F175" s="11" t="str">
        <f>IF(ISBLANK(D175),"",(VLOOKUP(D175,Cardápio!$A$2:$B$16,2,0))*E175)</f>
        <v/>
      </c>
      <c r="H175" s="7" t="str">
        <f t="shared" si="8"/>
        <v/>
      </c>
      <c r="I175" s="7" t="str">
        <f>IF(AND(ISBLANK(D175),ISBLANK(C175)),"",((VLOOKUP(D175,Cardápio!$A$2:$C$16,3,0))*E175)+IF(B175="iFood",F175*0.27,(VLOOKUP(VENDAS!C175,Bairros!$A$2:$B$90,2,0))))</f>
        <v/>
      </c>
      <c r="J175" s="7" t="str">
        <f t="shared" si="9"/>
        <v/>
      </c>
      <c r="K175" s="9">
        <f t="shared" ca="1" si="10"/>
        <v>45404.878290046297</v>
      </c>
      <c r="L175" s="10">
        <f t="shared" ca="1" si="11"/>
        <v>45404.878290046297</v>
      </c>
    </row>
    <row r="176" spans="6:12" x14ac:dyDescent="0.25">
      <c r="F176" s="11" t="str">
        <f>IF(ISBLANK(D176),"",(VLOOKUP(D176,Cardápio!$A$2:$B$16,2,0))*E176)</f>
        <v/>
      </c>
      <c r="H176" s="7" t="str">
        <f t="shared" si="8"/>
        <v/>
      </c>
      <c r="I176" s="7" t="str">
        <f>IF(AND(ISBLANK(D176),ISBLANK(C176)),"",((VLOOKUP(D176,Cardápio!$A$2:$C$16,3,0))*E176)+IF(B176="iFood",F176*0.27,(VLOOKUP(VENDAS!C176,Bairros!$A$2:$B$90,2,0))))</f>
        <v/>
      </c>
      <c r="J176" s="7" t="str">
        <f t="shared" si="9"/>
        <v/>
      </c>
      <c r="K176" s="9">
        <f t="shared" ca="1" si="10"/>
        <v>45404.878290046297</v>
      </c>
      <c r="L176" s="10">
        <f t="shared" ca="1" si="11"/>
        <v>45404.878290046297</v>
      </c>
    </row>
    <row r="177" spans="6:12" x14ac:dyDescent="0.25">
      <c r="F177" s="11" t="str">
        <f>IF(ISBLANK(D177),"",(VLOOKUP(D177,Cardápio!$A$2:$B$16,2,0))*E177)</f>
        <v/>
      </c>
      <c r="H177" s="7" t="str">
        <f t="shared" si="8"/>
        <v/>
      </c>
      <c r="I177" s="7" t="str">
        <f>IF(AND(ISBLANK(D177),ISBLANK(C177)),"",((VLOOKUP(D177,Cardápio!$A$2:$C$16,3,0))*E177)+IF(B177="iFood",F177*0.27,(VLOOKUP(VENDAS!C177,Bairros!$A$2:$B$90,2,0))))</f>
        <v/>
      </c>
      <c r="J177" s="7" t="str">
        <f t="shared" si="9"/>
        <v/>
      </c>
      <c r="K177" s="9">
        <f t="shared" ca="1" si="10"/>
        <v>45404.878290162036</v>
      </c>
      <c r="L177" s="10">
        <f t="shared" ca="1" si="11"/>
        <v>45404.878290046297</v>
      </c>
    </row>
    <row r="178" spans="6:12" x14ac:dyDescent="0.25">
      <c r="F178" s="11" t="str">
        <f>IF(ISBLANK(D178),"",(VLOOKUP(D178,Cardápio!$A$2:$B$16,2,0))*E178)</f>
        <v/>
      </c>
      <c r="H178" s="7" t="str">
        <f t="shared" si="8"/>
        <v/>
      </c>
      <c r="I178" s="7" t="str">
        <f>IF(AND(ISBLANK(D178),ISBLANK(C178)),"",((VLOOKUP(D178,Cardápio!$A$2:$C$16,3,0))*E178)+IF(B178="iFood",F178*0.27,(VLOOKUP(VENDAS!C178,Bairros!$A$2:$B$90,2,0))))</f>
        <v/>
      </c>
      <c r="J178" s="7" t="str">
        <f t="shared" si="9"/>
        <v/>
      </c>
      <c r="K178" s="9">
        <f t="shared" ca="1" si="10"/>
        <v>45404.878290046297</v>
      </c>
      <c r="L178" s="10">
        <f t="shared" ca="1" si="11"/>
        <v>45404.878290046297</v>
      </c>
    </row>
    <row r="179" spans="6:12" x14ac:dyDescent="0.25">
      <c r="F179" s="11" t="str">
        <f>IF(ISBLANK(D179),"",(VLOOKUP(D179,Cardápio!$A$2:$B$16,2,0))*E179)</f>
        <v/>
      </c>
      <c r="H179" s="7" t="str">
        <f t="shared" si="8"/>
        <v/>
      </c>
      <c r="I179" s="7" t="str">
        <f>IF(AND(ISBLANK(D179),ISBLANK(C179)),"",((VLOOKUP(D179,Cardápio!$A$2:$C$16,3,0))*E179)+IF(B179="iFood",F179*0.27,(VLOOKUP(VENDAS!C179,Bairros!$A$2:$B$90,2,0))))</f>
        <v/>
      </c>
      <c r="J179" s="7" t="str">
        <f t="shared" si="9"/>
        <v/>
      </c>
      <c r="K179" s="9">
        <f t="shared" ca="1" si="10"/>
        <v>45404.878290046297</v>
      </c>
      <c r="L179" s="10">
        <f t="shared" ca="1" si="11"/>
        <v>45404.878290046297</v>
      </c>
    </row>
    <row r="180" spans="6:12" x14ac:dyDescent="0.25">
      <c r="F180" s="11" t="str">
        <f>IF(ISBLANK(D180),"",(VLOOKUP(D180,Cardápio!$A$2:$B$16,2,0))*E180)</f>
        <v/>
      </c>
      <c r="H180" s="7" t="str">
        <f t="shared" si="8"/>
        <v/>
      </c>
      <c r="I180" s="7" t="str">
        <f>IF(AND(ISBLANK(D180),ISBLANK(C180)),"",((VLOOKUP(D180,Cardápio!$A$2:$C$16,3,0))*E180)+IF(B180="iFood",F180*0.27,(VLOOKUP(VENDAS!C180,Bairros!$A$2:$B$90,2,0))))</f>
        <v/>
      </c>
      <c r="J180" s="7" t="str">
        <f t="shared" si="9"/>
        <v/>
      </c>
      <c r="K180" s="9">
        <f t="shared" ca="1" si="10"/>
        <v>45404.878290046297</v>
      </c>
      <c r="L180" s="10">
        <f t="shared" ca="1" si="11"/>
        <v>45404.878290046297</v>
      </c>
    </row>
    <row r="181" spans="6:12" x14ac:dyDescent="0.25">
      <c r="F181" s="11" t="str">
        <f>IF(ISBLANK(D181),"",(VLOOKUP(D181,Cardápio!$A$2:$B$16,2,0))*E181)</f>
        <v/>
      </c>
      <c r="H181" s="7" t="str">
        <f t="shared" ref="H181:H244" si="12">IF(ISBLANK(D181),"",F181-G181)</f>
        <v/>
      </c>
      <c r="I181" s="7" t="str">
        <f>IF(AND(ISBLANK(D181),ISBLANK(C181)),"",((VLOOKUP(D181,Cardápio!$A$2:$C$16,3,0))*E181)+IF(B181="iFood",F181*0.27,(VLOOKUP(VENDAS!C181,Bairros!$A$2:$B$90,2,0))))</f>
        <v/>
      </c>
      <c r="J181" s="7" t="str">
        <f t="shared" ref="J181:J244" si="13">IF(OR(AND(ISBLANK(H181),ISBLANK(I181)),(AND(H181="",I181=""))),"",H181-I181)</f>
        <v/>
      </c>
      <c r="K181" s="9">
        <f t="shared" ref="K181:K244" ca="1" si="14">IF(D181&lt;&gt;"",K181,NOW())</f>
        <v>45404.878290162036</v>
      </c>
      <c r="L181" s="10">
        <f t="shared" ref="L181:L244" ca="1" si="15">IF(D181&lt;&gt;"",L181,NOW())</f>
        <v>45404.878290046297</v>
      </c>
    </row>
    <row r="182" spans="6:12" x14ac:dyDescent="0.25">
      <c r="F182" s="11" t="str">
        <f>IF(ISBLANK(D182),"",(VLOOKUP(D182,Cardápio!$A$2:$B$16,2,0))*E182)</f>
        <v/>
      </c>
      <c r="H182" s="7" t="str">
        <f t="shared" si="12"/>
        <v/>
      </c>
      <c r="I182" s="7" t="str">
        <f>IF(AND(ISBLANK(D182),ISBLANK(C182)),"",((VLOOKUP(D182,Cardápio!$A$2:$C$16,3,0))*E182)+IF(B182="iFood",F182*0.27,(VLOOKUP(VENDAS!C182,Bairros!$A$2:$B$90,2,0))))</f>
        <v/>
      </c>
      <c r="J182" s="7" t="str">
        <f t="shared" si="13"/>
        <v/>
      </c>
      <c r="K182" s="9">
        <f t="shared" ca="1" si="14"/>
        <v>45404.878290046297</v>
      </c>
      <c r="L182" s="10">
        <f t="shared" ca="1" si="15"/>
        <v>45404.878290046297</v>
      </c>
    </row>
    <row r="183" spans="6:12" x14ac:dyDescent="0.25">
      <c r="F183" s="11" t="str">
        <f>IF(ISBLANK(D183),"",(VLOOKUP(D183,Cardápio!$A$2:$B$16,2,0))*E183)</f>
        <v/>
      </c>
      <c r="H183" s="7" t="str">
        <f t="shared" si="12"/>
        <v/>
      </c>
      <c r="I183" s="7" t="str">
        <f>IF(AND(ISBLANK(D183),ISBLANK(C183)),"",((VLOOKUP(D183,Cardápio!$A$2:$C$16,3,0))*E183)+IF(B183="iFood",F183*0.27,(VLOOKUP(VENDAS!C183,Bairros!$A$2:$B$90,2,0))))</f>
        <v/>
      </c>
      <c r="J183" s="7" t="str">
        <f t="shared" si="13"/>
        <v/>
      </c>
      <c r="K183" s="9">
        <f t="shared" ca="1" si="14"/>
        <v>45404.878290046297</v>
      </c>
      <c r="L183" s="10">
        <f t="shared" ca="1" si="15"/>
        <v>45404.878290046297</v>
      </c>
    </row>
    <row r="184" spans="6:12" x14ac:dyDescent="0.25">
      <c r="F184" s="11" t="str">
        <f>IF(ISBLANK(D184),"",(VLOOKUP(D184,Cardápio!$A$2:$B$16,2,0))*E184)</f>
        <v/>
      </c>
      <c r="H184" s="7" t="str">
        <f t="shared" si="12"/>
        <v/>
      </c>
      <c r="I184" s="7" t="str">
        <f>IF(AND(ISBLANK(D184),ISBLANK(C184)),"",((VLOOKUP(D184,Cardápio!$A$2:$C$16,3,0))*E184)+IF(B184="iFood",F184*0.27,(VLOOKUP(VENDAS!C184,Bairros!$A$2:$B$90,2,0))))</f>
        <v/>
      </c>
      <c r="J184" s="7" t="str">
        <f t="shared" si="13"/>
        <v/>
      </c>
      <c r="K184" s="9">
        <f t="shared" ca="1" si="14"/>
        <v>45404.878290046297</v>
      </c>
      <c r="L184" s="10">
        <f t="shared" ca="1" si="15"/>
        <v>45404.878290046297</v>
      </c>
    </row>
    <row r="185" spans="6:12" x14ac:dyDescent="0.25">
      <c r="F185" s="11" t="str">
        <f>IF(ISBLANK(D185),"",(VLOOKUP(D185,Cardápio!$A$2:$B$16,2,0))*E185)</f>
        <v/>
      </c>
      <c r="H185" s="7" t="str">
        <f t="shared" si="12"/>
        <v/>
      </c>
      <c r="I185" s="7" t="str">
        <f>IF(AND(ISBLANK(D185),ISBLANK(C185)),"",((VLOOKUP(D185,Cardápio!$A$2:$C$16,3,0))*E185)+IF(B185="iFood",F185*0.27,(VLOOKUP(VENDAS!C185,Bairros!$A$2:$B$90,2,0))))</f>
        <v/>
      </c>
      <c r="J185" s="7" t="str">
        <f t="shared" si="13"/>
        <v/>
      </c>
      <c r="K185" s="9">
        <f t="shared" ca="1" si="14"/>
        <v>45404.878290162036</v>
      </c>
      <c r="L185" s="10">
        <f t="shared" ca="1" si="15"/>
        <v>45404.878290046297</v>
      </c>
    </row>
    <row r="186" spans="6:12" x14ac:dyDescent="0.25">
      <c r="F186" s="11" t="str">
        <f>IF(ISBLANK(D186),"",(VLOOKUP(D186,Cardápio!$A$2:$B$16,2,0))*E186)</f>
        <v/>
      </c>
      <c r="H186" s="7" t="str">
        <f t="shared" si="12"/>
        <v/>
      </c>
      <c r="I186" s="7" t="str">
        <f>IF(AND(ISBLANK(D186),ISBLANK(C186)),"",((VLOOKUP(D186,Cardápio!$A$2:$C$16,3,0))*E186)+IF(B186="iFood",F186*0.27,(VLOOKUP(VENDAS!C186,Bairros!$A$2:$B$90,2,0))))</f>
        <v/>
      </c>
      <c r="J186" s="7" t="str">
        <f t="shared" si="13"/>
        <v/>
      </c>
      <c r="K186" s="9">
        <f t="shared" ca="1" si="14"/>
        <v>45404.878290046297</v>
      </c>
      <c r="L186" s="10">
        <f t="shared" ca="1" si="15"/>
        <v>45404.878290046297</v>
      </c>
    </row>
    <row r="187" spans="6:12" x14ac:dyDescent="0.25">
      <c r="F187" s="11" t="str">
        <f>IF(ISBLANK(D187),"",(VLOOKUP(D187,Cardápio!$A$2:$B$16,2,0))*E187)</f>
        <v/>
      </c>
      <c r="H187" s="7" t="str">
        <f t="shared" si="12"/>
        <v/>
      </c>
      <c r="I187" s="7" t="str">
        <f>IF(AND(ISBLANK(D187),ISBLANK(C187)),"",((VLOOKUP(D187,Cardápio!$A$2:$C$16,3,0))*E187)+IF(B187="iFood",F187*0.27,(VLOOKUP(VENDAS!C187,Bairros!$A$2:$B$90,2,0))))</f>
        <v/>
      </c>
      <c r="J187" s="7" t="str">
        <f t="shared" si="13"/>
        <v/>
      </c>
      <c r="K187" s="9">
        <f t="shared" ca="1" si="14"/>
        <v>45404.878290046297</v>
      </c>
      <c r="L187" s="10">
        <f t="shared" ca="1" si="15"/>
        <v>45404.878290046297</v>
      </c>
    </row>
    <row r="188" spans="6:12" x14ac:dyDescent="0.25">
      <c r="F188" s="11" t="str">
        <f>IF(ISBLANK(D188),"",(VLOOKUP(D188,Cardápio!$A$2:$B$16,2,0))*E188)</f>
        <v/>
      </c>
      <c r="H188" s="7" t="str">
        <f t="shared" si="12"/>
        <v/>
      </c>
      <c r="I188" s="7" t="str">
        <f>IF(AND(ISBLANK(D188),ISBLANK(C188)),"",((VLOOKUP(D188,Cardápio!$A$2:$C$16,3,0))*E188)+IF(B188="iFood",F188*0.27,(VLOOKUP(VENDAS!C188,Bairros!$A$2:$B$90,2,0))))</f>
        <v/>
      </c>
      <c r="J188" s="7" t="str">
        <f t="shared" si="13"/>
        <v/>
      </c>
      <c r="K188" s="9">
        <f t="shared" ca="1" si="14"/>
        <v>45404.878290046297</v>
      </c>
      <c r="L188" s="10">
        <f t="shared" ca="1" si="15"/>
        <v>45404.878290046297</v>
      </c>
    </row>
    <row r="189" spans="6:12" x14ac:dyDescent="0.25">
      <c r="F189" s="11" t="str">
        <f>IF(ISBLANK(D189),"",(VLOOKUP(D189,Cardápio!$A$2:$B$16,2,0))*E189)</f>
        <v/>
      </c>
      <c r="H189" s="7" t="str">
        <f t="shared" si="12"/>
        <v/>
      </c>
      <c r="I189" s="7" t="str">
        <f>IF(AND(ISBLANK(D189),ISBLANK(C189)),"",((VLOOKUP(D189,Cardápio!$A$2:$C$16,3,0))*E189)+IF(B189="iFood",F189*0.27,(VLOOKUP(VENDAS!C189,Bairros!$A$2:$B$90,2,0))))</f>
        <v/>
      </c>
      <c r="J189" s="7" t="str">
        <f t="shared" si="13"/>
        <v/>
      </c>
      <c r="K189" s="9">
        <f t="shared" ca="1" si="14"/>
        <v>45404.878290162036</v>
      </c>
      <c r="L189" s="10">
        <f t="shared" ca="1" si="15"/>
        <v>45404.878290046297</v>
      </c>
    </row>
    <row r="190" spans="6:12" x14ac:dyDescent="0.25">
      <c r="F190" s="11" t="str">
        <f>IF(ISBLANK(D190),"",(VLOOKUP(D190,Cardápio!$A$2:$B$16,2,0))*E190)</f>
        <v/>
      </c>
      <c r="H190" s="7" t="str">
        <f t="shared" si="12"/>
        <v/>
      </c>
      <c r="I190" s="7" t="str">
        <f>IF(AND(ISBLANK(D190),ISBLANK(C190)),"",((VLOOKUP(D190,Cardápio!$A$2:$C$16,3,0))*E190)+IF(B190="iFood",F190*0.27,(VLOOKUP(VENDAS!C190,Bairros!$A$2:$B$90,2,0))))</f>
        <v/>
      </c>
      <c r="J190" s="7" t="str">
        <f t="shared" si="13"/>
        <v/>
      </c>
      <c r="K190" s="9">
        <f t="shared" ca="1" si="14"/>
        <v>45404.878290046297</v>
      </c>
      <c r="L190" s="10">
        <f t="shared" ca="1" si="15"/>
        <v>45404.878290046297</v>
      </c>
    </row>
    <row r="191" spans="6:12" x14ac:dyDescent="0.25">
      <c r="F191" s="11" t="str">
        <f>IF(ISBLANK(D191),"",(VLOOKUP(D191,Cardápio!$A$2:$B$16,2,0))*E191)</f>
        <v/>
      </c>
      <c r="H191" s="7" t="str">
        <f t="shared" si="12"/>
        <v/>
      </c>
      <c r="I191" s="7" t="str">
        <f>IF(AND(ISBLANK(D191),ISBLANK(C191)),"",((VLOOKUP(D191,Cardápio!$A$2:$C$16,3,0))*E191)+IF(B191="iFood",F191*0.27,(VLOOKUP(VENDAS!C191,Bairros!$A$2:$B$90,2,0))))</f>
        <v/>
      </c>
      <c r="J191" s="7" t="str">
        <f t="shared" si="13"/>
        <v/>
      </c>
      <c r="K191" s="9">
        <f t="shared" ca="1" si="14"/>
        <v>45404.878290046297</v>
      </c>
      <c r="L191" s="10">
        <f t="shared" ca="1" si="15"/>
        <v>45404.878290046297</v>
      </c>
    </row>
    <row r="192" spans="6:12" x14ac:dyDescent="0.25">
      <c r="F192" s="11" t="str">
        <f>IF(ISBLANK(D192),"",(VLOOKUP(D192,Cardápio!$A$2:$B$16,2,0))*E192)</f>
        <v/>
      </c>
      <c r="H192" s="7" t="str">
        <f t="shared" si="12"/>
        <v/>
      </c>
      <c r="I192" s="7" t="str">
        <f>IF(AND(ISBLANK(D192),ISBLANK(C192)),"",((VLOOKUP(D192,Cardápio!$A$2:$C$16,3,0))*E192)+IF(B192="iFood",F192*0.27,(VLOOKUP(VENDAS!C192,Bairros!$A$2:$B$90,2,0))))</f>
        <v/>
      </c>
      <c r="J192" s="7" t="str">
        <f t="shared" si="13"/>
        <v/>
      </c>
      <c r="K192" s="9">
        <f t="shared" ca="1" si="14"/>
        <v>45404.878290046297</v>
      </c>
      <c r="L192" s="10">
        <f t="shared" ca="1" si="15"/>
        <v>45404.878290046297</v>
      </c>
    </row>
    <row r="193" spans="6:12" x14ac:dyDescent="0.25">
      <c r="F193" s="11" t="str">
        <f>IF(ISBLANK(D193),"",(VLOOKUP(D193,Cardápio!$A$2:$B$16,2,0))*E193)</f>
        <v/>
      </c>
      <c r="H193" s="7" t="str">
        <f t="shared" si="12"/>
        <v/>
      </c>
      <c r="I193" s="7" t="str">
        <f>IF(AND(ISBLANK(D193),ISBLANK(C193)),"",((VLOOKUP(D193,Cardápio!$A$2:$C$16,3,0))*E193)+IF(B193="iFood",F193*0.27,(VLOOKUP(VENDAS!C193,Bairros!$A$2:$B$90,2,0))))</f>
        <v/>
      </c>
      <c r="J193" s="7" t="str">
        <f t="shared" si="13"/>
        <v/>
      </c>
      <c r="K193" s="9">
        <f t="shared" ca="1" si="14"/>
        <v>45404.878290162036</v>
      </c>
      <c r="L193" s="10">
        <f t="shared" ca="1" si="15"/>
        <v>45404.878290046297</v>
      </c>
    </row>
    <row r="194" spans="6:12" x14ac:dyDescent="0.25">
      <c r="F194" s="11" t="str">
        <f>IF(ISBLANK(D194),"",(VLOOKUP(D194,Cardápio!$A$2:$B$16,2,0))*E194)</f>
        <v/>
      </c>
      <c r="H194" s="7" t="str">
        <f t="shared" si="12"/>
        <v/>
      </c>
      <c r="I194" s="7" t="str">
        <f>IF(AND(ISBLANK(D194),ISBLANK(C194)),"",((VLOOKUP(D194,Cardápio!$A$2:$C$16,3,0))*E194)+IF(B194="iFood",F194*0.27,(VLOOKUP(VENDAS!C194,Bairros!$A$2:$B$90,2,0))))</f>
        <v/>
      </c>
      <c r="J194" s="7" t="str">
        <f t="shared" si="13"/>
        <v/>
      </c>
      <c r="K194" s="9">
        <f t="shared" ca="1" si="14"/>
        <v>45404.878290046297</v>
      </c>
      <c r="L194" s="10">
        <f t="shared" ca="1" si="15"/>
        <v>45404.878290046297</v>
      </c>
    </row>
    <row r="195" spans="6:12" x14ac:dyDescent="0.25">
      <c r="F195" s="11" t="str">
        <f>IF(ISBLANK(D195),"",(VLOOKUP(D195,Cardápio!$A$2:$B$16,2,0))*E195)</f>
        <v/>
      </c>
      <c r="H195" s="7" t="str">
        <f t="shared" si="12"/>
        <v/>
      </c>
      <c r="I195" s="7" t="str">
        <f>IF(AND(ISBLANK(D195),ISBLANK(C195)),"",((VLOOKUP(D195,Cardápio!$A$2:$C$16,3,0))*E195)+IF(B195="iFood",F195*0.27,(VLOOKUP(VENDAS!C195,Bairros!$A$2:$B$90,2,0))))</f>
        <v/>
      </c>
      <c r="J195" s="7" t="str">
        <f t="shared" si="13"/>
        <v/>
      </c>
      <c r="K195" s="9">
        <f t="shared" ca="1" si="14"/>
        <v>45404.878290046297</v>
      </c>
      <c r="L195" s="10">
        <f t="shared" ca="1" si="15"/>
        <v>45404.878290046297</v>
      </c>
    </row>
    <row r="196" spans="6:12" x14ac:dyDescent="0.25">
      <c r="F196" s="11" t="str">
        <f>IF(ISBLANK(D196),"",(VLOOKUP(D196,Cardápio!$A$2:$B$16,2,0))*E196)</f>
        <v/>
      </c>
      <c r="H196" s="7" t="str">
        <f t="shared" si="12"/>
        <v/>
      </c>
      <c r="I196" s="7" t="str">
        <f>IF(AND(ISBLANK(D196),ISBLANK(C196)),"",((VLOOKUP(D196,Cardápio!$A$2:$C$16,3,0))*E196)+IF(B196="iFood",F196*0.27,(VLOOKUP(VENDAS!C196,Bairros!$A$2:$B$90,2,0))))</f>
        <v/>
      </c>
      <c r="J196" s="7" t="str">
        <f t="shared" si="13"/>
        <v/>
      </c>
      <c r="K196" s="9">
        <f t="shared" ca="1" si="14"/>
        <v>45404.878290046297</v>
      </c>
      <c r="L196" s="10">
        <f t="shared" ca="1" si="15"/>
        <v>45404.878290046297</v>
      </c>
    </row>
    <row r="197" spans="6:12" x14ac:dyDescent="0.25">
      <c r="F197" s="11" t="str">
        <f>IF(ISBLANK(D197),"",(VLOOKUP(D197,Cardápio!$A$2:$B$16,2,0))*E197)</f>
        <v/>
      </c>
      <c r="H197" s="7" t="str">
        <f t="shared" si="12"/>
        <v/>
      </c>
      <c r="I197" s="7" t="str">
        <f>IF(AND(ISBLANK(D197),ISBLANK(C197)),"",((VLOOKUP(D197,Cardápio!$A$2:$C$16,3,0))*E197)+IF(B197="iFood",F197*0.27,(VLOOKUP(VENDAS!C197,Bairros!$A$2:$B$90,2,0))))</f>
        <v/>
      </c>
      <c r="J197" s="7" t="str">
        <f t="shared" si="13"/>
        <v/>
      </c>
      <c r="K197" s="9">
        <f t="shared" ca="1" si="14"/>
        <v>45404.878290162036</v>
      </c>
      <c r="L197" s="10">
        <f t="shared" ca="1" si="15"/>
        <v>45404.878290046297</v>
      </c>
    </row>
    <row r="198" spans="6:12" x14ac:dyDescent="0.25">
      <c r="F198" s="11" t="str">
        <f>IF(ISBLANK(D198),"",(VLOOKUP(D198,Cardápio!$A$2:$B$16,2,0))*E198)</f>
        <v/>
      </c>
      <c r="H198" s="7" t="str">
        <f t="shared" si="12"/>
        <v/>
      </c>
      <c r="I198" s="7" t="str">
        <f>IF(AND(ISBLANK(D198),ISBLANK(C198)),"",((VLOOKUP(D198,Cardápio!$A$2:$C$16,3,0))*E198)+IF(B198="iFood",F198*0.27,(VLOOKUP(VENDAS!C198,Bairros!$A$2:$B$90,2,0))))</f>
        <v/>
      </c>
      <c r="J198" s="7" t="str">
        <f t="shared" si="13"/>
        <v/>
      </c>
      <c r="K198" s="9">
        <f t="shared" ca="1" si="14"/>
        <v>45404.878290046297</v>
      </c>
      <c r="L198" s="10">
        <f t="shared" ca="1" si="15"/>
        <v>45404.878290046297</v>
      </c>
    </row>
    <row r="199" spans="6:12" x14ac:dyDescent="0.25">
      <c r="F199" s="11" t="str">
        <f>IF(ISBLANK(D199),"",(VLOOKUP(D199,Cardápio!$A$2:$B$16,2,0))*E199)</f>
        <v/>
      </c>
      <c r="H199" s="7" t="str">
        <f t="shared" si="12"/>
        <v/>
      </c>
      <c r="I199" s="7" t="str">
        <f>IF(AND(ISBLANK(D199),ISBLANK(C199)),"",((VLOOKUP(D199,Cardápio!$A$2:$C$16,3,0))*E199)+IF(B199="iFood",F199*0.27,(VLOOKUP(VENDAS!C199,Bairros!$A$2:$B$90,2,0))))</f>
        <v/>
      </c>
      <c r="J199" s="7" t="str">
        <f t="shared" si="13"/>
        <v/>
      </c>
      <c r="K199" s="9">
        <f t="shared" ca="1" si="14"/>
        <v>45404.878290046297</v>
      </c>
      <c r="L199" s="10">
        <f t="shared" ca="1" si="15"/>
        <v>45404.878290046297</v>
      </c>
    </row>
    <row r="200" spans="6:12" x14ac:dyDescent="0.25">
      <c r="F200" s="11" t="str">
        <f>IF(ISBLANK(D200),"",(VLOOKUP(D200,Cardápio!$A$2:$B$16,2,0))*E200)</f>
        <v/>
      </c>
      <c r="H200" s="7" t="str">
        <f t="shared" si="12"/>
        <v/>
      </c>
      <c r="I200" s="7" t="str">
        <f>IF(AND(ISBLANK(D200),ISBLANK(C200)),"",((VLOOKUP(D200,Cardápio!$A$2:$C$16,3,0))*E200)+IF(B200="iFood",F200*0.27,(VLOOKUP(VENDAS!C200,Bairros!$A$2:$B$90,2,0))))</f>
        <v/>
      </c>
      <c r="J200" s="7" t="str">
        <f t="shared" si="13"/>
        <v/>
      </c>
      <c r="K200" s="9">
        <f t="shared" ca="1" si="14"/>
        <v>45404.878290046297</v>
      </c>
      <c r="L200" s="10">
        <f t="shared" ca="1" si="15"/>
        <v>45404.878290046297</v>
      </c>
    </row>
    <row r="201" spans="6:12" x14ac:dyDescent="0.25">
      <c r="F201" s="11" t="str">
        <f>IF(ISBLANK(D201),"",(VLOOKUP(D201,Cardápio!$A$2:$B$16,2,0))*E201)</f>
        <v/>
      </c>
      <c r="H201" s="7" t="str">
        <f t="shared" si="12"/>
        <v/>
      </c>
      <c r="I201" s="7" t="str">
        <f>IF(AND(ISBLANK(D201),ISBLANK(C201)),"",((VLOOKUP(D201,Cardápio!$A$2:$C$16,3,0))*E201)+IF(B201="iFood",F201*0.27,(VLOOKUP(VENDAS!C201,Bairros!$A$2:$B$90,2,0))))</f>
        <v/>
      </c>
      <c r="J201" s="7" t="str">
        <f t="shared" si="13"/>
        <v/>
      </c>
      <c r="K201" s="9">
        <f t="shared" ca="1" si="14"/>
        <v>45404.878290162036</v>
      </c>
      <c r="L201" s="10">
        <f t="shared" ca="1" si="15"/>
        <v>45404.878290046297</v>
      </c>
    </row>
    <row r="202" spans="6:12" x14ac:dyDescent="0.25">
      <c r="F202" s="11" t="str">
        <f>IF(ISBLANK(D202),"",(VLOOKUP(D202,Cardápio!$A$2:$B$16,2,0))*E202)</f>
        <v/>
      </c>
      <c r="H202" s="7" t="str">
        <f t="shared" si="12"/>
        <v/>
      </c>
      <c r="I202" s="7" t="str">
        <f>IF(AND(ISBLANK(D202),ISBLANK(C202)),"",((VLOOKUP(D202,Cardápio!$A$2:$C$16,3,0))*E202)+IF(B202="iFood",F202*0.27,(VLOOKUP(VENDAS!C202,Bairros!$A$2:$B$90,2,0))))</f>
        <v/>
      </c>
      <c r="J202" s="7" t="str">
        <f t="shared" si="13"/>
        <v/>
      </c>
      <c r="K202" s="9">
        <f t="shared" ca="1" si="14"/>
        <v>45404.878290046297</v>
      </c>
      <c r="L202" s="10">
        <f t="shared" ca="1" si="15"/>
        <v>45404.878290046297</v>
      </c>
    </row>
    <row r="203" spans="6:12" x14ac:dyDescent="0.25">
      <c r="F203" s="11" t="str">
        <f>IF(ISBLANK(D203),"",(VLOOKUP(D203,Cardápio!$A$2:$B$16,2,0))*E203)</f>
        <v/>
      </c>
      <c r="H203" s="7" t="str">
        <f t="shared" si="12"/>
        <v/>
      </c>
      <c r="I203" s="7" t="str">
        <f>IF(AND(ISBLANK(D203),ISBLANK(C203)),"",((VLOOKUP(D203,Cardápio!$A$2:$C$16,3,0))*E203)+IF(B203="iFood",F203*0.27,(VLOOKUP(VENDAS!C203,Bairros!$A$2:$B$90,2,0))))</f>
        <v/>
      </c>
      <c r="J203" s="7" t="str">
        <f t="shared" si="13"/>
        <v/>
      </c>
      <c r="K203" s="9">
        <f t="shared" ca="1" si="14"/>
        <v>45404.878290046297</v>
      </c>
      <c r="L203" s="10">
        <f t="shared" ca="1" si="15"/>
        <v>45404.878290046297</v>
      </c>
    </row>
    <row r="204" spans="6:12" x14ac:dyDescent="0.25">
      <c r="F204" s="11" t="str">
        <f>IF(ISBLANK(D204),"",(VLOOKUP(D204,Cardápio!$A$2:$B$16,2,0))*E204)</f>
        <v/>
      </c>
      <c r="H204" s="7" t="str">
        <f t="shared" si="12"/>
        <v/>
      </c>
      <c r="I204" s="7" t="str">
        <f>IF(AND(ISBLANK(D204),ISBLANK(C204)),"",((VLOOKUP(D204,Cardápio!$A$2:$C$16,3,0))*E204)+IF(B204="iFood",F204*0.27,(VLOOKUP(VENDAS!C204,Bairros!$A$2:$B$90,2,0))))</f>
        <v/>
      </c>
      <c r="J204" s="7" t="str">
        <f t="shared" si="13"/>
        <v/>
      </c>
      <c r="K204" s="9">
        <f t="shared" ca="1" si="14"/>
        <v>45404.878290046297</v>
      </c>
      <c r="L204" s="10">
        <f t="shared" ca="1" si="15"/>
        <v>45404.878290046297</v>
      </c>
    </row>
    <row r="205" spans="6:12" x14ac:dyDescent="0.25">
      <c r="F205" s="11" t="str">
        <f>IF(ISBLANK(D205),"",(VLOOKUP(D205,Cardápio!$A$2:$B$16,2,0))*E205)</f>
        <v/>
      </c>
      <c r="H205" s="7" t="str">
        <f t="shared" si="12"/>
        <v/>
      </c>
      <c r="I205" s="7" t="str">
        <f>IF(AND(ISBLANK(D205),ISBLANK(C205)),"",((VLOOKUP(D205,Cardápio!$A$2:$C$16,3,0))*E205)+IF(B205="iFood",F205*0.27,(VLOOKUP(VENDAS!C205,Bairros!$A$2:$B$90,2,0))))</f>
        <v/>
      </c>
      <c r="J205" s="7" t="str">
        <f t="shared" si="13"/>
        <v/>
      </c>
      <c r="K205" s="9">
        <f t="shared" ca="1" si="14"/>
        <v>45404.878290162036</v>
      </c>
      <c r="L205" s="10">
        <f t="shared" ca="1" si="15"/>
        <v>45404.878290046297</v>
      </c>
    </row>
    <row r="206" spans="6:12" x14ac:dyDescent="0.25">
      <c r="F206" s="11" t="str">
        <f>IF(ISBLANK(D206),"",(VLOOKUP(D206,Cardápio!$A$2:$B$16,2,0))*E206)</f>
        <v/>
      </c>
      <c r="H206" s="7" t="str">
        <f t="shared" si="12"/>
        <v/>
      </c>
      <c r="I206" s="7" t="str">
        <f>IF(AND(ISBLANK(D206),ISBLANK(C206)),"",((VLOOKUP(D206,Cardápio!$A$2:$C$16,3,0))*E206)+IF(B206="iFood",F206*0.27,(VLOOKUP(VENDAS!C206,Bairros!$A$2:$B$90,2,0))))</f>
        <v/>
      </c>
      <c r="J206" s="7" t="str">
        <f t="shared" si="13"/>
        <v/>
      </c>
      <c r="K206" s="9">
        <f t="shared" ca="1" si="14"/>
        <v>45404.878290046297</v>
      </c>
      <c r="L206" s="10">
        <f t="shared" ca="1" si="15"/>
        <v>45404.878290046297</v>
      </c>
    </row>
    <row r="207" spans="6:12" x14ac:dyDescent="0.25">
      <c r="F207" s="11" t="str">
        <f>IF(ISBLANK(D207),"",(VLOOKUP(D207,Cardápio!$A$2:$B$16,2,0))*E207)</f>
        <v/>
      </c>
      <c r="H207" s="7" t="str">
        <f t="shared" si="12"/>
        <v/>
      </c>
      <c r="I207" s="7" t="str">
        <f>IF(AND(ISBLANK(D207),ISBLANK(C207)),"",((VLOOKUP(D207,Cardápio!$A$2:$C$16,3,0))*E207)+IF(B207="iFood",F207*0.27,(VLOOKUP(VENDAS!C207,Bairros!$A$2:$B$90,2,0))))</f>
        <v/>
      </c>
      <c r="J207" s="7" t="str">
        <f t="shared" si="13"/>
        <v/>
      </c>
      <c r="K207" s="9">
        <f t="shared" ca="1" si="14"/>
        <v>45404.878290046297</v>
      </c>
      <c r="L207" s="10">
        <f t="shared" ca="1" si="15"/>
        <v>45404.878290046297</v>
      </c>
    </row>
    <row r="208" spans="6:12" x14ac:dyDescent="0.25">
      <c r="F208" s="11" t="str">
        <f>IF(ISBLANK(D208),"",(VLOOKUP(D208,Cardápio!$A$2:$B$16,2,0))*E208)</f>
        <v/>
      </c>
      <c r="H208" s="7" t="str">
        <f t="shared" si="12"/>
        <v/>
      </c>
      <c r="I208" s="7" t="str">
        <f>IF(AND(ISBLANK(D208),ISBLANK(C208)),"",((VLOOKUP(D208,Cardápio!$A$2:$C$16,3,0))*E208)+IF(B208="iFood",F208*0.27,(VLOOKUP(VENDAS!C208,Bairros!$A$2:$B$90,2,0))))</f>
        <v/>
      </c>
      <c r="J208" s="7" t="str">
        <f t="shared" si="13"/>
        <v/>
      </c>
      <c r="K208" s="9">
        <f t="shared" ca="1" si="14"/>
        <v>45404.878290046297</v>
      </c>
      <c r="L208" s="10">
        <f t="shared" ca="1" si="15"/>
        <v>45404.878290046297</v>
      </c>
    </row>
    <row r="209" spans="6:12" x14ac:dyDescent="0.25">
      <c r="F209" s="11" t="str">
        <f>IF(ISBLANK(D209),"",(VLOOKUP(D209,Cardápio!$A$2:$B$16,2,0))*E209)</f>
        <v/>
      </c>
      <c r="H209" s="7" t="str">
        <f t="shared" si="12"/>
        <v/>
      </c>
      <c r="I209" s="7" t="str">
        <f>IF(AND(ISBLANK(D209),ISBLANK(C209)),"",((VLOOKUP(D209,Cardápio!$A$2:$C$16,3,0))*E209)+IF(B209="iFood",F209*0.27,(VLOOKUP(VENDAS!C209,Bairros!$A$2:$B$90,2,0))))</f>
        <v/>
      </c>
      <c r="J209" s="7" t="str">
        <f t="shared" si="13"/>
        <v/>
      </c>
      <c r="K209" s="9">
        <f t="shared" ca="1" si="14"/>
        <v>45404.878290162036</v>
      </c>
      <c r="L209" s="10">
        <f t="shared" ca="1" si="15"/>
        <v>45404.878290046297</v>
      </c>
    </row>
    <row r="210" spans="6:12" x14ac:dyDescent="0.25">
      <c r="F210" s="11" t="str">
        <f>IF(ISBLANK(D210),"",(VLOOKUP(D210,Cardápio!$A$2:$B$16,2,0))*E210)</f>
        <v/>
      </c>
      <c r="H210" s="7" t="str">
        <f t="shared" si="12"/>
        <v/>
      </c>
      <c r="I210" s="7" t="str">
        <f>IF(AND(ISBLANK(D210),ISBLANK(C210)),"",((VLOOKUP(D210,Cardápio!$A$2:$C$16,3,0))*E210)+IF(B210="iFood",F210*0.27,(VLOOKUP(VENDAS!C210,Bairros!$A$2:$B$90,2,0))))</f>
        <v/>
      </c>
      <c r="J210" s="7" t="str">
        <f t="shared" si="13"/>
        <v/>
      </c>
      <c r="K210" s="9">
        <f t="shared" ca="1" si="14"/>
        <v>45404.878290046297</v>
      </c>
      <c r="L210" s="10">
        <f t="shared" ca="1" si="15"/>
        <v>45404.878290046297</v>
      </c>
    </row>
    <row r="211" spans="6:12" x14ac:dyDescent="0.25">
      <c r="F211" s="11" t="str">
        <f>IF(ISBLANK(D211),"",(VLOOKUP(D211,Cardápio!$A$2:$B$16,2,0))*E211)</f>
        <v/>
      </c>
      <c r="H211" s="7" t="str">
        <f t="shared" si="12"/>
        <v/>
      </c>
      <c r="I211" s="7" t="str">
        <f>IF(AND(ISBLANK(D211),ISBLANK(C211)),"",((VLOOKUP(D211,Cardápio!$A$2:$C$16,3,0))*E211)+IF(B211="iFood",F211*0.27,(VLOOKUP(VENDAS!C211,Bairros!$A$2:$B$90,2,0))))</f>
        <v/>
      </c>
      <c r="J211" s="7" t="str">
        <f t="shared" si="13"/>
        <v/>
      </c>
      <c r="K211" s="9">
        <f t="shared" ca="1" si="14"/>
        <v>45404.878290046297</v>
      </c>
      <c r="L211" s="10">
        <f t="shared" ca="1" si="15"/>
        <v>45404.878290046297</v>
      </c>
    </row>
    <row r="212" spans="6:12" x14ac:dyDescent="0.25">
      <c r="F212" s="11" t="str">
        <f>IF(ISBLANK(D212),"",(VLOOKUP(D212,Cardápio!$A$2:$B$16,2,0))*E212)</f>
        <v/>
      </c>
      <c r="H212" s="7" t="str">
        <f t="shared" si="12"/>
        <v/>
      </c>
      <c r="I212" s="7" t="str">
        <f>IF(AND(ISBLANK(D212),ISBLANK(C212)),"",((VLOOKUP(D212,Cardápio!$A$2:$C$16,3,0))*E212)+IF(B212="iFood",F212*0.27,(VLOOKUP(VENDAS!C212,Bairros!$A$2:$B$90,2,0))))</f>
        <v/>
      </c>
      <c r="J212" s="7" t="str">
        <f t="shared" si="13"/>
        <v/>
      </c>
      <c r="K212" s="9">
        <f t="shared" ca="1" si="14"/>
        <v>45404.878290046297</v>
      </c>
      <c r="L212" s="10">
        <f t="shared" ca="1" si="15"/>
        <v>45404.878290046297</v>
      </c>
    </row>
    <row r="213" spans="6:12" x14ac:dyDescent="0.25">
      <c r="F213" s="11" t="str">
        <f>IF(ISBLANK(D213),"",(VLOOKUP(D213,Cardápio!$A$2:$B$16,2,0))*E213)</f>
        <v/>
      </c>
      <c r="H213" s="7" t="str">
        <f t="shared" si="12"/>
        <v/>
      </c>
      <c r="I213" s="7" t="str">
        <f>IF(AND(ISBLANK(D213),ISBLANK(C213)),"",((VLOOKUP(D213,Cardápio!$A$2:$C$16,3,0))*E213)+IF(B213="iFood",F213*0.27,(VLOOKUP(VENDAS!C213,Bairros!$A$2:$B$90,2,0))))</f>
        <v/>
      </c>
      <c r="J213" s="7" t="str">
        <f t="shared" si="13"/>
        <v/>
      </c>
      <c r="K213" s="9">
        <f t="shared" ca="1" si="14"/>
        <v>45404.878290162036</v>
      </c>
      <c r="L213" s="10">
        <f t="shared" ca="1" si="15"/>
        <v>45404.878290046297</v>
      </c>
    </row>
    <row r="214" spans="6:12" x14ac:dyDescent="0.25">
      <c r="F214" s="11" t="str">
        <f>IF(ISBLANK(D214),"",(VLOOKUP(D214,Cardápio!$A$2:$B$16,2,0))*E214)</f>
        <v/>
      </c>
      <c r="H214" s="7" t="str">
        <f t="shared" si="12"/>
        <v/>
      </c>
      <c r="I214" s="7" t="str">
        <f>IF(AND(ISBLANK(D214),ISBLANK(C214)),"",((VLOOKUP(D214,Cardápio!$A$2:$C$16,3,0))*E214)+IF(B214="iFood",F214*0.27,(VLOOKUP(VENDAS!C214,Bairros!$A$2:$B$90,2,0))))</f>
        <v/>
      </c>
      <c r="J214" s="7" t="str">
        <f t="shared" si="13"/>
        <v/>
      </c>
      <c r="K214" s="9">
        <f t="shared" ca="1" si="14"/>
        <v>45404.878290046297</v>
      </c>
      <c r="L214" s="10">
        <f t="shared" ca="1" si="15"/>
        <v>45404.878290046297</v>
      </c>
    </row>
    <row r="215" spans="6:12" x14ac:dyDescent="0.25">
      <c r="F215" s="11" t="str">
        <f>IF(ISBLANK(D215),"",(VLOOKUP(D215,Cardápio!$A$2:$B$16,2,0))*E215)</f>
        <v/>
      </c>
      <c r="H215" s="7" t="str">
        <f t="shared" si="12"/>
        <v/>
      </c>
      <c r="I215" s="7" t="str">
        <f>IF(AND(ISBLANK(D215),ISBLANK(C215)),"",((VLOOKUP(D215,Cardápio!$A$2:$C$16,3,0))*E215)+IF(B215="iFood",F215*0.27,(VLOOKUP(VENDAS!C215,Bairros!$A$2:$B$90,2,0))))</f>
        <v/>
      </c>
      <c r="J215" s="7" t="str">
        <f t="shared" si="13"/>
        <v/>
      </c>
      <c r="K215" s="9">
        <f t="shared" ca="1" si="14"/>
        <v>45404.878290046297</v>
      </c>
      <c r="L215" s="10">
        <f t="shared" ca="1" si="15"/>
        <v>45404.878290046297</v>
      </c>
    </row>
    <row r="216" spans="6:12" x14ac:dyDescent="0.25">
      <c r="F216" s="11" t="str">
        <f>IF(ISBLANK(D216),"",(VLOOKUP(D216,Cardápio!$A$2:$B$16,2,0))*E216)</f>
        <v/>
      </c>
      <c r="H216" s="7" t="str">
        <f t="shared" si="12"/>
        <v/>
      </c>
      <c r="I216" s="7" t="str">
        <f>IF(AND(ISBLANK(D216),ISBLANK(C216)),"",((VLOOKUP(D216,Cardápio!$A$2:$C$16,3,0))*E216)+IF(B216="iFood",F216*0.27,(VLOOKUP(VENDAS!C216,Bairros!$A$2:$B$90,2,0))))</f>
        <v/>
      </c>
      <c r="J216" s="7" t="str">
        <f t="shared" si="13"/>
        <v/>
      </c>
      <c r="K216" s="9">
        <f t="shared" ca="1" si="14"/>
        <v>45404.878290046297</v>
      </c>
      <c r="L216" s="10">
        <f t="shared" ca="1" si="15"/>
        <v>45404.878290046297</v>
      </c>
    </row>
    <row r="217" spans="6:12" x14ac:dyDescent="0.25">
      <c r="F217" s="11" t="str">
        <f>IF(ISBLANK(D217),"",(VLOOKUP(D217,Cardápio!$A$2:$B$16,2,0))*E217)</f>
        <v/>
      </c>
      <c r="H217" s="7" t="str">
        <f t="shared" si="12"/>
        <v/>
      </c>
      <c r="I217" s="7" t="str">
        <f>IF(AND(ISBLANK(D217),ISBLANK(C217)),"",((VLOOKUP(D217,Cardápio!$A$2:$C$16,3,0))*E217)+IF(B217="iFood",F217*0.27,(VLOOKUP(VENDAS!C217,Bairros!$A$2:$B$90,2,0))))</f>
        <v/>
      </c>
      <c r="J217" s="7" t="str">
        <f t="shared" si="13"/>
        <v/>
      </c>
      <c r="K217" s="9">
        <f t="shared" ca="1" si="14"/>
        <v>45404.878290162036</v>
      </c>
      <c r="L217" s="10">
        <f t="shared" ca="1" si="15"/>
        <v>45404.878290046297</v>
      </c>
    </row>
    <row r="218" spans="6:12" x14ac:dyDescent="0.25">
      <c r="F218" s="11" t="str">
        <f>IF(ISBLANK(D218),"",(VLOOKUP(D218,Cardápio!$A$2:$B$16,2,0))*E218)</f>
        <v/>
      </c>
      <c r="H218" s="7" t="str">
        <f t="shared" si="12"/>
        <v/>
      </c>
      <c r="I218" s="7" t="str">
        <f>IF(AND(ISBLANK(D218),ISBLANK(C218)),"",((VLOOKUP(D218,Cardápio!$A$2:$C$16,3,0))*E218)+IF(B218="iFood",F218*0.27,(VLOOKUP(VENDAS!C218,Bairros!$A$2:$B$90,2,0))))</f>
        <v/>
      </c>
      <c r="J218" s="7" t="str">
        <f t="shared" si="13"/>
        <v/>
      </c>
      <c r="K218" s="9">
        <f t="shared" ca="1" si="14"/>
        <v>45404.878290046297</v>
      </c>
      <c r="L218" s="10">
        <f t="shared" ca="1" si="15"/>
        <v>45404.878290046297</v>
      </c>
    </row>
    <row r="219" spans="6:12" x14ac:dyDescent="0.25">
      <c r="F219" s="11" t="str">
        <f>IF(ISBLANK(D219),"",(VLOOKUP(D219,Cardápio!$A$2:$B$16,2,0))*E219)</f>
        <v/>
      </c>
      <c r="H219" s="7" t="str">
        <f t="shared" si="12"/>
        <v/>
      </c>
      <c r="I219" s="7" t="str">
        <f>IF(AND(ISBLANK(D219),ISBLANK(C219)),"",((VLOOKUP(D219,Cardápio!$A$2:$C$16,3,0))*E219)+IF(B219="iFood",F219*0.27,(VLOOKUP(VENDAS!C219,Bairros!$A$2:$B$90,2,0))))</f>
        <v/>
      </c>
      <c r="J219" s="7" t="str">
        <f t="shared" si="13"/>
        <v/>
      </c>
      <c r="K219" s="9">
        <f t="shared" ca="1" si="14"/>
        <v>45404.878290046297</v>
      </c>
      <c r="L219" s="10">
        <f t="shared" ca="1" si="15"/>
        <v>45404.878290046297</v>
      </c>
    </row>
    <row r="220" spans="6:12" x14ac:dyDescent="0.25">
      <c r="F220" s="11" t="str">
        <f>IF(ISBLANK(D220),"",(VLOOKUP(D220,Cardápio!$A$2:$B$16,2,0))*E220)</f>
        <v/>
      </c>
      <c r="H220" s="7" t="str">
        <f t="shared" si="12"/>
        <v/>
      </c>
      <c r="I220" s="7" t="str">
        <f>IF(AND(ISBLANK(D220),ISBLANK(C220)),"",((VLOOKUP(D220,Cardápio!$A$2:$C$16,3,0))*E220)+IF(B220="iFood",F220*0.27,(VLOOKUP(VENDAS!C220,Bairros!$A$2:$B$90,2,0))))</f>
        <v/>
      </c>
      <c r="J220" s="7" t="str">
        <f t="shared" si="13"/>
        <v/>
      </c>
      <c r="K220" s="9">
        <f t="shared" ca="1" si="14"/>
        <v>45404.878290046297</v>
      </c>
      <c r="L220" s="10">
        <f t="shared" ca="1" si="15"/>
        <v>45404.878290046297</v>
      </c>
    </row>
    <row r="221" spans="6:12" x14ac:dyDescent="0.25">
      <c r="F221" s="11" t="str">
        <f>IF(ISBLANK(D221),"",(VLOOKUP(D221,Cardápio!$A$2:$B$16,2,0))*E221)</f>
        <v/>
      </c>
      <c r="H221" s="7" t="str">
        <f t="shared" si="12"/>
        <v/>
      </c>
      <c r="I221" s="7" t="str">
        <f>IF(AND(ISBLANK(D221),ISBLANK(C221)),"",((VLOOKUP(D221,Cardápio!$A$2:$C$16,3,0))*E221)+IF(B221="iFood",F221*0.27,(VLOOKUP(VENDAS!C221,Bairros!$A$2:$B$90,2,0))))</f>
        <v/>
      </c>
      <c r="J221" s="7" t="str">
        <f t="shared" si="13"/>
        <v/>
      </c>
      <c r="K221" s="9">
        <f t="shared" ca="1" si="14"/>
        <v>45404.878290162036</v>
      </c>
      <c r="L221" s="10">
        <f t="shared" ca="1" si="15"/>
        <v>45404.878290046297</v>
      </c>
    </row>
    <row r="222" spans="6:12" x14ac:dyDescent="0.25">
      <c r="F222" s="11" t="str">
        <f>IF(ISBLANK(D222),"",(VLOOKUP(D222,Cardápio!$A$2:$B$16,2,0))*E222)</f>
        <v/>
      </c>
      <c r="H222" s="7" t="str">
        <f t="shared" si="12"/>
        <v/>
      </c>
      <c r="I222" s="7" t="str">
        <f>IF(AND(ISBLANK(D222),ISBLANK(C222)),"",((VLOOKUP(D222,Cardápio!$A$2:$C$16,3,0))*E222)+IF(B222="iFood",F222*0.27,(VLOOKUP(VENDAS!C222,Bairros!$A$2:$B$90,2,0))))</f>
        <v/>
      </c>
      <c r="J222" s="7" t="str">
        <f t="shared" si="13"/>
        <v/>
      </c>
      <c r="K222" s="9">
        <f t="shared" ca="1" si="14"/>
        <v>45404.878290046297</v>
      </c>
      <c r="L222" s="10">
        <f t="shared" ca="1" si="15"/>
        <v>45404.878290046297</v>
      </c>
    </row>
    <row r="223" spans="6:12" x14ac:dyDescent="0.25">
      <c r="F223" s="11" t="str">
        <f>IF(ISBLANK(D223),"",(VLOOKUP(D223,Cardápio!$A$2:$B$16,2,0))*E223)</f>
        <v/>
      </c>
      <c r="H223" s="7" t="str">
        <f t="shared" si="12"/>
        <v/>
      </c>
      <c r="I223" s="7" t="str">
        <f>IF(AND(ISBLANK(D223),ISBLANK(C223)),"",((VLOOKUP(D223,Cardápio!$A$2:$C$16,3,0))*E223)+IF(B223="iFood",F223*0.27,(VLOOKUP(VENDAS!C223,Bairros!$A$2:$B$90,2,0))))</f>
        <v/>
      </c>
      <c r="J223" s="7" t="str">
        <f t="shared" si="13"/>
        <v/>
      </c>
      <c r="K223" s="9">
        <f t="shared" ca="1" si="14"/>
        <v>45404.878290046297</v>
      </c>
      <c r="L223" s="10">
        <f t="shared" ca="1" si="15"/>
        <v>45404.878290046297</v>
      </c>
    </row>
    <row r="224" spans="6:12" x14ac:dyDescent="0.25">
      <c r="F224" s="11" t="str">
        <f>IF(ISBLANK(D224),"",(VLOOKUP(D224,Cardápio!$A$2:$B$16,2,0))*E224)</f>
        <v/>
      </c>
      <c r="H224" s="7" t="str">
        <f t="shared" si="12"/>
        <v/>
      </c>
      <c r="I224" s="7" t="str">
        <f>IF(AND(ISBLANK(D224),ISBLANK(C224)),"",((VLOOKUP(D224,Cardápio!$A$2:$C$16,3,0))*E224)+IF(B224="iFood",F224*0.27,(VLOOKUP(VENDAS!C224,Bairros!$A$2:$B$90,2,0))))</f>
        <v/>
      </c>
      <c r="J224" s="7" t="str">
        <f t="shared" si="13"/>
        <v/>
      </c>
      <c r="K224" s="9">
        <f t="shared" ca="1" si="14"/>
        <v>45404.878290046297</v>
      </c>
      <c r="L224" s="10">
        <f t="shared" ca="1" si="15"/>
        <v>45404.878290046297</v>
      </c>
    </row>
    <row r="225" spans="6:12" x14ac:dyDescent="0.25">
      <c r="F225" s="11" t="str">
        <f>IF(ISBLANK(D225),"",(VLOOKUP(D225,Cardápio!$A$2:$B$16,2,0))*E225)</f>
        <v/>
      </c>
      <c r="H225" s="7" t="str">
        <f t="shared" si="12"/>
        <v/>
      </c>
      <c r="I225" s="7" t="str">
        <f>IF(AND(ISBLANK(D225),ISBLANK(C225)),"",((VLOOKUP(D225,Cardápio!$A$2:$C$16,3,0))*E225)+IF(B225="iFood",F225*0.27,(VLOOKUP(VENDAS!C225,Bairros!$A$2:$B$90,2,0))))</f>
        <v/>
      </c>
      <c r="J225" s="7" t="str">
        <f t="shared" si="13"/>
        <v/>
      </c>
      <c r="K225" s="9">
        <f t="shared" ca="1" si="14"/>
        <v>45404.878290162036</v>
      </c>
      <c r="L225" s="10">
        <f t="shared" ca="1" si="15"/>
        <v>45404.878290046297</v>
      </c>
    </row>
    <row r="226" spans="6:12" x14ac:dyDescent="0.25">
      <c r="F226" s="11" t="str">
        <f>IF(ISBLANK(D226),"",(VLOOKUP(D226,Cardápio!$A$2:$B$16,2,0))*E226)</f>
        <v/>
      </c>
      <c r="H226" s="7" t="str">
        <f t="shared" si="12"/>
        <v/>
      </c>
      <c r="I226" s="7" t="str">
        <f>IF(AND(ISBLANK(D226),ISBLANK(C226)),"",((VLOOKUP(D226,Cardápio!$A$2:$C$16,3,0))*E226)+IF(B226="iFood",F226*0.27,(VLOOKUP(VENDAS!C226,Bairros!$A$2:$B$90,2,0))))</f>
        <v/>
      </c>
      <c r="J226" s="7" t="str">
        <f t="shared" si="13"/>
        <v/>
      </c>
      <c r="K226" s="9">
        <f t="shared" ca="1" si="14"/>
        <v>45404.878290046297</v>
      </c>
      <c r="L226" s="10">
        <f t="shared" ca="1" si="15"/>
        <v>45404.878290046297</v>
      </c>
    </row>
    <row r="227" spans="6:12" x14ac:dyDescent="0.25">
      <c r="F227" s="11" t="str">
        <f>IF(ISBLANK(D227),"",(VLOOKUP(D227,Cardápio!$A$2:$B$16,2,0))*E227)</f>
        <v/>
      </c>
      <c r="H227" s="7" t="str">
        <f t="shared" si="12"/>
        <v/>
      </c>
      <c r="I227" s="7" t="str">
        <f>IF(AND(ISBLANK(D227),ISBLANK(C227)),"",((VLOOKUP(D227,Cardápio!$A$2:$C$16,3,0))*E227)+IF(B227="iFood",F227*0.27,(VLOOKUP(VENDAS!C227,Bairros!$A$2:$B$90,2,0))))</f>
        <v/>
      </c>
      <c r="J227" s="7" t="str">
        <f t="shared" si="13"/>
        <v/>
      </c>
      <c r="K227" s="9">
        <f t="shared" ca="1" si="14"/>
        <v>45404.878290046297</v>
      </c>
      <c r="L227" s="10">
        <f t="shared" ca="1" si="15"/>
        <v>45404.878290046297</v>
      </c>
    </row>
    <row r="228" spans="6:12" x14ac:dyDescent="0.25">
      <c r="F228" s="11" t="str">
        <f>IF(ISBLANK(D228),"",(VLOOKUP(D228,Cardápio!$A$2:$B$16,2,0))*E228)</f>
        <v/>
      </c>
      <c r="H228" s="7" t="str">
        <f t="shared" si="12"/>
        <v/>
      </c>
      <c r="I228" s="7" t="str">
        <f>IF(AND(ISBLANK(D228),ISBLANK(C228)),"",((VLOOKUP(D228,Cardápio!$A$2:$C$16,3,0))*E228)+IF(B228="iFood",F228*0.27,(VLOOKUP(VENDAS!C228,Bairros!$A$2:$B$90,2,0))))</f>
        <v/>
      </c>
      <c r="J228" s="7" t="str">
        <f t="shared" si="13"/>
        <v/>
      </c>
      <c r="K228" s="9">
        <f t="shared" ca="1" si="14"/>
        <v>45404.878290046297</v>
      </c>
      <c r="L228" s="10">
        <f t="shared" ca="1" si="15"/>
        <v>45404.878290046297</v>
      </c>
    </row>
    <row r="229" spans="6:12" x14ac:dyDescent="0.25">
      <c r="F229" s="11" t="str">
        <f>IF(ISBLANK(D229),"",(VLOOKUP(D229,Cardápio!$A$2:$B$16,2,0))*E229)</f>
        <v/>
      </c>
      <c r="H229" s="7" t="str">
        <f t="shared" si="12"/>
        <v/>
      </c>
      <c r="I229" s="7" t="str">
        <f>IF(AND(ISBLANK(D229),ISBLANK(C229)),"",((VLOOKUP(D229,Cardápio!$A$2:$C$16,3,0))*E229)+IF(B229="iFood",F229*0.27,(VLOOKUP(VENDAS!C229,Bairros!$A$2:$B$90,2,0))))</f>
        <v/>
      </c>
      <c r="J229" s="7" t="str">
        <f t="shared" si="13"/>
        <v/>
      </c>
      <c r="K229" s="9">
        <f t="shared" ca="1" si="14"/>
        <v>45404.878290162036</v>
      </c>
      <c r="L229" s="10">
        <f t="shared" ca="1" si="15"/>
        <v>45404.878290046297</v>
      </c>
    </row>
    <row r="230" spans="6:12" x14ac:dyDescent="0.25">
      <c r="F230" s="11" t="str">
        <f>IF(ISBLANK(D230),"",(VLOOKUP(D230,Cardápio!$A$2:$B$16,2,0))*E230)</f>
        <v/>
      </c>
      <c r="H230" s="7" t="str">
        <f t="shared" si="12"/>
        <v/>
      </c>
      <c r="I230" s="7" t="str">
        <f>IF(AND(ISBLANK(D230),ISBLANK(C230)),"",((VLOOKUP(D230,Cardápio!$A$2:$C$16,3,0))*E230)+IF(B230="iFood",F230*0.27,(VLOOKUP(VENDAS!C230,Bairros!$A$2:$B$90,2,0))))</f>
        <v/>
      </c>
      <c r="J230" s="7" t="str">
        <f t="shared" si="13"/>
        <v/>
      </c>
      <c r="K230" s="9">
        <f t="shared" ca="1" si="14"/>
        <v>45404.878290046297</v>
      </c>
      <c r="L230" s="10">
        <f t="shared" ca="1" si="15"/>
        <v>45404.878290046297</v>
      </c>
    </row>
    <row r="231" spans="6:12" x14ac:dyDescent="0.25">
      <c r="F231" s="11" t="str">
        <f>IF(ISBLANK(D231),"",(VLOOKUP(D231,Cardápio!$A$2:$B$16,2,0))*E231)</f>
        <v/>
      </c>
      <c r="H231" s="7" t="str">
        <f t="shared" si="12"/>
        <v/>
      </c>
      <c r="I231" s="7" t="str">
        <f>IF(AND(ISBLANK(D231),ISBLANK(C231)),"",((VLOOKUP(D231,Cardápio!$A$2:$C$16,3,0))*E231)+IF(B231="iFood",F231*0.27,(VLOOKUP(VENDAS!C231,Bairros!$A$2:$B$90,2,0))))</f>
        <v/>
      </c>
      <c r="J231" s="7" t="str">
        <f t="shared" si="13"/>
        <v/>
      </c>
      <c r="K231" s="9">
        <f t="shared" ca="1" si="14"/>
        <v>45404.878290046297</v>
      </c>
      <c r="L231" s="10">
        <f t="shared" ca="1" si="15"/>
        <v>45404.878290046297</v>
      </c>
    </row>
    <row r="232" spans="6:12" x14ac:dyDescent="0.25">
      <c r="F232" s="11" t="str">
        <f>IF(ISBLANK(D232),"",(VLOOKUP(D232,Cardápio!$A$2:$B$16,2,0))*E232)</f>
        <v/>
      </c>
      <c r="H232" s="7" t="str">
        <f t="shared" si="12"/>
        <v/>
      </c>
      <c r="I232" s="7" t="str">
        <f>IF(AND(ISBLANK(D232),ISBLANK(C232)),"",((VLOOKUP(D232,Cardápio!$A$2:$C$16,3,0))*E232)+IF(B232="iFood",F232*0.27,(VLOOKUP(VENDAS!C232,Bairros!$A$2:$B$90,2,0))))</f>
        <v/>
      </c>
      <c r="J232" s="7" t="str">
        <f t="shared" si="13"/>
        <v/>
      </c>
      <c r="K232" s="9">
        <f t="shared" ca="1" si="14"/>
        <v>45404.878290046297</v>
      </c>
      <c r="L232" s="10">
        <f t="shared" ca="1" si="15"/>
        <v>45404.878290046297</v>
      </c>
    </row>
    <row r="233" spans="6:12" x14ac:dyDescent="0.25">
      <c r="F233" s="11" t="str">
        <f>IF(ISBLANK(D233),"",(VLOOKUP(D233,Cardápio!$A$2:$B$16,2,0))*E233)</f>
        <v/>
      </c>
      <c r="H233" s="7" t="str">
        <f t="shared" si="12"/>
        <v/>
      </c>
      <c r="I233" s="7" t="str">
        <f>IF(AND(ISBLANK(D233),ISBLANK(C233)),"",((VLOOKUP(D233,Cardápio!$A$2:$C$16,3,0))*E233)+IF(B233="iFood",F233*0.27,(VLOOKUP(VENDAS!C233,Bairros!$A$2:$B$90,2,0))))</f>
        <v/>
      </c>
      <c r="J233" s="7" t="str">
        <f t="shared" si="13"/>
        <v/>
      </c>
      <c r="K233" s="9">
        <f t="shared" ca="1" si="14"/>
        <v>45404.878290162036</v>
      </c>
      <c r="L233" s="10">
        <f t="shared" ca="1" si="15"/>
        <v>45404.878290046297</v>
      </c>
    </row>
    <row r="234" spans="6:12" x14ac:dyDescent="0.25">
      <c r="F234" s="11" t="str">
        <f>IF(ISBLANK(D234),"",(VLOOKUP(D234,Cardápio!$A$2:$B$16,2,0))*E234)</f>
        <v/>
      </c>
      <c r="H234" s="7" t="str">
        <f t="shared" si="12"/>
        <v/>
      </c>
      <c r="I234" s="7" t="str">
        <f>IF(AND(ISBLANK(D234),ISBLANK(C234)),"",((VLOOKUP(D234,Cardápio!$A$2:$C$16,3,0))*E234)+IF(B234="iFood",F234*0.27,(VLOOKUP(VENDAS!C234,Bairros!$A$2:$B$90,2,0))))</f>
        <v/>
      </c>
      <c r="J234" s="7" t="str">
        <f t="shared" si="13"/>
        <v/>
      </c>
      <c r="K234" s="9">
        <f t="shared" ca="1" si="14"/>
        <v>45404.878290046297</v>
      </c>
      <c r="L234" s="10">
        <f t="shared" ca="1" si="15"/>
        <v>45404.878290046297</v>
      </c>
    </row>
    <row r="235" spans="6:12" x14ac:dyDescent="0.25">
      <c r="F235" s="11" t="str">
        <f>IF(ISBLANK(D235),"",(VLOOKUP(D235,Cardápio!$A$2:$B$16,2,0))*E235)</f>
        <v/>
      </c>
      <c r="H235" s="7" t="str">
        <f t="shared" si="12"/>
        <v/>
      </c>
      <c r="I235" s="7" t="str">
        <f>IF(AND(ISBLANK(D235),ISBLANK(C235)),"",((VLOOKUP(D235,Cardápio!$A$2:$C$16,3,0))*E235)+IF(B235="iFood",F235*0.27,(VLOOKUP(VENDAS!C235,Bairros!$A$2:$B$90,2,0))))</f>
        <v/>
      </c>
      <c r="J235" s="7" t="str">
        <f t="shared" si="13"/>
        <v/>
      </c>
      <c r="K235" s="9">
        <f t="shared" ca="1" si="14"/>
        <v>45404.878290046297</v>
      </c>
      <c r="L235" s="10">
        <f t="shared" ca="1" si="15"/>
        <v>45404.878290046297</v>
      </c>
    </row>
    <row r="236" spans="6:12" x14ac:dyDescent="0.25">
      <c r="F236" s="11" t="str">
        <f>IF(ISBLANK(D236),"",(VLOOKUP(D236,Cardápio!$A$2:$B$16,2,0))*E236)</f>
        <v/>
      </c>
      <c r="H236" s="7" t="str">
        <f t="shared" si="12"/>
        <v/>
      </c>
      <c r="I236" s="7" t="str">
        <f>IF(AND(ISBLANK(D236),ISBLANK(C236)),"",((VLOOKUP(D236,Cardápio!$A$2:$C$16,3,0))*E236)+IF(B236="iFood",F236*0.27,(VLOOKUP(VENDAS!C236,Bairros!$A$2:$B$90,2,0))))</f>
        <v/>
      </c>
      <c r="J236" s="7" t="str">
        <f t="shared" si="13"/>
        <v/>
      </c>
      <c r="K236" s="9">
        <f t="shared" ca="1" si="14"/>
        <v>45404.878290046297</v>
      </c>
      <c r="L236" s="10">
        <f t="shared" ca="1" si="15"/>
        <v>45404.878290046297</v>
      </c>
    </row>
    <row r="237" spans="6:12" x14ac:dyDescent="0.25">
      <c r="F237" s="11" t="str">
        <f>IF(ISBLANK(D237),"",(VLOOKUP(D237,Cardápio!$A$2:$B$16,2,0))*E237)</f>
        <v/>
      </c>
      <c r="H237" s="7" t="str">
        <f t="shared" si="12"/>
        <v/>
      </c>
      <c r="I237" s="7" t="str">
        <f>IF(AND(ISBLANK(D237),ISBLANK(C237)),"",((VLOOKUP(D237,Cardápio!$A$2:$C$16,3,0))*E237)+IF(B237="iFood",F237*0.27,(VLOOKUP(VENDAS!C237,Bairros!$A$2:$B$90,2,0))))</f>
        <v/>
      </c>
      <c r="J237" s="7" t="str">
        <f t="shared" si="13"/>
        <v/>
      </c>
      <c r="K237" s="9">
        <f t="shared" ca="1" si="14"/>
        <v>45404.878290162036</v>
      </c>
      <c r="L237" s="10">
        <f t="shared" ca="1" si="15"/>
        <v>45404.878290046297</v>
      </c>
    </row>
    <row r="238" spans="6:12" x14ac:dyDescent="0.25">
      <c r="F238" s="11" t="str">
        <f>IF(ISBLANK(D238),"",(VLOOKUP(D238,Cardápio!$A$2:$B$16,2,0))*E238)</f>
        <v/>
      </c>
      <c r="H238" s="7" t="str">
        <f t="shared" si="12"/>
        <v/>
      </c>
      <c r="I238" s="7" t="str">
        <f>IF(AND(ISBLANK(D238),ISBLANK(C238)),"",((VLOOKUP(D238,Cardápio!$A$2:$C$16,3,0))*E238)+IF(B238="iFood",F238*0.27,(VLOOKUP(VENDAS!C238,Bairros!$A$2:$B$90,2,0))))</f>
        <v/>
      </c>
      <c r="J238" s="7" t="str">
        <f t="shared" si="13"/>
        <v/>
      </c>
      <c r="K238" s="9">
        <f t="shared" ca="1" si="14"/>
        <v>45404.878290046297</v>
      </c>
      <c r="L238" s="10">
        <f t="shared" ca="1" si="15"/>
        <v>45404.878290046297</v>
      </c>
    </row>
    <row r="239" spans="6:12" x14ac:dyDescent="0.25">
      <c r="F239" s="11" t="str">
        <f>IF(ISBLANK(D239),"",(VLOOKUP(D239,Cardápio!$A$2:$B$16,2,0))*E239)</f>
        <v/>
      </c>
      <c r="H239" s="7" t="str">
        <f t="shared" si="12"/>
        <v/>
      </c>
      <c r="I239" s="7" t="str">
        <f>IF(AND(ISBLANK(D239),ISBLANK(C239)),"",((VLOOKUP(D239,Cardápio!$A$2:$C$16,3,0))*E239)+IF(B239="iFood",F239*0.27,(VLOOKUP(VENDAS!C239,Bairros!$A$2:$B$90,2,0))))</f>
        <v/>
      </c>
      <c r="J239" s="7" t="str">
        <f t="shared" si="13"/>
        <v/>
      </c>
      <c r="K239" s="9">
        <f t="shared" ca="1" si="14"/>
        <v>45404.878290046297</v>
      </c>
      <c r="L239" s="10">
        <f t="shared" ca="1" si="15"/>
        <v>45404.878290046297</v>
      </c>
    </row>
    <row r="240" spans="6:12" x14ac:dyDescent="0.25">
      <c r="F240" s="11" t="str">
        <f>IF(ISBLANK(D240),"",(VLOOKUP(D240,Cardápio!$A$2:$B$16,2,0))*E240)</f>
        <v/>
      </c>
      <c r="H240" s="7" t="str">
        <f t="shared" si="12"/>
        <v/>
      </c>
      <c r="I240" s="7" t="str">
        <f>IF(AND(ISBLANK(D240),ISBLANK(C240)),"",((VLOOKUP(D240,Cardápio!$A$2:$C$16,3,0))*E240)+IF(B240="iFood",F240*0.27,(VLOOKUP(VENDAS!C240,Bairros!$A$2:$B$90,2,0))))</f>
        <v/>
      </c>
      <c r="J240" s="7" t="str">
        <f t="shared" si="13"/>
        <v/>
      </c>
      <c r="K240" s="9">
        <f t="shared" ca="1" si="14"/>
        <v>45404.878290046297</v>
      </c>
      <c r="L240" s="10">
        <f t="shared" ca="1" si="15"/>
        <v>45404.878290046297</v>
      </c>
    </row>
    <row r="241" spans="6:12" x14ac:dyDescent="0.25">
      <c r="F241" s="11" t="str">
        <f>IF(ISBLANK(D241),"",(VLOOKUP(D241,Cardápio!$A$2:$B$16,2,0))*E241)</f>
        <v/>
      </c>
      <c r="H241" s="7" t="str">
        <f t="shared" si="12"/>
        <v/>
      </c>
      <c r="I241" s="7" t="str">
        <f>IF(AND(ISBLANK(D241),ISBLANK(C241)),"",((VLOOKUP(D241,Cardápio!$A$2:$C$16,3,0))*E241)+IF(B241="iFood",F241*0.27,(VLOOKUP(VENDAS!C241,Bairros!$A$2:$B$90,2,0))))</f>
        <v/>
      </c>
      <c r="J241" s="7" t="str">
        <f t="shared" si="13"/>
        <v/>
      </c>
      <c r="K241" s="9">
        <f t="shared" ca="1" si="14"/>
        <v>45404.878290162036</v>
      </c>
      <c r="L241" s="10">
        <f t="shared" ca="1" si="15"/>
        <v>45404.878290046297</v>
      </c>
    </row>
    <row r="242" spans="6:12" x14ac:dyDescent="0.25">
      <c r="F242" s="11" t="str">
        <f>IF(ISBLANK(D242),"",(VLOOKUP(D242,Cardápio!$A$2:$B$16,2,0))*E242)</f>
        <v/>
      </c>
      <c r="H242" s="7" t="str">
        <f t="shared" si="12"/>
        <v/>
      </c>
      <c r="I242" s="7" t="str">
        <f>IF(AND(ISBLANK(D242),ISBLANK(C242)),"",((VLOOKUP(D242,Cardápio!$A$2:$C$16,3,0))*E242)+IF(B242="iFood",F242*0.27,(VLOOKUP(VENDAS!C242,Bairros!$A$2:$B$90,2,0))))</f>
        <v/>
      </c>
      <c r="J242" s="7" t="str">
        <f t="shared" si="13"/>
        <v/>
      </c>
      <c r="K242" s="9">
        <f t="shared" ca="1" si="14"/>
        <v>45404.878290046297</v>
      </c>
      <c r="L242" s="10">
        <f t="shared" ca="1" si="15"/>
        <v>45404.878290046297</v>
      </c>
    </row>
    <row r="243" spans="6:12" x14ac:dyDescent="0.25">
      <c r="F243" s="11" t="str">
        <f>IF(ISBLANK(D243),"",(VLOOKUP(D243,Cardápio!$A$2:$B$16,2,0))*E243)</f>
        <v/>
      </c>
      <c r="H243" s="7" t="str">
        <f t="shared" si="12"/>
        <v/>
      </c>
      <c r="I243" s="7" t="str">
        <f>IF(AND(ISBLANK(D243),ISBLANK(C243)),"",((VLOOKUP(D243,Cardápio!$A$2:$C$16,3,0))*E243)+IF(B243="iFood",F243*0.27,(VLOOKUP(VENDAS!C243,Bairros!$A$2:$B$90,2,0))))</f>
        <v/>
      </c>
      <c r="J243" s="7" t="str">
        <f t="shared" si="13"/>
        <v/>
      </c>
      <c r="K243" s="9">
        <f t="shared" ca="1" si="14"/>
        <v>45404.878290046297</v>
      </c>
      <c r="L243" s="10">
        <f t="shared" ca="1" si="15"/>
        <v>45404.878290046297</v>
      </c>
    </row>
    <row r="244" spans="6:12" x14ac:dyDescent="0.25">
      <c r="F244" s="11" t="str">
        <f>IF(ISBLANK(D244),"",(VLOOKUP(D244,Cardápio!$A$2:$B$16,2,0))*E244)</f>
        <v/>
      </c>
      <c r="H244" s="7" t="str">
        <f t="shared" si="12"/>
        <v/>
      </c>
      <c r="I244" s="7" t="str">
        <f>IF(AND(ISBLANK(D244),ISBLANK(C244)),"",((VLOOKUP(D244,Cardápio!$A$2:$C$16,3,0))*E244)+IF(B244="iFood",F244*0.27,(VLOOKUP(VENDAS!C244,Bairros!$A$2:$B$90,2,0))))</f>
        <v/>
      </c>
      <c r="J244" s="7" t="str">
        <f t="shared" si="13"/>
        <v/>
      </c>
      <c r="K244" s="9">
        <f t="shared" ca="1" si="14"/>
        <v>45404.878290046297</v>
      </c>
      <c r="L244" s="10">
        <f t="shared" ca="1" si="15"/>
        <v>45404.878290046297</v>
      </c>
    </row>
    <row r="245" spans="6:12" x14ac:dyDescent="0.25">
      <c r="F245" s="11" t="str">
        <f>IF(ISBLANK(D245),"",(VLOOKUP(D245,Cardápio!$A$2:$B$16,2,0))*E245)</f>
        <v/>
      </c>
      <c r="H245" s="7" t="str">
        <f t="shared" ref="H245:H308" si="16">IF(ISBLANK(D245),"",F245-G245)</f>
        <v/>
      </c>
      <c r="I245" s="7" t="str">
        <f>IF(AND(ISBLANK(D245),ISBLANK(C245)),"",((VLOOKUP(D245,Cardápio!$A$2:$C$16,3,0))*E245)+IF(B245="iFood",F245*0.27,(VLOOKUP(VENDAS!C245,Bairros!$A$2:$B$90,2,0))))</f>
        <v/>
      </c>
      <c r="J245" s="7" t="str">
        <f t="shared" ref="J245:J308" si="17">IF(OR(AND(ISBLANK(H245),ISBLANK(I245)),(AND(H245="",I245=""))),"",H245-I245)</f>
        <v/>
      </c>
      <c r="K245" s="9">
        <f t="shared" ref="K245:K308" ca="1" si="18">IF(D245&lt;&gt;"",K245,NOW())</f>
        <v>45404.878290162036</v>
      </c>
      <c r="L245" s="10">
        <f t="shared" ref="L245:L308" ca="1" si="19">IF(D245&lt;&gt;"",L245,NOW())</f>
        <v>45404.878290046297</v>
      </c>
    </row>
    <row r="246" spans="6:12" x14ac:dyDescent="0.25">
      <c r="F246" s="11" t="str">
        <f>IF(ISBLANK(D246),"",(VLOOKUP(D246,Cardápio!$A$2:$B$16,2,0))*E246)</f>
        <v/>
      </c>
      <c r="H246" s="7" t="str">
        <f t="shared" si="16"/>
        <v/>
      </c>
      <c r="I246" s="7" t="str">
        <f>IF(AND(ISBLANK(D246),ISBLANK(C246)),"",((VLOOKUP(D246,Cardápio!$A$2:$C$16,3,0))*E246)+IF(B246="iFood",F246*0.27,(VLOOKUP(VENDAS!C246,Bairros!$A$2:$B$90,2,0))))</f>
        <v/>
      </c>
      <c r="J246" s="7" t="str">
        <f t="shared" si="17"/>
        <v/>
      </c>
      <c r="K246" s="9">
        <f t="shared" ca="1" si="18"/>
        <v>45404.878290046297</v>
      </c>
      <c r="L246" s="10">
        <f t="shared" ca="1" si="19"/>
        <v>45404.878290046297</v>
      </c>
    </row>
    <row r="247" spans="6:12" x14ac:dyDescent="0.25">
      <c r="F247" s="11" t="str">
        <f>IF(ISBLANK(D247),"",(VLOOKUP(D247,Cardápio!$A$2:$B$16,2,0))*E247)</f>
        <v/>
      </c>
      <c r="H247" s="7" t="str">
        <f t="shared" si="16"/>
        <v/>
      </c>
      <c r="I247" s="7" t="str">
        <f>IF(AND(ISBLANK(D247),ISBLANK(C247)),"",((VLOOKUP(D247,Cardápio!$A$2:$C$16,3,0))*E247)+IF(B247="iFood",F247*0.27,(VLOOKUP(VENDAS!C247,Bairros!$A$2:$B$90,2,0))))</f>
        <v/>
      </c>
      <c r="J247" s="7" t="str">
        <f t="shared" si="17"/>
        <v/>
      </c>
      <c r="K247" s="9">
        <f t="shared" ca="1" si="18"/>
        <v>45404.878290046297</v>
      </c>
      <c r="L247" s="10">
        <f t="shared" ca="1" si="19"/>
        <v>45404.878290046297</v>
      </c>
    </row>
    <row r="248" spans="6:12" x14ac:dyDescent="0.25">
      <c r="F248" s="11" t="str">
        <f>IF(ISBLANK(D248),"",(VLOOKUP(D248,Cardápio!$A$2:$B$16,2,0))*E248)</f>
        <v/>
      </c>
      <c r="H248" s="7" t="str">
        <f t="shared" si="16"/>
        <v/>
      </c>
      <c r="I248" s="7" t="str">
        <f>IF(AND(ISBLANK(D248),ISBLANK(C248)),"",((VLOOKUP(D248,Cardápio!$A$2:$C$16,3,0))*E248)+IF(B248="iFood",F248*0.27,(VLOOKUP(VENDAS!C248,Bairros!$A$2:$B$90,2,0))))</f>
        <v/>
      </c>
      <c r="J248" s="7" t="str">
        <f t="shared" si="17"/>
        <v/>
      </c>
      <c r="K248" s="9">
        <f t="shared" ca="1" si="18"/>
        <v>45404.878290046297</v>
      </c>
      <c r="L248" s="10">
        <f t="shared" ca="1" si="19"/>
        <v>45404.878290046297</v>
      </c>
    </row>
    <row r="249" spans="6:12" x14ac:dyDescent="0.25">
      <c r="F249" s="11" t="str">
        <f>IF(ISBLANK(D249),"",(VLOOKUP(D249,Cardápio!$A$2:$B$16,2,0))*E249)</f>
        <v/>
      </c>
      <c r="H249" s="7" t="str">
        <f t="shared" si="16"/>
        <v/>
      </c>
      <c r="I249" s="7" t="str">
        <f>IF(AND(ISBLANK(D249),ISBLANK(C249)),"",((VLOOKUP(D249,Cardápio!$A$2:$C$16,3,0))*E249)+IF(B249="iFood",F249*0.27,(VLOOKUP(VENDAS!C249,Bairros!$A$2:$B$90,2,0))))</f>
        <v/>
      </c>
      <c r="J249" s="7" t="str">
        <f t="shared" si="17"/>
        <v/>
      </c>
      <c r="K249" s="9">
        <f t="shared" ca="1" si="18"/>
        <v>45404.878290162036</v>
      </c>
      <c r="L249" s="10">
        <f t="shared" ca="1" si="19"/>
        <v>45404.878290046297</v>
      </c>
    </row>
    <row r="250" spans="6:12" x14ac:dyDescent="0.25">
      <c r="F250" s="11" t="str">
        <f>IF(ISBLANK(D250),"",(VLOOKUP(D250,Cardápio!$A$2:$B$16,2,0))*E250)</f>
        <v/>
      </c>
      <c r="H250" s="7" t="str">
        <f t="shared" si="16"/>
        <v/>
      </c>
      <c r="I250" s="7" t="str">
        <f>IF(AND(ISBLANK(D250),ISBLANK(C250)),"",((VLOOKUP(D250,Cardápio!$A$2:$C$16,3,0))*E250)+IF(B250="iFood",F250*0.27,(VLOOKUP(VENDAS!C250,Bairros!$A$2:$B$90,2,0))))</f>
        <v/>
      </c>
      <c r="J250" s="7" t="str">
        <f t="shared" si="17"/>
        <v/>
      </c>
      <c r="K250" s="9">
        <f t="shared" ca="1" si="18"/>
        <v>45404.878290046297</v>
      </c>
      <c r="L250" s="10">
        <f t="shared" ca="1" si="19"/>
        <v>45404.878290046297</v>
      </c>
    </row>
    <row r="251" spans="6:12" x14ac:dyDescent="0.25">
      <c r="F251" s="11" t="str">
        <f>IF(ISBLANK(D251),"",(VLOOKUP(D251,Cardápio!$A$2:$B$16,2,0))*E251)</f>
        <v/>
      </c>
      <c r="H251" s="7" t="str">
        <f t="shared" si="16"/>
        <v/>
      </c>
      <c r="I251" s="7" t="str">
        <f>IF(AND(ISBLANK(D251),ISBLANK(C251)),"",((VLOOKUP(D251,Cardápio!$A$2:$C$16,3,0))*E251)+IF(B251="iFood",F251*0.27,(VLOOKUP(VENDAS!C251,Bairros!$A$2:$B$90,2,0))))</f>
        <v/>
      </c>
      <c r="J251" s="7" t="str">
        <f t="shared" si="17"/>
        <v/>
      </c>
      <c r="K251" s="9">
        <f t="shared" ca="1" si="18"/>
        <v>45404.878290046297</v>
      </c>
      <c r="L251" s="10">
        <f t="shared" ca="1" si="19"/>
        <v>45404.878290046297</v>
      </c>
    </row>
    <row r="252" spans="6:12" x14ac:dyDescent="0.25">
      <c r="F252" s="11" t="str">
        <f>IF(ISBLANK(D252),"",(VLOOKUP(D252,Cardápio!$A$2:$B$16,2,0))*E252)</f>
        <v/>
      </c>
      <c r="H252" s="7" t="str">
        <f t="shared" si="16"/>
        <v/>
      </c>
      <c r="I252" s="7" t="str">
        <f>IF(AND(ISBLANK(D252),ISBLANK(C252)),"",((VLOOKUP(D252,Cardápio!$A$2:$C$16,3,0))*E252)+IF(B252="iFood",F252*0.27,(VLOOKUP(VENDAS!C252,Bairros!$A$2:$B$90,2,0))))</f>
        <v/>
      </c>
      <c r="J252" s="7" t="str">
        <f t="shared" si="17"/>
        <v/>
      </c>
      <c r="K252" s="9">
        <f t="shared" ca="1" si="18"/>
        <v>45404.878290046297</v>
      </c>
      <c r="L252" s="10">
        <f t="shared" ca="1" si="19"/>
        <v>45404.878290046297</v>
      </c>
    </row>
    <row r="253" spans="6:12" x14ac:dyDescent="0.25">
      <c r="F253" s="11" t="str">
        <f>IF(ISBLANK(D253),"",(VLOOKUP(D253,Cardápio!$A$2:$B$16,2,0))*E253)</f>
        <v/>
      </c>
      <c r="H253" s="7" t="str">
        <f t="shared" si="16"/>
        <v/>
      </c>
      <c r="I253" s="7" t="str">
        <f>IF(AND(ISBLANK(D253),ISBLANK(C253)),"",((VLOOKUP(D253,Cardápio!$A$2:$C$16,3,0))*E253)+IF(B253="iFood",F253*0.27,(VLOOKUP(VENDAS!C253,Bairros!$A$2:$B$90,2,0))))</f>
        <v/>
      </c>
      <c r="J253" s="7" t="str">
        <f t="shared" si="17"/>
        <v/>
      </c>
      <c r="K253" s="9">
        <f t="shared" ca="1" si="18"/>
        <v>45404.878290162036</v>
      </c>
      <c r="L253" s="10">
        <f t="shared" ca="1" si="19"/>
        <v>45404.878290046297</v>
      </c>
    </row>
    <row r="254" spans="6:12" x14ac:dyDescent="0.25">
      <c r="F254" s="11" t="str">
        <f>IF(ISBLANK(D254),"",(VLOOKUP(D254,Cardápio!$A$2:$B$16,2,0))*E254)</f>
        <v/>
      </c>
      <c r="H254" s="7" t="str">
        <f t="shared" si="16"/>
        <v/>
      </c>
      <c r="I254" s="7" t="str">
        <f>IF(AND(ISBLANK(D254),ISBLANK(C254)),"",((VLOOKUP(D254,Cardápio!$A$2:$C$16,3,0))*E254)+IF(B254="iFood",F254*0.27,(VLOOKUP(VENDAS!C254,Bairros!$A$2:$B$90,2,0))))</f>
        <v/>
      </c>
      <c r="J254" s="7" t="str">
        <f t="shared" si="17"/>
        <v/>
      </c>
      <c r="K254" s="9">
        <f t="shared" ca="1" si="18"/>
        <v>45404.878290046297</v>
      </c>
      <c r="L254" s="10">
        <f t="shared" ca="1" si="19"/>
        <v>45404.878290046297</v>
      </c>
    </row>
    <row r="255" spans="6:12" x14ac:dyDescent="0.25">
      <c r="F255" s="11" t="str">
        <f>IF(ISBLANK(D255),"",(VLOOKUP(D255,Cardápio!$A$2:$B$16,2,0))*E255)</f>
        <v/>
      </c>
      <c r="H255" s="7" t="str">
        <f t="shared" si="16"/>
        <v/>
      </c>
      <c r="I255" s="7" t="str">
        <f>IF(AND(ISBLANK(D255),ISBLANK(C255)),"",((VLOOKUP(D255,Cardápio!$A$2:$C$16,3,0))*E255)+IF(B255="iFood",F255*0.27,(VLOOKUP(VENDAS!C255,Bairros!$A$2:$B$90,2,0))))</f>
        <v/>
      </c>
      <c r="J255" s="7" t="str">
        <f t="shared" si="17"/>
        <v/>
      </c>
      <c r="K255" s="9">
        <f t="shared" ca="1" si="18"/>
        <v>45404.878290046297</v>
      </c>
      <c r="L255" s="10">
        <f t="shared" ca="1" si="19"/>
        <v>45404.878290046297</v>
      </c>
    </row>
    <row r="256" spans="6:12" x14ac:dyDescent="0.25">
      <c r="F256" s="11" t="str">
        <f>IF(ISBLANK(D256),"",(VLOOKUP(D256,Cardápio!$A$2:$B$16,2,0))*E256)</f>
        <v/>
      </c>
      <c r="H256" s="7" t="str">
        <f t="shared" si="16"/>
        <v/>
      </c>
      <c r="I256" s="7" t="str">
        <f>IF(AND(ISBLANK(D256),ISBLANK(C256)),"",((VLOOKUP(D256,Cardápio!$A$2:$C$16,3,0))*E256)+IF(B256="iFood",F256*0.27,(VLOOKUP(VENDAS!C256,Bairros!$A$2:$B$90,2,0))))</f>
        <v/>
      </c>
      <c r="J256" s="7" t="str">
        <f t="shared" si="17"/>
        <v/>
      </c>
      <c r="K256" s="9">
        <f t="shared" ca="1" si="18"/>
        <v>45404.878290046297</v>
      </c>
      <c r="L256" s="10">
        <f t="shared" ca="1" si="19"/>
        <v>45404.878290046297</v>
      </c>
    </row>
    <row r="257" spans="6:12" x14ac:dyDescent="0.25">
      <c r="F257" s="11" t="str">
        <f>IF(ISBLANK(D257),"",(VLOOKUP(D257,Cardápio!$A$2:$B$16,2,0))*E257)</f>
        <v/>
      </c>
      <c r="H257" s="7" t="str">
        <f t="shared" si="16"/>
        <v/>
      </c>
      <c r="I257" s="7" t="str">
        <f>IF(AND(ISBLANK(D257),ISBLANK(C257)),"",((VLOOKUP(D257,Cardápio!$A$2:$C$16,3,0))*E257)+IF(B257="iFood",F257*0.27,(VLOOKUP(VENDAS!C257,Bairros!$A$2:$B$90,2,0))))</f>
        <v/>
      </c>
      <c r="J257" s="7" t="str">
        <f t="shared" si="17"/>
        <v/>
      </c>
      <c r="K257" s="9">
        <f t="shared" ca="1" si="18"/>
        <v>45404.878290162036</v>
      </c>
      <c r="L257" s="10">
        <f t="shared" ca="1" si="19"/>
        <v>45404.878290046297</v>
      </c>
    </row>
    <row r="258" spans="6:12" x14ac:dyDescent="0.25">
      <c r="F258" s="11" t="str">
        <f>IF(ISBLANK(D258),"",(VLOOKUP(D258,Cardápio!$A$2:$B$16,2,0))*E258)</f>
        <v/>
      </c>
      <c r="H258" s="7" t="str">
        <f t="shared" si="16"/>
        <v/>
      </c>
      <c r="I258" s="7" t="str">
        <f>IF(AND(ISBLANK(D258),ISBLANK(C258)),"",((VLOOKUP(D258,Cardápio!$A$2:$C$16,3,0))*E258)+IF(B258="iFood",F258*0.27,(VLOOKUP(VENDAS!C258,Bairros!$A$2:$B$90,2,0))))</f>
        <v/>
      </c>
      <c r="J258" s="7" t="str">
        <f t="shared" si="17"/>
        <v/>
      </c>
      <c r="K258" s="9">
        <f t="shared" ca="1" si="18"/>
        <v>45404.878290046297</v>
      </c>
      <c r="L258" s="10">
        <f t="shared" ca="1" si="19"/>
        <v>45404.878290046297</v>
      </c>
    </row>
    <row r="259" spans="6:12" x14ac:dyDescent="0.25">
      <c r="F259" s="11" t="str">
        <f>IF(ISBLANK(D259),"",(VLOOKUP(D259,Cardápio!$A$2:$B$16,2,0))*E259)</f>
        <v/>
      </c>
      <c r="H259" s="7" t="str">
        <f t="shared" si="16"/>
        <v/>
      </c>
      <c r="I259" s="7" t="str">
        <f>IF(AND(ISBLANK(D259),ISBLANK(C259)),"",((VLOOKUP(D259,Cardápio!$A$2:$C$16,3,0))*E259)+IF(B259="iFood",F259*0.27,(VLOOKUP(VENDAS!C259,Bairros!$A$2:$B$90,2,0))))</f>
        <v/>
      </c>
      <c r="J259" s="7" t="str">
        <f t="shared" si="17"/>
        <v/>
      </c>
      <c r="K259" s="9">
        <f t="shared" ca="1" si="18"/>
        <v>45404.878290046297</v>
      </c>
      <c r="L259" s="10">
        <f t="shared" ca="1" si="19"/>
        <v>45404.878290046297</v>
      </c>
    </row>
    <row r="260" spans="6:12" x14ac:dyDescent="0.25">
      <c r="F260" s="11" t="str">
        <f>IF(ISBLANK(D260),"",(VLOOKUP(D260,Cardápio!$A$2:$B$16,2,0))*E260)</f>
        <v/>
      </c>
      <c r="H260" s="7" t="str">
        <f t="shared" si="16"/>
        <v/>
      </c>
      <c r="I260" s="7" t="str">
        <f>IF(AND(ISBLANK(D260),ISBLANK(C260)),"",((VLOOKUP(D260,Cardápio!$A$2:$C$16,3,0))*E260)+IF(B260="iFood",F260*0.27,(VLOOKUP(VENDAS!C260,Bairros!$A$2:$B$90,2,0))))</f>
        <v/>
      </c>
      <c r="J260" s="7" t="str">
        <f t="shared" si="17"/>
        <v/>
      </c>
      <c r="K260" s="9">
        <f t="shared" ca="1" si="18"/>
        <v>45404.878290046297</v>
      </c>
      <c r="L260" s="10">
        <f t="shared" ca="1" si="19"/>
        <v>45404.878290046297</v>
      </c>
    </row>
    <row r="261" spans="6:12" x14ac:dyDescent="0.25">
      <c r="F261" s="11" t="str">
        <f>IF(ISBLANK(D261),"",(VLOOKUP(D261,Cardápio!$A$2:$B$16,2,0))*E261)</f>
        <v/>
      </c>
      <c r="H261" s="7" t="str">
        <f t="shared" si="16"/>
        <v/>
      </c>
      <c r="I261" s="7" t="str">
        <f>IF(AND(ISBLANK(D261),ISBLANK(C261)),"",((VLOOKUP(D261,Cardápio!$A$2:$C$16,3,0))*E261)+IF(B261="iFood",F261*0.27,(VLOOKUP(VENDAS!C261,Bairros!$A$2:$B$90,2,0))))</f>
        <v/>
      </c>
      <c r="J261" s="7" t="str">
        <f t="shared" si="17"/>
        <v/>
      </c>
      <c r="K261" s="9">
        <f t="shared" ca="1" si="18"/>
        <v>45404.878290162036</v>
      </c>
      <c r="L261" s="10">
        <f t="shared" ca="1" si="19"/>
        <v>45404.878290046297</v>
      </c>
    </row>
    <row r="262" spans="6:12" x14ac:dyDescent="0.25">
      <c r="F262" s="11" t="str">
        <f>IF(ISBLANK(D262),"",(VLOOKUP(D262,Cardápio!$A$2:$B$16,2,0))*E262)</f>
        <v/>
      </c>
      <c r="H262" s="7" t="str">
        <f t="shared" si="16"/>
        <v/>
      </c>
      <c r="I262" s="7" t="str">
        <f>IF(AND(ISBLANK(D262),ISBLANK(C262)),"",((VLOOKUP(D262,Cardápio!$A$2:$C$16,3,0))*E262)+IF(B262="iFood",F262*0.27,(VLOOKUP(VENDAS!C262,Bairros!$A$2:$B$90,2,0))))</f>
        <v/>
      </c>
      <c r="J262" s="7" t="str">
        <f t="shared" si="17"/>
        <v/>
      </c>
      <c r="K262" s="9">
        <f t="shared" ca="1" si="18"/>
        <v>45404.878290046297</v>
      </c>
      <c r="L262" s="10">
        <f t="shared" ca="1" si="19"/>
        <v>45404.878290046297</v>
      </c>
    </row>
    <row r="263" spans="6:12" x14ac:dyDescent="0.25">
      <c r="F263" s="11" t="str">
        <f>IF(ISBLANK(D263),"",(VLOOKUP(D263,Cardápio!$A$2:$B$16,2,0))*E263)</f>
        <v/>
      </c>
      <c r="H263" s="7" t="str">
        <f t="shared" si="16"/>
        <v/>
      </c>
      <c r="I263" s="7" t="str">
        <f>IF(AND(ISBLANK(D263),ISBLANK(C263)),"",((VLOOKUP(D263,Cardápio!$A$2:$C$16,3,0))*E263)+IF(B263="iFood",F263*0.27,(VLOOKUP(VENDAS!C263,Bairros!$A$2:$B$90,2,0))))</f>
        <v/>
      </c>
      <c r="J263" s="7" t="str">
        <f t="shared" si="17"/>
        <v/>
      </c>
      <c r="K263" s="9">
        <f t="shared" ca="1" si="18"/>
        <v>45404.878290046297</v>
      </c>
      <c r="L263" s="10">
        <f t="shared" ca="1" si="19"/>
        <v>45404.878290046297</v>
      </c>
    </row>
    <row r="264" spans="6:12" x14ac:dyDescent="0.25">
      <c r="F264" s="11" t="str">
        <f>IF(ISBLANK(D264),"",(VLOOKUP(D264,Cardápio!$A$2:$B$16,2,0))*E264)</f>
        <v/>
      </c>
      <c r="H264" s="7" t="str">
        <f t="shared" si="16"/>
        <v/>
      </c>
      <c r="I264" s="7" t="str">
        <f>IF(AND(ISBLANK(D264),ISBLANK(C264)),"",((VLOOKUP(D264,Cardápio!$A$2:$C$16,3,0))*E264)+IF(B264="iFood",F264*0.27,(VLOOKUP(VENDAS!C264,Bairros!$A$2:$B$90,2,0))))</f>
        <v/>
      </c>
      <c r="J264" s="7" t="str">
        <f t="shared" si="17"/>
        <v/>
      </c>
      <c r="K264" s="9">
        <f t="shared" ca="1" si="18"/>
        <v>45404.878290046297</v>
      </c>
      <c r="L264" s="10">
        <f t="shared" ca="1" si="19"/>
        <v>45404.878290046297</v>
      </c>
    </row>
    <row r="265" spans="6:12" x14ac:dyDescent="0.25">
      <c r="F265" s="11" t="str">
        <f>IF(ISBLANK(D265),"",(VLOOKUP(D265,Cardápio!$A$2:$B$16,2,0))*E265)</f>
        <v/>
      </c>
      <c r="H265" s="7" t="str">
        <f t="shared" si="16"/>
        <v/>
      </c>
      <c r="I265" s="7" t="str">
        <f>IF(AND(ISBLANK(D265),ISBLANK(C265)),"",((VLOOKUP(D265,Cardápio!$A$2:$C$16,3,0))*E265)+IF(B265="iFood",F265*0.27,(VLOOKUP(VENDAS!C265,Bairros!$A$2:$B$90,2,0))))</f>
        <v/>
      </c>
      <c r="J265" s="7" t="str">
        <f t="shared" si="17"/>
        <v/>
      </c>
      <c r="K265" s="9">
        <f t="shared" ca="1" si="18"/>
        <v>45404.878290162036</v>
      </c>
      <c r="L265" s="10">
        <f t="shared" ca="1" si="19"/>
        <v>45404.878290046297</v>
      </c>
    </row>
    <row r="266" spans="6:12" x14ac:dyDescent="0.25">
      <c r="F266" s="11" t="str">
        <f>IF(ISBLANK(D266),"",(VLOOKUP(D266,Cardápio!$A$2:$B$16,2,0))*E266)</f>
        <v/>
      </c>
      <c r="H266" s="7" t="str">
        <f t="shared" si="16"/>
        <v/>
      </c>
      <c r="I266" s="7" t="str">
        <f>IF(AND(ISBLANK(D266),ISBLANK(C266)),"",((VLOOKUP(D266,Cardápio!$A$2:$C$16,3,0))*E266)+IF(B266="iFood",F266*0.27,(VLOOKUP(VENDAS!C266,Bairros!$A$2:$B$90,2,0))))</f>
        <v/>
      </c>
      <c r="J266" s="7" t="str">
        <f t="shared" si="17"/>
        <v/>
      </c>
      <c r="K266" s="9">
        <f t="shared" ca="1" si="18"/>
        <v>45404.878290046297</v>
      </c>
      <c r="L266" s="10">
        <f t="shared" ca="1" si="19"/>
        <v>45404.878290046297</v>
      </c>
    </row>
    <row r="267" spans="6:12" x14ac:dyDescent="0.25">
      <c r="F267" s="11" t="str">
        <f>IF(ISBLANK(D267),"",(VLOOKUP(D267,Cardápio!$A$2:$B$16,2,0))*E267)</f>
        <v/>
      </c>
      <c r="H267" s="7" t="str">
        <f t="shared" si="16"/>
        <v/>
      </c>
      <c r="I267" s="7" t="str">
        <f>IF(AND(ISBLANK(D267),ISBLANK(C267)),"",((VLOOKUP(D267,Cardápio!$A$2:$C$16,3,0))*E267)+IF(B267="iFood",F267*0.27,(VLOOKUP(VENDAS!C267,Bairros!$A$2:$B$90,2,0))))</f>
        <v/>
      </c>
      <c r="J267" s="7" t="str">
        <f t="shared" si="17"/>
        <v/>
      </c>
      <c r="K267" s="9">
        <f t="shared" ca="1" si="18"/>
        <v>45404.878290046297</v>
      </c>
      <c r="L267" s="10">
        <f t="shared" ca="1" si="19"/>
        <v>45404.878290046297</v>
      </c>
    </row>
    <row r="268" spans="6:12" x14ac:dyDescent="0.25">
      <c r="F268" s="11" t="str">
        <f>IF(ISBLANK(D268),"",(VLOOKUP(D268,Cardápio!$A$2:$B$16,2,0))*E268)</f>
        <v/>
      </c>
      <c r="H268" s="7" t="str">
        <f t="shared" si="16"/>
        <v/>
      </c>
      <c r="I268" s="7" t="str">
        <f>IF(AND(ISBLANK(D268),ISBLANK(C268)),"",((VLOOKUP(D268,Cardápio!$A$2:$C$16,3,0))*E268)+IF(B268="iFood",F268*0.27,(VLOOKUP(VENDAS!C268,Bairros!$A$2:$B$90,2,0))))</f>
        <v/>
      </c>
      <c r="J268" s="7" t="str">
        <f t="shared" si="17"/>
        <v/>
      </c>
      <c r="K268" s="9">
        <f t="shared" ca="1" si="18"/>
        <v>45404.878290046297</v>
      </c>
      <c r="L268" s="10">
        <f t="shared" ca="1" si="19"/>
        <v>45404.878290046297</v>
      </c>
    </row>
    <row r="269" spans="6:12" x14ac:dyDescent="0.25">
      <c r="F269" s="11" t="str">
        <f>IF(ISBLANK(D269),"",(VLOOKUP(D269,Cardápio!$A$2:$B$16,2,0))*E269)</f>
        <v/>
      </c>
      <c r="H269" s="7" t="str">
        <f t="shared" si="16"/>
        <v/>
      </c>
      <c r="I269" s="7" t="str">
        <f>IF(AND(ISBLANK(D269),ISBLANK(C269)),"",((VLOOKUP(D269,Cardápio!$A$2:$C$16,3,0))*E269)+IF(B269="iFood",F269*0.27,(VLOOKUP(VENDAS!C269,Bairros!$A$2:$B$90,2,0))))</f>
        <v/>
      </c>
      <c r="J269" s="7" t="str">
        <f t="shared" si="17"/>
        <v/>
      </c>
      <c r="K269" s="9">
        <f t="shared" ca="1" si="18"/>
        <v>45404.878290162036</v>
      </c>
      <c r="L269" s="10">
        <f t="shared" ca="1" si="19"/>
        <v>45404.878290046297</v>
      </c>
    </row>
    <row r="270" spans="6:12" x14ac:dyDescent="0.25">
      <c r="F270" s="11" t="str">
        <f>IF(ISBLANK(D270),"",(VLOOKUP(D270,Cardápio!$A$2:$B$16,2,0))*E270)</f>
        <v/>
      </c>
      <c r="H270" s="7" t="str">
        <f t="shared" si="16"/>
        <v/>
      </c>
      <c r="I270" s="7" t="str">
        <f>IF(AND(ISBLANK(D270),ISBLANK(C270)),"",((VLOOKUP(D270,Cardápio!$A$2:$C$16,3,0))*E270)+IF(B270="iFood",F270*0.27,(VLOOKUP(VENDAS!C270,Bairros!$A$2:$B$90,2,0))))</f>
        <v/>
      </c>
      <c r="J270" s="7" t="str">
        <f t="shared" si="17"/>
        <v/>
      </c>
      <c r="K270" s="9">
        <f t="shared" ca="1" si="18"/>
        <v>45404.878290046297</v>
      </c>
      <c r="L270" s="10">
        <f t="shared" ca="1" si="19"/>
        <v>45404.878290046297</v>
      </c>
    </row>
    <row r="271" spans="6:12" x14ac:dyDescent="0.25">
      <c r="F271" s="11" t="str">
        <f>IF(ISBLANK(D271),"",(VLOOKUP(D271,Cardápio!$A$2:$B$16,2,0))*E271)</f>
        <v/>
      </c>
      <c r="H271" s="7" t="str">
        <f t="shared" si="16"/>
        <v/>
      </c>
      <c r="I271" s="7" t="str">
        <f>IF(AND(ISBLANK(D271),ISBLANK(C271)),"",((VLOOKUP(D271,Cardápio!$A$2:$C$16,3,0))*E271)+IF(B271="iFood",F271*0.27,(VLOOKUP(VENDAS!C271,Bairros!$A$2:$B$90,2,0))))</f>
        <v/>
      </c>
      <c r="J271" s="7" t="str">
        <f t="shared" si="17"/>
        <v/>
      </c>
      <c r="K271" s="9">
        <f t="shared" ca="1" si="18"/>
        <v>45404.878290046297</v>
      </c>
      <c r="L271" s="10">
        <f t="shared" ca="1" si="19"/>
        <v>45404.878290046297</v>
      </c>
    </row>
    <row r="272" spans="6:12" x14ac:dyDescent="0.25">
      <c r="F272" s="11" t="str">
        <f>IF(ISBLANK(D272),"",(VLOOKUP(D272,Cardápio!$A$2:$B$16,2,0))*E272)</f>
        <v/>
      </c>
      <c r="H272" s="7" t="str">
        <f t="shared" si="16"/>
        <v/>
      </c>
      <c r="I272" s="7" t="str">
        <f>IF(AND(ISBLANK(D272),ISBLANK(C272)),"",((VLOOKUP(D272,Cardápio!$A$2:$C$16,3,0))*E272)+IF(B272="iFood",F272*0.27,(VLOOKUP(VENDAS!C272,Bairros!$A$2:$B$90,2,0))))</f>
        <v/>
      </c>
      <c r="J272" s="7" t="str">
        <f t="shared" si="17"/>
        <v/>
      </c>
      <c r="K272" s="9">
        <f t="shared" ca="1" si="18"/>
        <v>45404.878290046297</v>
      </c>
      <c r="L272" s="10">
        <f t="shared" ca="1" si="19"/>
        <v>45404.878290046297</v>
      </c>
    </row>
    <row r="273" spans="6:12" x14ac:dyDescent="0.25">
      <c r="F273" s="11" t="str">
        <f>IF(ISBLANK(D273),"",(VLOOKUP(D273,Cardápio!$A$2:$B$16,2,0))*E273)</f>
        <v/>
      </c>
      <c r="H273" s="7" t="str">
        <f t="shared" si="16"/>
        <v/>
      </c>
      <c r="I273" s="7" t="str">
        <f>IF(AND(ISBLANK(D273),ISBLANK(C273)),"",((VLOOKUP(D273,Cardápio!$A$2:$C$16,3,0))*E273)+IF(B273="iFood",F273*0.27,(VLOOKUP(VENDAS!C273,Bairros!$A$2:$B$90,2,0))))</f>
        <v/>
      </c>
      <c r="J273" s="7" t="str">
        <f t="shared" si="17"/>
        <v/>
      </c>
      <c r="K273" s="9">
        <f t="shared" ca="1" si="18"/>
        <v>45404.878290162036</v>
      </c>
      <c r="L273" s="10">
        <f t="shared" ca="1" si="19"/>
        <v>45404.878290046297</v>
      </c>
    </row>
    <row r="274" spans="6:12" x14ac:dyDescent="0.25">
      <c r="F274" s="11" t="str">
        <f>IF(ISBLANK(D274),"",(VLOOKUP(D274,Cardápio!$A$2:$B$16,2,0))*E274)</f>
        <v/>
      </c>
      <c r="H274" s="7" t="str">
        <f t="shared" si="16"/>
        <v/>
      </c>
      <c r="I274" s="7" t="str">
        <f>IF(AND(ISBLANK(D274),ISBLANK(C274)),"",((VLOOKUP(D274,Cardápio!$A$2:$C$16,3,0))*E274)+IF(B274="iFood",F274*0.27,(VLOOKUP(VENDAS!C274,Bairros!$A$2:$B$90,2,0))))</f>
        <v/>
      </c>
      <c r="J274" s="7" t="str">
        <f t="shared" si="17"/>
        <v/>
      </c>
      <c r="K274" s="9">
        <f t="shared" ca="1" si="18"/>
        <v>45404.878290046297</v>
      </c>
      <c r="L274" s="10">
        <f t="shared" ca="1" si="19"/>
        <v>45404.878290046297</v>
      </c>
    </row>
    <row r="275" spans="6:12" x14ac:dyDescent="0.25">
      <c r="F275" s="11" t="str">
        <f>IF(ISBLANK(D275),"",(VLOOKUP(D275,Cardápio!$A$2:$B$16,2,0))*E275)</f>
        <v/>
      </c>
      <c r="H275" s="7" t="str">
        <f t="shared" si="16"/>
        <v/>
      </c>
      <c r="I275" s="7" t="str">
        <f>IF(AND(ISBLANK(D275),ISBLANK(C275)),"",((VLOOKUP(D275,Cardápio!$A$2:$C$16,3,0))*E275)+IF(B275="iFood",F275*0.27,(VLOOKUP(VENDAS!C275,Bairros!$A$2:$B$90,2,0))))</f>
        <v/>
      </c>
      <c r="J275" s="7" t="str">
        <f t="shared" si="17"/>
        <v/>
      </c>
      <c r="K275" s="9">
        <f t="shared" ca="1" si="18"/>
        <v>45404.878290046297</v>
      </c>
      <c r="L275" s="10">
        <f t="shared" ca="1" si="19"/>
        <v>45404.878290046297</v>
      </c>
    </row>
    <row r="276" spans="6:12" x14ac:dyDescent="0.25">
      <c r="F276" s="11" t="str">
        <f>IF(ISBLANK(D276),"",(VLOOKUP(D276,Cardápio!$A$2:$B$16,2,0))*E276)</f>
        <v/>
      </c>
      <c r="H276" s="7" t="str">
        <f t="shared" si="16"/>
        <v/>
      </c>
      <c r="I276" s="7" t="str">
        <f>IF(AND(ISBLANK(D276),ISBLANK(C276)),"",((VLOOKUP(D276,Cardápio!$A$2:$C$16,3,0))*E276)+IF(B276="iFood",F276*0.27,(VLOOKUP(VENDAS!C276,Bairros!$A$2:$B$90,2,0))))</f>
        <v/>
      </c>
      <c r="J276" s="7" t="str">
        <f t="shared" si="17"/>
        <v/>
      </c>
      <c r="K276" s="9">
        <f t="shared" ca="1" si="18"/>
        <v>45404.878290046297</v>
      </c>
      <c r="L276" s="10">
        <f t="shared" ca="1" si="19"/>
        <v>45404.878290046297</v>
      </c>
    </row>
    <row r="277" spans="6:12" x14ac:dyDescent="0.25">
      <c r="F277" s="11" t="str">
        <f>IF(ISBLANK(D277),"",(VLOOKUP(D277,Cardápio!$A$2:$B$16,2,0))*E277)</f>
        <v/>
      </c>
      <c r="H277" s="7" t="str">
        <f t="shared" si="16"/>
        <v/>
      </c>
      <c r="I277" s="7" t="str">
        <f>IF(AND(ISBLANK(D277),ISBLANK(C277)),"",((VLOOKUP(D277,Cardápio!$A$2:$C$16,3,0))*E277)+IF(B277="iFood",F277*0.27,(VLOOKUP(VENDAS!C277,Bairros!$A$2:$B$90,2,0))))</f>
        <v/>
      </c>
      <c r="J277" s="7" t="str">
        <f t="shared" si="17"/>
        <v/>
      </c>
      <c r="K277" s="9">
        <f t="shared" ca="1" si="18"/>
        <v>45404.878290162036</v>
      </c>
      <c r="L277" s="10">
        <f t="shared" ca="1" si="19"/>
        <v>45404.878290046297</v>
      </c>
    </row>
    <row r="278" spans="6:12" x14ac:dyDescent="0.25">
      <c r="F278" s="11" t="str">
        <f>IF(ISBLANK(D278),"",(VLOOKUP(D278,Cardápio!$A$2:$B$16,2,0))*E278)</f>
        <v/>
      </c>
      <c r="H278" s="7" t="str">
        <f t="shared" si="16"/>
        <v/>
      </c>
      <c r="I278" s="7" t="str">
        <f>IF(AND(ISBLANK(D278),ISBLANK(C278)),"",((VLOOKUP(D278,Cardápio!$A$2:$C$16,3,0))*E278)+IF(B278="iFood",F278*0.27,(VLOOKUP(VENDAS!C278,Bairros!$A$2:$B$90,2,0))))</f>
        <v/>
      </c>
      <c r="J278" s="7" t="str">
        <f t="shared" si="17"/>
        <v/>
      </c>
      <c r="K278" s="9">
        <f t="shared" ca="1" si="18"/>
        <v>45404.878290046297</v>
      </c>
      <c r="L278" s="10">
        <f t="shared" ca="1" si="19"/>
        <v>45404.878290046297</v>
      </c>
    </row>
    <row r="279" spans="6:12" x14ac:dyDescent="0.25">
      <c r="F279" s="11" t="str">
        <f>IF(ISBLANK(D279),"",(VLOOKUP(D279,Cardápio!$A$2:$B$16,2,0))*E279)</f>
        <v/>
      </c>
      <c r="H279" s="7" t="str">
        <f t="shared" si="16"/>
        <v/>
      </c>
      <c r="I279" s="7" t="str">
        <f>IF(AND(ISBLANK(D279),ISBLANK(C279)),"",((VLOOKUP(D279,Cardápio!$A$2:$C$16,3,0))*E279)+IF(B279="iFood",F279*0.27,(VLOOKUP(VENDAS!C279,Bairros!$A$2:$B$90,2,0))))</f>
        <v/>
      </c>
      <c r="J279" s="7" t="str">
        <f t="shared" si="17"/>
        <v/>
      </c>
      <c r="K279" s="9">
        <f t="shared" ca="1" si="18"/>
        <v>45404.878290046297</v>
      </c>
      <c r="L279" s="10">
        <f t="shared" ca="1" si="19"/>
        <v>45404.878290046297</v>
      </c>
    </row>
    <row r="280" spans="6:12" x14ac:dyDescent="0.25">
      <c r="F280" s="11" t="str">
        <f>IF(ISBLANK(D280),"",(VLOOKUP(D280,Cardápio!$A$2:$B$16,2,0))*E280)</f>
        <v/>
      </c>
      <c r="H280" s="7" t="str">
        <f t="shared" si="16"/>
        <v/>
      </c>
      <c r="I280" s="7" t="str">
        <f>IF(AND(ISBLANK(D280),ISBLANK(C280)),"",((VLOOKUP(D280,Cardápio!$A$2:$C$16,3,0))*E280)+IF(B280="iFood",F280*0.27,(VLOOKUP(VENDAS!C280,Bairros!$A$2:$B$90,2,0))))</f>
        <v/>
      </c>
      <c r="J280" s="7" t="str">
        <f t="shared" si="17"/>
        <v/>
      </c>
      <c r="K280" s="9">
        <f t="shared" ca="1" si="18"/>
        <v>45404.878290046297</v>
      </c>
      <c r="L280" s="10">
        <f t="shared" ca="1" si="19"/>
        <v>45404.878290046297</v>
      </c>
    </row>
    <row r="281" spans="6:12" x14ac:dyDescent="0.25">
      <c r="F281" s="11" t="str">
        <f>IF(ISBLANK(D281),"",(VLOOKUP(D281,Cardápio!$A$2:$B$16,2,0))*E281)</f>
        <v/>
      </c>
      <c r="H281" s="7" t="str">
        <f t="shared" si="16"/>
        <v/>
      </c>
      <c r="I281" s="7" t="str">
        <f>IF(AND(ISBLANK(D281),ISBLANK(C281)),"",((VLOOKUP(D281,Cardápio!$A$2:$C$16,3,0))*E281)+IF(B281="iFood",F281*0.27,(VLOOKUP(VENDAS!C281,Bairros!$A$2:$B$90,2,0))))</f>
        <v/>
      </c>
      <c r="J281" s="7" t="str">
        <f t="shared" si="17"/>
        <v/>
      </c>
      <c r="K281" s="9">
        <f t="shared" ca="1" si="18"/>
        <v>45404.878290162036</v>
      </c>
      <c r="L281" s="10">
        <f t="shared" ca="1" si="19"/>
        <v>45404.878290046297</v>
      </c>
    </row>
    <row r="282" spans="6:12" x14ac:dyDescent="0.25">
      <c r="F282" s="11" t="str">
        <f>IF(ISBLANK(D282),"",(VLOOKUP(D282,Cardápio!$A$2:$B$16,2,0))*E282)</f>
        <v/>
      </c>
      <c r="H282" s="7" t="str">
        <f t="shared" si="16"/>
        <v/>
      </c>
      <c r="I282" s="7" t="str">
        <f>IF(AND(ISBLANK(D282),ISBLANK(C282)),"",((VLOOKUP(D282,Cardápio!$A$2:$C$16,3,0))*E282)+IF(B282="iFood",F282*0.27,(VLOOKUP(VENDAS!C282,Bairros!$A$2:$B$90,2,0))))</f>
        <v/>
      </c>
      <c r="J282" s="7" t="str">
        <f t="shared" si="17"/>
        <v/>
      </c>
      <c r="K282" s="9">
        <f t="shared" ca="1" si="18"/>
        <v>45404.878290046297</v>
      </c>
      <c r="L282" s="10">
        <f t="shared" ca="1" si="19"/>
        <v>45404.878290046297</v>
      </c>
    </row>
    <row r="283" spans="6:12" x14ac:dyDescent="0.25">
      <c r="F283" s="11" t="str">
        <f>IF(ISBLANK(D283),"",(VLOOKUP(D283,Cardápio!$A$2:$B$16,2,0))*E283)</f>
        <v/>
      </c>
      <c r="H283" s="7" t="str">
        <f t="shared" si="16"/>
        <v/>
      </c>
      <c r="I283" s="7" t="str">
        <f>IF(AND(ISBLANK(D283),ISBLANK(C283)),"",((VLOOKUP(D283,Cardápio!$A$2:$C$16,3,0))*E283)+IF(B283="iFood",F283*0.27,(VLOOKUP(VENDAS!C283,Bairros!$A$2:$B$90,2,0))))</f>
        <v/>
      </c>
      <c r="J283" s="7" t="str">
        <f t="shared" si="17"/>
        <v/>
      </c>
      <c r="K283" s="9">
        <f t="shared" ca="1" si="18"/>
        <v>45404.878290046297</v>
      </c>
      <c r="L283" s="10">
        <f t="shared" ca="1" si="19"/>
        <v>45404.878290046297</v>
      </c>
    </row>
    <row r="284" spans="6:12" x14ac:dyDescent="0.25">
      <c r="F284" s="11" t="str">
        <f>IF(ISBLANK(D284),"",(VLOOKUP(D284,Cardápio!$A$2:$B$16,2,0))*E284)</f>
        <v/>
      </c>
      <c r="H284" s="7" t="str">
        <f t="shared" si="16"/>
        <v/>
      </c>
      <c r="I284" s="7" t="str">
        <f>IF(AND(ISBLANK(D284),ISBLANK(C284)),"",((VLOOKUP(D284,Cardápio!$A$2:$C$16,3,0))*E284)+IF(B284="iFood",F284*0.27,(VLOOKUP(VENDAS!C284,Bairros!$A$2:$B$90,2,0))))</f>
        <v/>
      </c>
      <c r="J284" s="7" t="str">
        <f t="shared" si="17"/>
        <v/>
      </c>
      <c r="K284" s="9">
        <f t="shared" ca="1" si="18"/>
        <v>45404.878290046297</v>
      </c>
      <c r="L284" s="10">
        <f t="shared" ca="1" si="19"/>
        <v>45404.878290046297</v>
      </c>
    </row>
    <row r="285" spans="6:12" x14ac:dyDescent="0.25">
      <c r="F285" s="11" t="str">
        <f>IF(ISBLANK(D285),"",(VLOOKUP(D285,Cardápio!$A$2:$B$16,2,0))*E285)</f>
        <v/>
      </c>
      <c r="H285" s="7" t="str">
        <f t="shared" si="16"/>
        <v/>
      </c>
      <c r="I285" s="7" t="str">
        <f>IF(AND(ISBLANK(D285),ISBLANK(C285)),"",((VLOOKUP(D285,Cardápio!$A$2:$C$16,3,0))*E285)+IF(B285="iFood",F285*0.27,(VLOOKUP(VENDAS!C285,Bairros!$A$2:$B$90,2,0))))</f>
        <v/>
      </c>
      <c r="J285" s="7" t="str">
        <f t="shared" si="17"/>
        <v/>
      </c>
      <c r="K285" s="9">
        <f t="shared" ca="1" si="18"/>
        <v>45404.878290162036</v>
      </c>
      <c r="L285" s="10">
        <f t="shared" ca="1" si="19"/>
        <v>45404.878290046297</v>
      </c>
    </row>
    <row r="286" spans="6:12" x14ac:dyDescent="0.25">
      <c r="F286" s="11" t="str">
        <f>IF(ISBLANK(D286),"",(VLOOKUP(D286,Cardápio!$A$2:$B$16,2,0))*E286)</f>
        <v/>
      </c>
      <c r="H286" s="7" t="str">
        <f t="shared" si="16"/>
        <v/>
      </c>
      <c r="I286" s="7" t="str">
        <f>IF(AND(ISBLANK(D286),ISBLANK(C286)),"",((VLOOKUP(D286,Cardápio!$A$2:$C$16,3,0))*E286)+IF(B286="iFood",F286*0.27,(VLOOKUP(VENDAS!C286,Bairros!$A$2:$B$90,2,0))))</f>
        <v/>
      </c>
      <c r="J286" s="7" t="str">
        <f t="shared" si="17"/>
        <v/>
      </c>
      <c r="K286" s="9">
        <f t="shared" ca="1" si="18"/>
        <v>45404.878290046297</v>
      </c>
      <c r="L286" s="10">
        <f t="shared" ca="1" si="19"/>
        <v>45404.878290046297</v>
      </c>
    </row>
    <row r="287" spans="6:12" x14ac:dyDescent="0.25">
      <c r="F287" s="11" t="str">
        <f>IF(ISBLANK(D287),"",(VLOOKUP(D287,Cardápio!$A$2:$B$16,2,0))*E287)</f>
        <v/>
      </c>
      <c r="H287" s="7" t="str">
        <f t="shared" si="16"/>
        <v/>
      </c>
      <c r="I287" s="7" t="str">
        <f>IF(AND(ISBLANK(D287),ISBLANK(C287)),"",((VLOOKUP(D287,Cardápio!$A$2:$C$16,3,0))*E287)+IF(B287="iFood",F287*0.27,(VLOOKUP(VENDAS!C287,Bairros!$A$2:$B$90,2,0))))</f>
        <v/>
      </c>
      <c r="J287" s="7" t="str">
        <f t="shared" si="17"/>
        <v/>
      </c>
      <c r="K287" s="9">
        <f t="shared" ca="1" si="18"/>
        <v>45404.878290046297</v>
      </c>
      <c r="L287" s="10">
        <f t="shared" ca="1" si="19"/>
        <v>45404.878290046297</v>
      </c>
    </row>
    <row r="288" spans="6:12" x14ac:dyDescent="0.25">
      <c r="F288" s="11" t="str">
        <f>IF(ISBLANK(D288),"",(VLOOKUP(D288,Cardápio!$A$2:$B$16,2,0))*E288)</f>
        <v/>
      </c>
      <c r="H288" s="7" t="str">
        <f t="shared" si="16"/>
        <v/>
      </c>
      <c r="I288" s="7" t="str">
        <f>IF(AND(ISBLANK(D288),ISBLANK(C288)),"",((VLOOKUP(D288,Cardápio!$A$2:$C$16,3,0))*E288)+IF(B288="iFood",F288*0.27,(VLOOKUP(VENDAS!C288,Bairros!$A$2:$B$90,2,0))))</f>
        <v/>
      </c>
      <c r="J288" s="7" t="str">
        <f t="shared" si="17"/>
        <v/>
      </c>
      <c r="K288" s="9">
        <f t="shared" ca="1" si="18"/>
        <v>45404.878290046297</v>
      </c>
      <c r="L288" s="10">
        <f t="shared" ca="1" si="19"/>
        <v>45404.878290046297</v>
      </c>
    </row>
    <row r="289" spans="6:12" x14ac:dyDescent="0.25">
      <c r="F289" s="11" t="str">
        <f>IF(ISBLANK(D289),"",(VLOOKUP(D289,Cardápio!$A$2:$B$16,2,0))*E289)</f>
        <v/>
      </c>
      <c r="H289" s="7" t="str">
        <f t="shared" si="16"/>
        <v/>
      </c>
      <c r="I289" s="7" t="str">
        <f>IF(AND(ISBLANK(D289),ISBLANK(C289)),"",((VLOOKUP(D289,Cardápio!$A$2:$C$16,3,0))*E289)+IF(B289="iFood",F289*0.27,(VLOOKUP(VENDAS!C289,Bairros!$A$2:$B$90,2,0))))</f>
        <v/>
      </c>
      <c r="J289" s="7" t="str">
        <f t="shared" si="17"/>
        <v/>
      </c>
      <c r="K289" s="9">
        <f t="shared" ca="1" si="18"/>
        <v>45404.878290162036</v>
      </c>
      <c r="L289" s="10">
        <f t="shared" ca="1" si="19"/>
        <v>45404.878290046297</v>
      </c>
    </row>
    <row r="290" spans="6:12" x14ac:dyDescent="0.25">
      <c r="F290" s="11" t="str">
        <f>IF(ISBLANK(D290),"",(VLOOKUP(D290,Cardápio!$A$2:$B$16,2,0))*E290)</f>
        <v/>
      </c>
      <c r="H290" s="7" t="str">
        <f t="shared" si="16"/>
        <v/>
      </c>
      <c r="I290" s="7" t="str">
        <f>IF(AND(ISBLANK(D290),ISBLANK(C290)),"",((VLOOKUP(D290,Cardápio!$A$2:$C$16,3,0))*E290)+IF(B290="iFood",F290*0.27,(VLOOKUP(VENDAS!C290,Bairros!$A$2:$B$90,2,0))))</f>
        <v/>
      </c>
      <c r="J290" s="7" t="str">
        <f t="shared" si="17"/>
        <v/>
      </c>
      <c r="K290" s="9">
        <f t="shared" ca="1" si="18"/>
        <v>45404.878290046297</v>
      </c>
      <c r="L290" s="10">
        <f t="shared" ca="1" si="19"/>
        <v>45404.878290046297</v>
      </c>
    </row>
    <row r="291" spans="6:12" x14ac:dyDescent="0.25">
      <c r="F291" s="11" t="str">
        <f>IF(ISBLANK(D291),"",(VLOOKUP(D291,Cardápio!$A$2:$B$16,2,0))*E291)</f>
        <v/>
      </c>
      <c r="H291" s="7" t="str">
        <f t="shared" si="16"/>
        <v/>
      </c>
      <c r="I291" s="7" t="str">
        <f>IF(AND(ISBLANK(D291),ISBLANK(C291)),"",((VLOOKUP(D291,Cardápio!$A$2:$C$16,3,0))*E291)+IF(B291="iFood",F291*0.27,(VLOOKUP(VENDAS!C291,Bairros!$A$2:$B$90,2,0))))</f>
        <v/>
      </c>
      <c r="J291" s="7" t="str">
        <f t="shared" si="17"/>
        <v/>
      </c>
      <c r="K291" s="9">
        <f t="shared" ca="1" si="18"/>
        <v>45404.878290046297</v>
      </c>
      <c r="L291" s="10">
        <f t="shared" ca="1" si="19"/>
        <v>45404.878290046297</v>
      </c>
    </row>
    <row r="292" spans="6:12" x14ac:dyDescent="0.25">
      <c r="F292" s="11" t="str">
        <f>IF(ISBLANK(D292),"",(VLOOKUP(D292,Cardápio!$A$2:$B$16,2,0))*E292)</f>
        <v/>
      </c>
      <c r="H292" s="7" t="str">
        <f t="shared" si="16"/>
        <v/>
      </c>
      <c r="I292" s="7" t="str">
        <f>IF(AND(ISBLANK(D292),ISBLANK(C292)),"",((VLOOKUP(D292,Cardápio!$A$2:$C$16,3,0))*E292)+IF(B292="iFood",F292*0.27,(VLOOKUP(VENDAS!C292,Bairros!$A$2:$B$90,2,0))))</f>
        <v/>
      </c>
      <c r="J292" s="7" t="str">
        <f t="shared" si="17"/>
        <v/>
      </c>
      <c r="K292" s="9">
        <f t="shared" ca="1" si="18"/>
        <v>45404.878290046297</v>
      </c>
      <c r="L292" s="10">
        <f t="shared" ca="1" si="19"/>
        <v>45404.878290046297</v>
      </c>
    </row>
    <row r="293" spans="6:12" x14ac:dyDescent="0.25">
      <c r="F293" s="11" t="str">
        <f>IF(ISBLANK(D293),"",(VLOOKUP(D293,Cardápio!$A$2:$B$16,2,0))*E293)</f>
        <v/>
      </c>
      <c r="H293" s="7" t="str">
        <f t="shared" si="16"/>
        <v/>
      </c>
      <c r="I293" s="7" t="str">
        <f>IF(AND(ISBLANK(D293),ISBLANK(C293)),"",((VLOOKUP(D293,Cardápio!$A$2:$C$16,3,0))*E293)+IF(B293="iFood",F293*0.27,(VLOOKUP(VENDAS!C293,Bairros!$A$2:$B$90,2,0))))</f>
        <v/>
      </c>
      <c r="J293" s="7" t="str">
        <f t="shared" si="17"/>
        <v/>
      </c>
      <c r="K293" s="9">
        <f t="shared" ca="1" si="18"/>
        <v>45404.878290162036</v>
      </c>
      <c r="L293" s="10">
        <f t="shared" ca="1" si="19"/>
        <v>45404.878290046297</v>
      </c>
    </row>
    <row r="294" spans="6:12" x14ac:dyDescent="0.25">
      <c r="F294" s="11" t="str">
        <f>IF(ISBLANK(D294),"",(VLOOKUP(D294,Cardápio!$A$2:$B$16,2,0))*E294)</f>
        <v/>
      </c>
      <c r="H294" s="7" t="str">
        <f t="shared" si="16"/>
        <v/>
      </c>
      <c r="I294" s="7" t="str">
        <f>IF(AND(ISBLANK(D294),ISBLANK(C294)),"",((VLOOKUP(D294,Cardápio!$A$2:$C$16,3,0))*E294)+IF(B294="iFood",F294*0.27,(VLOOKUP(VENDAS!C294,Bairros!$A$2:$B$90,2,0))))</f>
        <v/>
      </c>
      <c r="J294" s="7" t="str">
        <f t="shared" si="17"/>
        <v/>
      </c>
      <c r="K294" s="9">
        <f t="shared" ca="1" si="18"/>
        <v>45404.878290046297</v>
      </c>
      <c r="L294" s="10">
        <f t="shared" ca="1" si="19"/>
        <v>45404.878290046297</v>
      </c>
    </row>
    <row r="295" spans="6:12" x14ac:dyDescent="0.25">
      <c r="F295" s="11" t="str">
        <f>IF(ISBLANK(D295),"",(VLOOKUP(D295,Cardápio!$A$2:$B$16,2,0))*E295)</f>
        <v/>
      </c>
      <c r="H295" s="7" t="str">
        <f t="shared" si="16"/>
        <v/>
      </c>
      <c r="I295" s="7" t="str">
        <f>IF(AND(ISBLANK(D295),ISBLANK(C295)),"",((VLOOKUP(D295,Cardápio!$A$2:$C$16,3,0))*E295)+IF(B295="iFood",F295*0.27,(VLOOKUP(VENDAS!C295,Bairros!$A$2:$B$90,2,0))))</f>
        <v/>
      </c>
      <c r="J295" s="7" t="str">
        <f t="shared" si="17"/>
        <v/>
      </c>
      <c r="K295" s="9">
        <f t="shared" ca="1" si="18"/>
        <v>45404.878290046297</v>
      </c>
      <c r="L295" s="10">
        <f t="shared" ca="1" si="19"/>
        <v>45404.878290046297</v>
      </c>
    </row>
    <row r="296" spans="6:12" x14ac:dyDescent="0.25">
      <c r="F296" s="11" t="str">
        <f>IF(ISBLANK(D296),"",(VLOOKUP(D296,Cardápio!$A$2:$B$16,2,0))*E296)</f>
        <v/>
      </c>
      <c r="H296" s="7" t="str">
        <f t="shared" si="16"/>
        <v/>
      </c>
      <c r="I296" s="7" t="str">
        <f>IF(AND(ISBLANK(D296),ISBLANK(C296)),"",((VLOOKUP(D296,Cardápio!$A$2:$C$16,3,0))*E296)+IF(B296="iFood",F296*0.27,(VLOOKUP(VENDAS!C296,Bairros!$A$2:$B$90,2,0))))</f>
        <v/>
      </c>
      <c r="J296" s="7" t="str">
        <f t="shared" si="17"/>
        <v/>
      </c>
      <c r="K296" s="9">
        <f t="shared" ca="1" si="18"/>
        <v>45404.878290046297</v>
      </c>
      <c r="L296" s="10">
        <f t="shared" ca="1" si="19"/>
        <v>45404.878290046297</v>
      </c>
    </row>
    <row r="297" spans="6:12" x14ac:dyDescent="0.25">
      <c r="F297" s="11" t="str">
        <f>IF(ISBLANK(D297),"",(VLOOKUP(D297,Cardápio!$A$2:$B$16,2,0))*E297)</f>
        <v/>
      </c>
      <c r="H297" s="7" t="str">
        <f t="shared" si="16"/>
        <v/>
      </c>
      <c r="I297" s="7" t="str">
        <f>IF(AND(ISBLANK(D297),ISBLANK(C297)),"",((VLOOKUP(D297,Cardápio!$A$2:$C$16,3,0))*E297)+IF(B297="iFood",F297*0.27,(VLOOKUP(VENDAS!C297,Bairros!$A$2:$B$90,2,0))))</f>
        <v/>
      </c>
      <c r="J297" s="7" t="str">
        <f t="shared" si="17"/>
        <v/>
      </c>
      <c r="K297" s="9">
        <f t="shared" ca="1" si="18"/>
        <v>45404.878290162036</v>
      </c>
      <c r="L297" s="10">
        <f t="shared" ca="1" si="19"/>
        <v>45404.878290046297</v>
      </c>
    </row>
    <row r="298" spans="6:12" x14ac:dyDescent="0.25">
      <c r="F298" s="11" t="str">
        <f>IF(ISBLANK(D298),"",(VLOOKUP(D298,Cardápio!$A$2:$B$16,2,0))*E298)</f>
        <v/>
      </c>
      <c r="H298" s="7" t="str">
        <f t="shared" si="16"/>
        <v/>
      </c>
      <c r="I298" s="7" t="str">
        <f>IF(AND(ISBLANK(D298),ISBLANK(C298)),"",((VLOOKUP(D298,Cardápio!$A$2:$C$16,3,0))*E298)+IF(B298="iFood",F298*0.27,(VLOOKUP(VENDAS!C298,Bairros!$A$2:$B$90,2,0))))</f>
        <v/>
      </c>
      <c r="J298" s="7" t="str">
        <f t="shared" si="17"/>
        <v/>
      </c>
      <c r="K298" s="9">
        <f t="shared" ca="1" si="18"/>
        <v>45404.878290046297</v>
      </c>
      <c r="L298" s="10">
        <f t="shared" ca="1" si="19"/>
        <v>45404.878290046297</v>
      </c>
    </row>
    <row r="299" spans="6:12" x14ac:dyDescent="0.25">
      <c r="F299" s="11" t="str">
        <f>IF(ISBLANK(D299),"",(VLOOKUP(D299,Cardápio!$A$2:$B$16,2,0))*E299)</f>
        <v/>
      </c>
      <c r="H299" s="7" t="str">
        <f t="shared" si="16"/>
        <v/>
      </c>
      <c r="I299" s="7" t="str">
        <f>IF(AND(ISBLANK(D299),ISBLANK(C299)),"",((VLOOKUP(D299,Cardápio!$A$2:$C$16,3,0))*E299)+IF(B299="iFood",F299*0.27,(VLOOKUP(VENDAS!C299,Bairros!$A$2:$B$90,2,0))))</f>
        <v/>
      </c>
      <c r="J299" s="7" t="str">
        <f t="shared" si="17"/>
        <v/>
      </c>
      <c r="K299" s="9">
        <f t="shared" ca="1" si="18"/>
        <v>45404.878290046297</v>
      </c>
      <c r="L299" s="10">
        <f t="shared" ca="1" si="19"/>
        <v>45404.878290046297</v>
      </c>
    </row>
    <row r="300" spans="6:12" x14ac:dyDescent="0.25">
      <c r="F300" s="11" t="str">
        <f>IF(ISBLANK(D300),"",(VLOOKUP(D300,Cardápio!$A$2:$B$16,2,0))*E300)</f>
        <v/>
      </c>
      <c r="H300" s="7" t="str">
        <f t="shared" si="16"/>
        <v/>
      </c>
      <c r="I300" s="7" t="str">
        <f>IF(AND(ISBLANK(D300),ISBLANK(C300)),"",((VLOOKUP(D300,Cardápio!$A$2:$C$16,3,0))*E300)+IF(B300="iFood",F300*0.27,(VLOOKUP(VENDAS!C300,Bairros!$A$2:$B$90,2,0))))</f>
        <v/>
      </c>
      <c r="J300" s="7" t="str">
        <f t="shared" si="17"/>
        <v/>
      </c>
      <c r="K300" s="9">
        <f t="shared" ca="1" si="18"/>
        <v>45404.878290046297</v>
      </c>
      <c r="L300" s="10">
        <f t="shared" ca="1" si="19"/>
        <v>45404.878290046297</v>
      </c>
    </row>
    <row r="301" spans="6:12" x14ac:dyDescent="0.25">
      <c r="F301" s="11" t="str">
        <f>IF(ISBLANK(D301),"",(VLOOKUP(D301,Cardápio!$A$2:$B$16,2,0))*E301)</f>
        <v/>
      </c>
      <c r="H301" s="7" t="str">
        <f t="shared" si="16"/>
        <v/>
      </c>
      <c r="I301" s="7" t="str">
        <f>IF(AND(ISBLANK(D301),ISBLANK(C301)),"",((VLOOKUP(D301,Cardápio!$A$2:$C$16,3,0))*E301)+IF(B301="iFood",F301*0.27,(VLOOKUP(VENDAS!C301,Bairros!$A$2:$B$90,2,0))))</f>
        <v/>
      </c>
      <c r="J301" s="7" t="str">
        <f t="shared" si="17"/>
        <v/>
      </c>
      <c r="K301" s="9">
        <f t="shared" ca="1" si="18"/>
        <v>45404.878290162036</v>
      </c>
      <c r="L301" s="10">
        <f t="shared" ca="1" si="19"/>
        <v>45404.878290046297</v>
      </c>
    </row>
    <row r="302" spans="6:12" x14ac:dyDescent="0.25">
      <c r="F302" s="11" t="str">
        <f>IF(ISBLANK(D302),"",(VLOOKUP(D302,Cardápio!$A$2:$B$16,2,0))*E302)</f>
        <v/>
      </c>
      <c r="H302" s="7" t="str">
        <f t="shared" si="16"/>
        <v/>
      </c>
      <c r="I302" s="7" t="str">
        <f>IF(AND(ISBLANK(D302),ISBLANK(C302)),"",((VLOOKUP(D302,Cardápio!$A$2:$C$16,3,0))*E302)+IF(B302="iFood",F302*0.27,(VLOOKUP(VENDAS!C302,Bairros!$A$2:$B$90,2,0))))</f>
        <v/>
      </c>
      <c r="J302" s="7" t="str">
        <f t="shared" si="17"/>
        <v/>
      </c>
      <c r="K302" s="9">
        <f t="shared" ca="1" si="18"/>
        <v>45404.878290046297</v>
      </c>
      <c r="L302" s="10">
        <f t="shared" ca="1" si="19"/>
        <v>45404.878290046297</v>
      </c>
    </row>
    <row r="303" spans="6:12" x14ac:dyDescent="0.25">
      <c r="F303" s="11" t="str">
        <f>IF(ISBLANK(D303),"",(VLOOKUP(D303,Cardápio!$A$2:$B$16,2,0))*E303)</f>
        <v/>
      </c>
      <c r="H303" s="7" t="str">
        <f t="shared" si="16"/>
        <v/>
      </c>
      <c r="I303" s="7" t="str">
        <f>IF(AND(ISBLANK(D303),ISBLANK(C303)),"",((VLOOKUP(D303,Cardápio!$A$2:$C$16,3,0))*E303)+IF(B303="iFood",F303*0.27,(VLOOKUP(VENDAS!C303,Bairros!$A$2:$B$90,2,0))))</f>
        <v/>
      </c>
      <c r="J303" s="7" t="str">
        <f t="shared" si="17"/>
        <v/>
      </c>
      <c r="K303" s="9">
        <f t="shared" ca="1" si="18"/>
        <v>45404.878290046297</v>
      </c>
      <c r="L303" s="10">
        <f t="shared" ca="1" si="19"/>
        <v>45404.878290046297</v>
      </c>
    </row>
    <row r="304" spans="6:12" x14ac:dyDescent="0.25">
      <c r="F304" s="11" t="str">
        <f>IF(ISBLANK(D304),"",(VLOOKUP(D304,Cardápio!$A$2:$B$16,2,0))*E304)</f>
        <v/>
      </c>
      <c r="H304" s="7" t="str">
        <f t="shared" si="16"/>
        <v/>
      </c>
      <c r="I304" s="7" t="str">
        <f>IF(AND(ISBLANK(D304),ISBLANK(C304)),"",((VLOOKUP(D304,Cardápio!$A$2:$C$16,3,0))*E304)+IF(B304="iFood",F304*0.27,(VLOOKUP(VENDAS!C304,Bairros!$A$2:$B$90,2,0))))</f>
        <v/>
      </c>
      <c r="J304" s="7" t="str">
        <f t="shared" si="17"/>
        <v/>
      </c>
      <c r="K304" s="9">
        <f t="shared" ca="1" si="18"/>
        <v>45404.878290046297</v>
      </c>
      <c r="L304" s="10">
        <f t="shared" ca="1" si="19"/>
        <v>45404.878290046297</v>
      </c>
    </row>
    <row r="305" spans="6:12" x14ac:dyDescent="0.25">
      <c r="F305" s="11" t="str">
        <f>IF(ISBLANK(D305),"",(VLOOKUP(D305,Cardápio!$A$2:$B$16,2,0))*E305)</f>
        <v/>
      </c>
      <c r="H305" s="7" t="str">
        <f t="shared" si="16"/>
        <v/>
      </c>
      <c r="I305" s="7" t="str">
        <f>IF(AND(ISBLANK(D305),ISBLANK(C305)),"",((VLOOKUP(D305,Cardápio!$A$2:$C$16,3,0))*E305)+IF(B305="iFood",F305*0.27,(VLOOKUP(VENDAS!C305,Bairros!$A$2:$B$90,2,0))))</f>
        <v/>
      </c>
      <c r="J305" s="7" t="str">
        <f t="shared" si="17"/>
        <v/>
      </c>
      <c r="K305" s="9">
        <f t="shared" ca="1" si="18"/>
        <v>45404.878290162036</v>
      </c>
      <c r="L305" s="10">
        <f t="shared" ca="1" si="19"/>
        <v>45404.878290046297</v>
      </c>
    </row>
    <row r="306" spans="6:12" x14ac:dyDescent="0.25">
      <c r="F306" s="11" t="str">
        <f>IF(ISBLANK(D306),"",(VLOOKUP(D306,Cardápio!$A$2:$B$16,2,0))*E306)</f>
        <v/>
      </c>
      <c r="H306" s="7" t="str">
        <f t="shared" si="16"/>
        <v/>
      </c>
      <c r="I306" s="7" t="str">
        <f>IF(AND(ISBLANK(D306),ISBLANK(C306)),"",((VLOOKUP(D306,Cardápio!$A$2:$C$16,3,0))*E306)+IF(B306="iFood",F306*0.27,(VLOOKUP(VENDAS!C306,Bairros!$A$2:$B$90,2,0))))</f>
        <v/>
      </c>
      <c r="J306" s="7" t="str">
        <f t="shared" si="17"/>
        <v/>
      </c>
      <c r="K306" s="9">
        <f t="shared" ca="1" si="18"/>
        <v>45404.878290046297</v>
      </c>
      <c r="L306" s="10">
        <f t="shared" ca="1" si="19"/>
        <v>45404.878290046297</v>
      </c>
    </row>
    <row r="307" spans="6:12" x14ac:dyDescent="0.25">
      <c r="F307" s="11" t="str">
        <f>IF(ISBLANK(D307),"",(VLOOKUP(D307,Cardápio!$A$2:$B$16,2,0))*E307)</f>
        <v/>
      </c>
      <c r="H307" s="7" t="str">
        <f t="shared" si="16"/>
        <v/>
      </c>
      <c r="I307" s="7" t="str">
        <f>IF(AND(ISBLANK(D307),ISBLANK(C307)),"",((VLOOKUP(D307,Cardápio!$A$2:$C$16,3,0))*E307)+IF(B307="iFood",F307*0.27,(VLOOKUP(VENDAS!C307,Bairros!$A$2:$B$90,2,0))))</f>
        <v/>
      </c>
      <c r="J307" s="7" t="str">
        <f t="shared" si="17"/>
        <v/>
      </c>
      <c r="K307" s="9">
        <f t="shared" ca="1" si="18"/>
        <v>45404.878290046297</v>
      </c>
      <c r="L307" s="10">
        <f t="shared" ca="1" si="19"/>
        <v>45404.878290046297</v>
      </c>
    </row>
    <row r="308" spans="6:12" x14ac:dyDescent="0.25">
      <c r="F308" s="11" t="str">
        <f>IF(ISBLANK(D308),"",(VLOOKUP(D308,Cardápio!$A$2:$B$16,2,0))*E308)</f>
        <v/>
      </c>
      <c r="H308" s="7" t="str">
        <f t="shared" si="16"/>
        <v/>
      </c>
      <c r="I308" s="7" t="str">
        <f>IF(AND(ISBLANK(D308),ISBLANK(C308)),"",((VLOOKUP(D308,Cardápio!$A$2:$C$16,3,0))*E308)+IF(B308="iFood",F308*0.27,(VLOOKUP(VENDAS!C308,Bairros!$A$2:$B$90,2,0))))</f>
        <v/>
      </c>
      <c r="J308" s="7" t="str">
        <f t="shared" si="17"/>
        <v/>
      </c>
      <c r="K308" s="9">
        <f t="shared" ca="1" si="18"/>
        <v>45404.878290046297</v>
      </c>
      <c r="L308" s="10">
        <f t="shared" ca="1" si="19"/>
        <v>45404.878290046297</v>
      </c>
    </row>
    <row r="309" spans="6:12" x14ac:dyDescent="0.25">
      <c r="F309" s="11" t="str">
        <f>IF(ISBLANK(D309),"",(VLOOKUP(D309,Cardápio!$A$2:$B$16,2,0))*E309)</f>
        <v/>
      </c>
      <c r="H309" s="7" t="str">
        <f t="shared" ref="H309:H372" si="20">IF(ISBLANK(D309),"",F309-G309)</f>
        <v/>
      </c>
      <c r="I309" s="7" t="str">
        <f>IF(AND(ISBLANK(D309),ISBLANK(C309)),"",((VLOOKUP(D309,Cardápio!$A$2:$C$16,3,0))*E309)+IF(B309="iFood",F309*0.27,(VLOOKUP(VENDAS!C309,Bairros!$A$2:$B$90,2,0))))</f>
        <v/>
      </c>
      <c r="J309" s="7" t="str">
        <f t="shared" ref="J309:J372" si="21">IF(OR(AND(ISBLANK(H309),ISBLANK(I309)),(AND(H309="",I309=""))),"",H309-I309)</f>
        <v/>
      </c>
      <c r="K309" s="9">
        <f t="shared" ref="K309:K372" ca="1" si="22">IF(D309&lt;&gt;"",K309,NOW())</f>
        <v>45404.878290162036</v>
      </c>
      <c r="L309" s="10">
        <f t="shared" ref="L309:L372" ca="1" si="23">IF(D309&lt;&gt;"",L309,NOW())</f>
        <v>45404.878290046297</v>
      </c>
    </row>
    <row r="310" spans="6:12" x14ac:dyDescent="0.25">
      <c r="F310" s="11" t="str">
        <f>IF(ISBLANK(D310),"",(VLOOKUP(D310,Cardápio!$A$2:$B$16,2,0))*E310)</f>
        <v/>
      </c>
      <c r="H310" s="7" t="str">
        <f t="shared" si="20"/>
        <v/>
      </c>
      <c r="I310" s="7" t="str">
        <f>IF(AND(ISBLANK(D310),ISBLANK(C310)),"",((VLOOKUP(D310,Cardápio!$A$2:$C$16,3,0))*E310)+IF(B310="iFood",F310*0.27,(VLOOKUP(VENDAS!C310,Bairros!$A$2:$B$90,2,0))))</f>
        <v/>
      </c>
      <c r="J310" s="7" t="str">
        <f t="shared" si="21"/>
        <v/>
      </c>
      <c r="K310" s="9">
        <f t="shared" ca="1" si="22"/>
        <v>45404.878290046297</v>
      </c>
      <c r="L310" s="10">
        <f t="shared" ca="1" si="23"/>
        <v>45404.878290046297</v>
      </c>
    </row>
    <row r="311" spans="6:12" x14ac:dyDescent="0.25">
      <c r="F311" s="11" t="str">
        <f>IF(ISBLANK(D311),"",(VLOOKUP(D311,Cardápio!$A$2:$B$16,2,0))*E311)</f>
        <v/>
      </c>
      <c r="H311" s="7" t="str">
        <f t="shared" si="20"/>
        <v/>
      </c>
      <c r="I311" s="7" t="str">
        <f>IF(AND(ISBLANK(D311),ISBLANK(C311)),"",((VLOOKUP(D311,Cardápio!$A$2:$C$16,3,0))*E311)+IF(B311="iFood",F311*0.27,(VLOOKUP(VENDAS!C311,Bairros!$A$2:$B$90,2,0))))</f>
        <v/>
      </c>
      <c r="J311" s="7" t="str">
        <f t="shared" si="21"/>
        <v/>
      </c>
      <c r="K311" s="9">
        <f t="shared" ca="1" si="22"/>
        <v>45404.878290046297</v>
      </c>
      <c r="L311" s="10">
        <f t="shared" ca="1" si="23"/>
        <v>45404.878290046297</v>
      </c>
    </row>
    <row r="312" spans="6:12" x14ac:dyDescent="0.25">
      <c r="F312" s="11" t="str">
        <f>IF(ISBLANK(D312),"",(VLOOKUP(D312,Cardápio!$A$2:$B$16,2,0))*E312)</f>
        <v/>
      </c>
      <c r="H312" s="7" t="str">
        <f t="shared" si="20"/>
        <v/>
      </c>
      <c r="I312" s="7" t="str">
        <f>IF(AND(ISBLANK(D312),ISBLANK(C312)),"",((VLOOKUP(D312,Cardápio!$A$2:$C$16,3,0))*E312)+IF(B312="iFood",F312*0.27,(VLOOKUP(VENDAS!C312,Bairros!$A$2:$B$90,2,0))))</f>
        <v/>
      </c>
      <c r="J312" s="7" t="str">
        <f t="shared" si="21"/>
        <v/>
      </c>
      <c r="K312" s="9">
        <f t="shared" ca="1" si="22"/>
        <v>45404.878290046297</v>
      </c>
      <c r="L312" s="10">
        <f t="shared" ca="1" si="23"/>
        <v>45404.878290046297</v>
      </c>
    </row>
    <row r="313" spans="6:12" x14ac:dyDescent="0.25">
      <c r="F313" s="11" t="str">
        <f>IF(ISBLANK(D313),"",(VLOOKUP(D313,Cardápio!$A$2:$B$16,2,0))*E313)</f>
        <v/>
      </c>
      <c r="H313" s="7" t="str">
        <f t="shared" si="20"/>
        <v/>
      </c>
      <c r="I313" s="7" t="str">
        <f>IF(AND(ISBLANK(D313),ISBLANK(C313)),"",((VLOOKUP(D313,Cardápio!$A$2:$C$16,3,0))*E313)+IF(B313="iFood",F313*0.27,(VLOOKUP(VENDAS!C313,Bairros!$A$2:$B$90,2,0))))</f>
        <v/>
      </c>
      <c r="J313" s="7" t="str">
        <f t="shared" si="21"/>
        <v/>
      </c>
      <c r="K313" s="9">
        <f t="shared" ca="1" si="22"/>
        <v>45404.878290162036</v>
      </c>
      <c r="L313" s="10">
        <f t="shared" ca="1" si="23"/>
        <v>45404.878290046297</v>
      </c>
    </row>
    <row r="314" spans="6:12" x14ac:dyDescent="0.25">
      <c r="F314" s="11" t="str">
        <f>IF(ISBLANK(D314),"",(VLOOKUP(D314,Cardápio!$A$2:$B$16,2,0))*E314)</f>
        <v/>
      </c>
      <c r="H314" s="7" t="str">
        <f t="shared" si="20"/>
        <v/>
      </c>
      <c r="I314" s="7" t="str">
        <f>IF(AND(ISBLANK(D314),ISBLANK(C314)),"",((VLOOKUP(D314,Cardápio!$A$2:$C$16,3,0))*E314)+IF(B314="iFood",F314*0.27,(VLOOKUP(VENDAS!C314,Bairros!$A$2:$B$90,2,0))))</f>
        <v/>
      </c>
      <c r="J314" s="7" t="str">
        <f t="shared" si="21"/>
        <v/>
      </c>
      <c r="K314" s="9">
        <f t="shared" ca="1" si="22"/>
        <v>45404.878290046297</v>
      </c>
      <c r="L314" s="10">
        <f t="shared" ca="1" si="23"/>
        <v>45404.878290046297</v>
      </c>
    </row>
    <row r="315" spans="6:12" x14ac:dyDescent="0.25">
      <c r="F315" s="11" t="str">
        <f>IF(ISBLANK(D315),"",(VLOOKUP(D315,Cardápio!$A$2:$B$16,2,0))*E315)</f>
        <v/>
      </c>
      <c r="H315" s="7" t="str">
        <f t="shared" si="20"/>
        <v/>
      </c>
      <c r="I315" s="7" t="str">
        <f>IF(AND(ISBLANK(D315),ISBLANK(C315)),"",((VLOOKUP(D315,Cardápio!$A$2:$C$16,3,0))*E315)+IF(B315="iFood",F315*0.27,(VLOOKUP(VENDAS!C315,Bairros!$A$2:$B$90,2,0))))</f>
        <v/>
      </c>
      <c r="J315" s="7" t="str">
        <f t="shared" si="21"/>
        <v/>
      </c>
      <c r="K315" s="9">
        <f t="shared" ca="1" si="22"/>
        <v>45404.878290046297</v>
      </c>
      <c r="L315" s="10">
        <f t="shared" ca="1" si="23"/>
        <v>45404.878290046297</v>
      </c>
    </row>
    <row r="316" spans="6:12" x14ac:dyDescent="0.25">
      <c r="F316" s="11" t="str">
        <f>IF(ISBLANK(D316),"",(VLOOKUP(D316,Cardápio!$A$2:$B$16,2,0))*E316)</f>
        <v/>
      </c>
      <c r="H316" s="7" t="str">
        <f t="shared" si="20"/>
        <v/>
      </c>
      <c r="I316" s="7" t="str">
        <f>IF(AND(ISBLANK(D316),ISBLANK(C316)),"",((VLOOKUP(D316,Cardápio!$A$2:$C$16,3,0))*E316)+IF(B316="iFood",F316*0.27,(VLOOKUP(VENDAS!C316,Bairros!$A$2:$B$90,2,0))))</f>
        <v/>
      </c>
      <c r="J316" s="7" t="str">
        <f t="shared" si="21"/>
        <v/>
      </c>
      <c r="K316" s="9">
        <f t="shared" ca="1" si="22"/>
        <v>45404.878290046297</v>
      </c>
      <c r="L316" s="10">
        <f t="shared" ca="1" si="23"/>
        <v>45404.878290046297</v>
      </c>
    </row>
    <row r="317" spans="6:12" x14ac:dyDescent="0.25">
      <c r="F317" s="11" t="str">
        <f>IF(ISBLANK(D317),"",(VLOOKUP(D317,Cardápio!$A$2:$B$16,2,0))*E317)</f>
        <v/>
      </c>
      <c r="H317" s="7" t="str">
        <f t="shared" si="20"/>
        <v/>
      </c>
      <c r="I317" s="7" t="str">
        <f>IF(AND(ISBLANK(D317),ISBLANK(C317)),"",((VLOOKUP(D317,Cardápio!$A$2:$C$16,3,0))*E317)+IF(B317="iFood",F317*0.27,(VLOOKUP(VENDAS!C317,Bairros!$A$2:$B$90,2,0))))</f>
        <v/>
      </c>
      <c r="J317" s="7" t="str">
        <f t="shared" si="21"/>
        <v/>
      </c>
      <c r="K317" s="9">
        <f t="shared" ca="1" si="22"/>
        <v>45404.878290162036</v>
      </c>
      <c r="L317" s="10">
        <f t="shared" ca="1" si="23"/>
        <v>45404.878290046297</v>
      </c>
    </row>
    <row r="318" spans="6:12" x14ac:dyDescent="0.25">
      <c r="F318" s="11" t="str">
        <f>IF(ISBLANK(D318),"",(VLOOKUP(D318,Cardápio!$A$2:$B$16,2,0))*E318)</f>
        <v/>
      </c>
      <c r="H318" s="7" t="str">
        <f t="shared" si="20"/>
        <v/>
      </c>
      <c r="I318" s="7" t="str">
        <f>IF(AND(ISBLANK(D318),ISBLANK(C318)),"",((VLOOKUP(D318,Cardápio!$A$2:$C$16,3,0))*E318)+IF(B318="iFood",F318*0.27,(VLOOKUP(VENDAS!C318,Bairros!$A$2:$B$90,2,0))))</f>
        <v/>
      </c>
      <c r="J318" s="7" t="str">
        <f t="shared" si="21"/>
        <v/>
      </c>
      <c r="K318" s="9">
        <f t="shared" ca="1" si="22"/>
        <v>45404.878290046297</v>
      </c>
      <c r="L318" s="10">
        <f t="shared" ca="1" si="23"/>
        <v>45404.878290046297</v>
      </c>
    </row>
    <row r="319" spans="6:12" x14ac:dyDescent="0.25">
      <c r="F319" s="11" t="str">
        <f>IF(ISBLANK(D319),"",(VLOOKUP(D319,Cardápio!$A$2:$B$16,2,0))*E319)</f>
        <v/>
      </c>
      <c r="H319" s="7" t="str">
        <f t="shared" si="20"/>
        <v/>
      </c>
      <c r="I319" s="7" t="str">
        <f>IF(AND(ISBLANK(D319),ISBLANK(C319)),"",((VLOOKUP(D319,Cardápio!$A$2:$C$16,3,0))*E319)+IF(B319="iFood",F319*0.27,(VLOOKUP(VENDAS!C319,Bairros!$A$2:$B$90,2,0))))</f>
        <v/>
      </c>
      <c r="J319" s="7" t="str">
        <f t="shared" si="21"/>
        <v/>
      </c>
      <c r="K319" s="9">
        <f t="shared" ca="1" si="22"/>
        <v>45404.878290046297</v>
      </c>
      <c r="L319" s="10">
        <f t="shared" ca="1" si="23"/>
        <v>45404.878290046297</v>
      </c>
    </row>
    <row r="320" spans="6:12" x14ac:dyDescent="0.25">
      <c r="F320" s="11" t="str">
        <f>IF(ISBLANK(D320),"",(VLOOKUP(D320,Cardápio!$A$2:$B$16,2,0))*E320)</f>
        <v/>
      </c>
      <c r="H320" s="7" t="str">
        <f t="shared" si="20"/>
        <v/>
      </c>
      <c r="I320" s="7" t="str">
        <f>IF(AND(ISBLANK(D320),ISBLANK(C320)),"",((VLOOKUP(D320,Cardápio!$A$2:$C$16,3,0))*E320)+IF(B320="iFood",F320*0.27,(VLOOKUP(VENDAS!C320,Bairros!$A$2:$B$90,2,0))))</f>
        <v/>
      </c>
      <c r="J320" s="7" t="str">
        <f t="shared" si="21"/>
        <v/>
      </c>
      <c r="K320" s="9">
        <f t="shared" ca="1" si="22"/>
        <v>45404.878290046297</v>
      </c>
      <c r="L320" s="10">
        <f t="shared" ca="1" si="23"/>
        <v>45404.878290046297</v>
      </c>
    </row>
    <row r="321" spans="6:12" x14ac:dyDescent="0.25">
      <c r="F321" s="11" t="str">
        <f>IF(ISBLANK(D321),"",(VLOOKUP(D321,Cardápio!$A$2:$B$16,2,0))*E321)</f>
        <v/>
      </c>
      <c r="H321" s="7" t="str">
        <f t="shared" si="20"/>
        <v/>
      </c>
      <c r="I321" s="7" t="str">
        <f>IF(AND(ISBLANK(D321),ISBLANK(C321)),"",((VLOOKUP(D321,Cardápio!$A$2:$C$16,3,0))*E321)+IF(B321="iFood",F321*0.27,(VLOOKUP(VENDAS!C321,Bairros!$A$2:$B$90,2,0))))</f>
        <v/>
      </c>
      <c r="J321" s="7" t="str">
        <f t="shared" si="21"/>
        <v/>
      </c>
      <c r="K321" s="9">
        <f t="shared" ca="1" si="22"/>
        <v>45404.878290162036</v>
      </c>
      <c r="L321" s="10">
        <f t="shared" ca="1" si="23"/>
        <v>45404.878290046297</v>
      </c>
    </row>
    <row r="322" spans="6:12" x14ac:dyDescent="0.25">
      <c r="F322" s="11" t="str">
        <f>IF(ISBLANK(D322),"",(VLOOKUP(D322,Cardápio!$A$2:$B$16,2,0))*E322)</f>
        <v/>
      </c>
      <c r="H322" s="7" t="str">
        <f t="shared" si="20"/>
        <v/>
      </c>
      <c r="I322" s="7" t="str">
        <f>IF(AND(ISBLANK(D322),ISBLANK(C322)),"",((VLOOKUP(D322,Cardápio!$A$2:$C$16,3,0))*E322)+IF(B322="iFood",F322*0.27,(VLOOKUP(VENDAS!C322,Bairros!$A$2:$B$90,2,0))))</f>
        <v/>
      </c>
      <c r="J322" s="7" t="str">
        <f t="shared" si="21"/>
        <v/>
      </c>
      <c r="K322" s="9">
        <f t="shared" ca="1" si="22"/>
        <v>45404.878290046297</v>
      </c>
      <c r="L322" s="10">
        <f t="shared" ca="1" si="23"/>
        <v>45404.878290046297</v>
      </c>
    </row>
    <row r="323" spans="6:12" x14ac:dyDescent="0.25">
      <c r="F323" s="11" t="str">
        <f>IF(ISBLANK(D323),"",(VLOOKUP(D323,Cardápio!$A$2:$B$16,2,0))*E323)</f>
        <v/>
      </c>
      <c r="H323" s="7" t="str">
        <f t="shared" si="20"/>
        <v/>
      </c>
      <c r="I323" s="7" t="str">
        <f>IF(AND(ISBLANK(D323),ISBLANK(C323)),"",((VLOOKUP(D323,Cardápio!$A$2:$C$16,3,0))*E323)+IF(B323="iFood",F323*0.27,(VLOOKUP(VENDAS!C323,Bairros!$A$2:$B$90,2,0))))</f>
        <v/>
      </c>
      <c r="J323" s="7" t="str">
        <f t="shared" si="21"/>
        <v/>
      </c>
      <c r="K323" s="9">
        <f t="shared" ca="1" si="22"/>
        <v>45404.878290046297</v>
      </c>
      <c r="L323" s="10">
        <f t="shared" ca="1" si="23"/>
        <v>45404.878290046297</v>
      </c>
    </row>
    <row r="324" spans="6:12" x14ac:dyDescent="0.25">
      <c r="F324" s="11" t="str">
        <f>IF(ISBLANK(D324),"",(VLOOKUP(D324,Cardápio!$A$2:$B$16,2,0))*E324)</f>
        <v/>
      </c>
      <c r="H324" s="7" t="str">
        <f t="shared" si="20"/>
        <v/>
      </c>
      <c r="I324" s="7" t="str">
        <f>IF(AND(ISBLANK(D324),ISBLANK(C324)),"",((VLOOKUP(D324,Cardápio!$A$2:$C$16,3,0))*E324)+IF(B324="iFood",F324*0.27,(VLOOKUP(VENDAS!C324,Bairros!$A$2:$B$90,2,0))))</f>
        <v/>
      </c>
      <c r="J324" s="7" t="str">
        <f t="shared" si="21"/>
        <v/>
      </c>
      <c r="K324" s="9">
        <f t="shared" ca="1" si="22"/>
        <v>45404.878290046297</v>
      </c>
      <c r="L324" s="10">
        <f t="shared" ca="1" si="23"/>
        <v>45404.878290046297</v>
      </c>
    </row>
    <row r="325" spans="6:12" x14ac:dyDescent="0.25">
      <c r="F325" s="11" t="str">
        <f>IF(ISBLANK(D325),"",(VLOOKUP(D325,Cardápio!$A$2:$B$16,2,0))*E325)</f>
        <v/>
      </c>
      <c r="H325" s="7" t="str">
        <f t="shared" si="20"/>
        <v/>
      </c>
      <c r="I325" s="7" t="str">
        <f>IF(AND(ISBLANK(D325),ISBLANK(C325)),"",((VLOOKUP(D325,Cardápio!$A$2:$C$16,3,0))*E325)+IF(B325="iFood",F325*0.27,(VLOOKUP(VENDAS!C325,Bairros!$A$2:$B$90,2,0))))</f>
        <v/>
      </c>
      <c r="J325" s="7" t="str">
        <f t="shared" si="21"/>
        <v/>
      </c>
      <c r="K325" s="9">
        <f t="shared" ca="1" si="22"/>
        <v>45404.878290162036</v>
      </c>
      <c r="L325" s="10">
        <f t="shared" ca="1" si="23"/>
        <v>45404.878290046297</v>
      </c>
    </row>
    <row r="326" spans="6:12" x14ac:dyDescent="0.25">
      <c r="F326" s="11" t="str">
        <f>IF(ISBLANK(D326),"",(VLOOKUP(D326,Cardápio!$A$2:$B$16,2,0))*E326)</f>
        <v/>
      </c>
      <c r="H326" s="7" t="str">
        <f t="shared" si="20"/>
        <v/>
      </c>
      <c r="I326" s="7" t="str">
        <f>IF(AND(ISBLANK(D326),ISBLANK(C326)),"",((VLOOKUP(D326,Cardápio!$A$2:$C$16,3,0))*E326)+IF(B326="iFood",F326*0.27,(VLOOKUP(VENDAS!C326,Bairros!$A$2:$B$90,2,0))))</f>
        <v/>
      </c>
      <c r="J326" s="7" t="str">
        <f t="shared" si="21"/>
        <v/>
      </c>
      <c r="K326" s="9">
        <f t="shared" ca="1" si="22"/>
        <v>45404.878290046297</v>
      </c>
      <c r="L326" s="10">
        <f t="shared" ca="1" si="23"/>
        <v>45404.878290046297</v>
      </c>
    </row>
    <row r="327" spans="6:12" x14ac:dyDescent="0.25">
      <c r="F327" s="11" t="str">
        <f>IF(ISBLANK(D327),"",(VLOOKUP(D327,Cardápio!$A$2:$B$16,2,0))*E327)</f>
        <v/>
      </c>
      <c r="H327" s="7" t="str">
        <f t="shared" si="20"/>
        <v/>
      </c>
      <c r="I327" s="7" t="str">
        <f>IF(AND(ISBLANK(D327),ISBLANK(C327)),"",((VLOOKUP(D327,Cardápio!$A$2:$C$16,3,0))*E327)+IF(B327="iFood",F327*0.27,(VLOOKUP(VENDAS!C327,Bairros!$A$2:$B$90,2,0))))</f>
        <v/>
      </c>
      <c r="J327" s="7" t="str">
        <f t="shared" si="21"/>
        <v/>
      </c>
      <c r="K327" s="9">
        <f t="shared" ca="1" si="22"/>
        <v>45404.878290046297</v>
      </c>
      <c r="L327" s="10">
        <f t="shared" ca="1" si="23"/>
        <v>45404.878290046297</v>
      </c>
    </row>
    <row r="328" spans="6:12" x14ac:dyDescent="0.25">
      <c r="F328" s="11" t="str">
        <f>IF(ISBLANK(D328),"",(VLOOKUP(D328,Cardápio!$A$2:$B$16,2,0))*E328)</f>
        <v/>
      </c>
      <c r="H328" s="7" t="str">
        <f t="shared" si="20"/>
        <v/>
      </c>
      <c r="I328" s="7" t="str">
        <f>IF(AND(ISBLANK(D328),ISBLANK(C328)),"",((VLOOKUP(D328,Cardápio!$A$2:$C$16,3,0))*E328)+IF(B328="iFood",F328*0.27,(VLOOKUP(VENDAS!C328,Bairros!$A$2:$B$90,2,0))))</f>
        <v/>
      </c>
      <c r="J328" s="7" t="str">
        <f t="shared" si="21"/>
        <v/>
      </c>
      <c r="K328" s="9">
        <f t="shared" ca="1" si="22"/>
        <v>45404.878290046297</v>
      </c>
      <c r="L328" s="10">
        <f t="shared" ca="1" si="23"/>
        <v>45404.878290046297</v>
      </c>
    </row>
    <row r="329" spans="6:12" x14ac:dyDescent="0.25">
      <c r="F329" s="11" t="str">
        <f>IF(ISBLANK(D329),"",(VLOOKUP(D329,Cardápio!$A$2:$B$16,2,0))*E329)</f>
        <v/>
      </c>
      <c r="H329" s="7" t="str">
        <f t="shared" si="20"/>
        <v/>
      </c>
      <c r="I329" s="7" t="str">
        <f>IF(AND(ISBLANK(D329),ISBLANK(C329)),"",((VLOOKUP(D329,Cardápio!$A$2:$C$16,3,0))*E329)+IF(B329="iFood",F329*0.27,(VLOOKUP(VENDAS!C329,Bairros!$A$2:$B$90,2,0))))</f>
        <v/>
      </c>
      <c r="J329" s="7" t="str">
        <f t="shared" si="21"/>
        <v/>
      </c>
      <c r="K329" s="9">
        <f t="shared" ca="1" si="22"/>
        <v>45404.878290162036</v>
      </c>
      <c r="L329" s="10">
        <f t="shared" ca="1" si="23"/>
        <v>45404.878290046297</v>
      </c>
    </row>
    <row r="330" spans="6:12" x14ac:dyDescent="0.25">
      <c r="F330" s="11" t="str">
        <f>IF(ISBLANK(D330),"",(VLOOKUP(D330,Cardápio!$A$2:$B$16,2,0))*E330)</f>
        <v/>
      </c>
      <c r="H330" s="7" t="str">
        <f t="shared" si="20"/>
        <v/>
      </c>
      <c r="I330" s="7" t="str">
        <f>IF(AND(ISBLANK(D330),ISBLANK(C330)),"",((VLOOKUP(D330,Cardápio!$A$2:$C$16,3,0))*E330)+IF(B330="iFood",F330*0.27,(VLOOKUP(VENDAS!C330,Bairros!$A$2:$B$90,2,0))))</f>
        <v/>
      </c>
      <c r="J330" s="7" t="str">
        <f t="shared" si="21"/>
        <v/>
      </c>
      <c r="K330" s="9">
        <f t="shared" ca="1" si="22"/>
        <v>45404.878290046297</v>
      </c>
      <c r="L330" s="10">
        <f t="shared" ca="1" si="23"/>
        <v>45404.878290046297</v>
      </c>
    </row>
    <row r="331" spans="6:12" x14ac:dyDescent="0.25">
      <c r="F331" s="11" t="str">
        <f>IF(ISBLANK(D331),"",(VLOOKUP(D331,Cardápio!$A$2:$B$16,2,0))*E331)</f>
        <v/>
      </c>
      <c r="H331" s="7" t="str">
        <f t="shared" si="20"/>
        <v/>
      </c>
      <c r="I331" s="7" t="str">
        <f>IF(AND(ISBLANK(D331),ISBLANK(C331)),"",((VLOOKUP(D331,Cardápio!$A$2:$C$16,3,0))*E331)+IF(B331="iFood",F331*0.27,(VLOOKUP(VENDAS!C331,Bairros!$A$2:$B$90,2,0))))</f>
        <v/>
      </c>
      <c r="J331" s="7" t="str">
        <f t="shared" si="21"/>
        <v/>
      </c>
      <c r="K331" s="9">
        <f t="shared" ca="1" si="22"/>
        <v>45404.878290046297</v>
      </c>
      <c r="L331" s="10">
        <f t="shared" ca="1" si="23"/>
        <v>45404.878290046297</v>
      </c>
    </row>
    <row r="332" spans="6:12" x14ac:dyDescent="0.25">
      <c r="F332" s="11" t="str">
        <f>IF(ISBLANK(D332),"",(VLOOKUP(D332,Cardápio!$A$2:$B$16,2,0))*E332)</f>
        <v/>
      </c>
      <c r="H332" s="7" t="str">
        <f t="shared" si="20"/>
        <v/>
      </c>
      <c r="I332" s="7" t="str">
        <f>IF(AND(ISBLANK(D332),ISBLANK(C332)),"",((VLOOKUP(D332,Cardápio!$A$2:$C$16,3,0))*E332)+IF(B332="iFood",F332*0.27,(VLOOKUP(VENDAS!C332,Bairros!$A$2:$B$90,2,0))))</f>
        <v/>
      </c>
      <c r="J332" s="7" t="str">
        <f t="shared" si="21"/>
        <v/>
      </c>
      <c r="K332" s="9">
        <f t="shared" ca="1" si="22"/>
        <v>45404.878290046297</v>
      </c>
      <c r="L332" s="10">
        <f t="shared" ca="1" si="23"/>
        <v>45404.878290046297</v>
      </c>
    </row>
    <row r="333" spans="6:12" x14ac:dyDescent="0.25">
      <c r="F333" s="11" t="str">
        <f>IF(ISBLANK(D333),"",(VLOOKUP(D333,Cardápio!$A$2:$B$16,2,0))*E333)</f>
        <v/>
      </c>
      <c r="H333" s="7" t="str">
        <f t="shared" si="20"/>
        <v/>
      </c>
      <c r="I333" s="7" t="str">
        <f>IF(AND(ISBLANK(D333),ISBLANK(C333)),"",((VLOOKUP(D333,Cardápio!$A$2:$C$16,3,0))*E333)+IF(B333="iFood",F333*0.27,(VLOOKUP(VENDAS!C333,Bairros!$A$2:$B$90,2,0))))</f>
        <v/>
      </c>
      <c r="J333" s="7" t="str">
        <f t="shared" si="21"/>
        <v/>
      </c>
      <c r="K333" s="9">
        <f t="shared" ca="1" si="22"/>
        <v>45404.878290162036</v>
      </c>
      <c r="L333" s="10">
        <f t="shared" ca="1" si="23"/>
        <v>45404.878290046297</v>
      </c>
    </row>
    <row r="334" spans="6:12" x14ac:dyDescent="0.25">
      <c r="F334" s="11" t="str">
        <f>IF(ISBLANK(D334),"",(VLOOKUP(D334,Cardápio!$A$2:$B$16,2,0))*E334)</f>
        <v/>
      </c>
      <c r="H334" s="7" t="str">
        <f t="shared" si="20"/>
        <v/>
      </c>
      <c r="I334" s="7" t="str">
        <f>IF(AND(ISBLANK(D334),ISBLANK(C334)),"",((VLOOKUP(D334,Cardápio!$A$2:$C$16,3,0))*E334)+IF(B334="iFood",F334*0.27,(VLOOKUP(VENDAS!C334,Bairros!$A$2:$B$90,2,0))))</f>
        <v/>
      </c>
      <c r="J334" s="7" t="str">
        <f t="shared" si="21"/>
        <v/>
      </c>
      <c r="K334" s="9">
        <f t="shared" ca="1" si="22"/>
        <v>45404.878290046297</v>
      </c>
      <c r="L334" s="10">
        <f t="shared" ca="1" si="23"/>
        <v>45404.878290046297</v>
      </c>
    </row>
    <row r="335" spans="6:12" x14ac:dyDescent="0.25">
      <c r="F335" s="11" t="str">
        <f>IF(ISBLANK(D335),"",(VLOOKUP(D335,Cardápio!$A$2:$B$16,2,0))*E335)</f>
        <v/>
      </c>
      <c r="H335" s="7" t="str">
        <f t="shared" si="20"/>
        <v/>
      </c>
      <c r="I335" s="7" t="str">
        <f>IF(AND(ISBLANK(D335),ISBLANK(C335)),"",((VLOOKUP(D335,Cardápio!$A$2:$C$16,3,0))*E335)+IF(B335="iFood",F335*0.27,(VLOOKUP(VENDAS!C335,Bairros!$A$2:$B$90,2,0))))</f>
        <v/>
      </c>
      <c r="J335" s="7" t="str">
        <f t="shared" si="21"/>
        <v/>
      </c>
      <c r="K335" s="9">
        <f t="shared" ca="1" si="22"/>
        <v>45404.878290046297</v>
      </c>
      <c r="L335" s="10">
        <f t="shared" ca="1" si="23"/>
        <v>45404.878290046297</v>
      </c>
    </row>
    <row r="336" spans="6:12" x14ac:dyDescent="0.25">
      <c r="F336" s="11" t="str">
        <f>IF(ISBLANK(D336),"",(VLOOKUP(D336,Cardápio!$A$2:$B$16,2,0))*E336)</f>
        <v/>
      </c>
      <c r="H336" s="7" t="str">
        <f t="shared" si="20"/>
        <v/>
      </c>
      <c r="I336" s="7" t="str">
        <f>IF(AND(ISBLANK(D336),ISBLANK(C336)),"",((VLOOKUP(D336,Cardápio!$A$2:$C$16,3,0))*E336)+IF(B336="iFood",F336*0.27,(VLOOKUP(VENDAS!C336,Bairros!$A$2:$B$90,2,0))))</f>
        <v/>
      </c>
      <c r="J336" s="7" t="str">
        <f t="shared" si="21"/>
        <v/>
      </c>
      <c r="K336" s="9">
        <f t="shared" ca="1" si="22"/>
        <v>45404.878290046297</v>
      </c>
      <c r="L336" s="10">
        <f t="shared" ca="1" si="23"/>
        <v>45404.878290046297</v>
      </c>
    </row>
    <row r="337" spans="6:12" x14ac:dyDescent="0.25">
      <c r="F337" s="11" t="str">
        <f>IF(ISBLANK(D337),"",(VLOOKUP(D337,Cardápio!$A$2:$B$16,2,0))*E337)</f>
        <v/>
      </c>
      <c r="H337" s="7" t="str">
        <f t="shared" si="20"/>
        <v/>
      </c>
      <c r="I337" s="7" t="str">
        <f>IF(AND(ISBLANK(D337),ISBLANK(C337)),"",((VLOOKUP(D337,Cardápio!$A$2:$C$16,3,0))*E337)+IF(B337="iFood",F337*0.27,(VLOOKUP(VENDAS!C337,Bairros!$A$2:$B$90,2,0))))</f>
        <v/>
      </c>
      <c r="J337" s="7" t="str">
        <f t="shared" si="21"/>
        <v/>
      </c>
      <c r="K337" s="9">
        <f t="shared" ca="1" si="22"/>
        <v>45404.878290162036</v>
      </c>
      <c r="L337" s="10">
        <f t="shared" ca="1" si="23"/>
        <v>45404.878290046297</v>
      </c>
    </row>
    <row r="338" spans="6:12" x14ac:dyDescent="0.25">
      <c r="F338" s="11" t="str">
        <f>IF(ISBLANK(D338),"",(VLOOKUP(D338,Cardápio!$A$2:$B$16,2,0))*E338)</f>
        <v/>
      </c>
      <c r="H338" s="7" t="str">
        <f t="shared" si="20"/>
        <v/>
      </c>
      <c r="I338" s="7" t="str">
        <f>IF(AND(ISBLANK(D338),ISBLANK(C338)),"",((VLOOKUP(D338,Cardápio!$A$2:$C$16,3,0))*E338)+IF(B338="iFood",F338*0.27,(VLOOKUP(VENDAS!C338,Bairros!$A$2:$B$90,2,0))))</f>
        <v/>
      </c>
      <c r="J338" s="7" t="str">
        <f t="shared" si="21"/>
        <v/>
      </c>
      <c r="K338" s="9">
        <f t="shared" ca="1" si="22"/>
        <v>45404.878290046297</v>
      </c>
      <c r="L338" s="10">
        <f t="shared" ca="1" si="23"/>
        <v>45404.878290046297</v>
      </c>
    </row>
    <row r="339" spans="6:12" x14ac:dyDescent="0.25">
      <c r="F339" s="11" t="str">
        <f>IF(ISBLANK(D339),"",(VLOOKUP(D339,Cardápio!$A$2:$B$16,2,0))*E339)</f>
        <v/>
      </c>
      <c r="H339" s="7" t="str">
        <f t="shared" si="20"/>
        <v/>
      </c>
      <c r="I339" s="7" t="str">
        <f>IF(AND(ISBLANK(D339),ISBLANK(C339)),"",((VLOOKUP(D339,Cardápio!$A$2:$C$16,3,0))*E339)+IF(B339="iFood",F339*0.27,(VLOOKUP(VENDAS!C339,Bairros!$A$2:$B$90,2,0))))</f>
        <v/>
      </c>
      <c r="J339" s="7" t="str">
        <f t="shared" si="21"/>
        <v/>
      </c>
      <c r="K339" s="9">
        <f t="shared" ca="1" si="22"/>
        <v>45404.878290046297</v>
      </c>
      <c r="L339" s="10">
        <f t="shared" ca="1" si="23"/>
        <v>45404.878290046297</v>
      </c>
    </row>
    <row r="340" spans="6:12" x14ac:dyDescent="0.25">
      <c r="F340" s="11" t="str">
        <f>IF(ISBLANK(D340),"",(VLOOKUP(D340,Cardápio!$A$2:$B$16,2,0))*E340)</f>
        <v/>
      </c>
      <c r="H340" s="7" t="str">
        <f t="shared" si="20"/>
        <v/>
      </c>
      <c r="I340" s="7" t="str">
        <f>IF(AND(ISBLANK(D340),ISBLANK(C340)),"",((VLOOKUP(D340,Cardápio!$A$2:$C$16,3,0))*E340)+IF(B340="iFood",F340*0.27,(VLOOKUP(VENDAS!C340,Bairros!$A$2:$B$90,2,0))))</f>
        <v/>
      </c>
      <c r="J340" s="7" t="str">
        <f t="shared" si="21"/>
        <v/>
      </c>
      <c r="K340" s="9">
        <f t="shared" ca="1" si="22"/>
        <v>45404.878290046297</v>
      </c>
      <c r="L340" s="10">
        <f t="shared" ca="1" si="23"/>
        <v>45404.878290046297</v>
      </c>
    </row>
    <row r="341" spans="6:12" x14ac:dyDescent="0.25">
      <c r="F341" s="11" t="str">
        <f>IF(ISBLANK(D341),"",(VLOOKUP(D341,Cardápio!$A$2:$B$16,2,0))*E341)</f>
        <v/>
      </c>
      <c r="H341" s="7" t="str">
        <f t="shared" si="20"/>
        <v/>
      </c>
      <c r="I341" s="7" t="str">
        <f>IF(AND(ISBLANK(D341),ISBLANK(C341)),"",((VLOOKUP(D341,Cardápio!$A$2:$C$16,3,0))*E341)+IF(B341="iFood",F341*0.27,(VLOOKUP(VENDAS!C341,Bairros!$A$2:$B$90,2,0))))</f>
        <v/>
      </c>
      <c r="J341" s="7" t="str">
        <f t="shared" si="21"/>
        <v/>
      </c>
      <c r="K341" s="9">
        <f t="shared" ca="1" si="22"/>
        <v>45404.878290162036</v>
      </c>
      <c r="L341" s="10">
        <f t="shared" ca="1" si="23"/>
        <v>45404.878290046297</v>
      </c>
    </row>
    <row r="342" spans="6:12" x14ac:dyDescent="0.25">
      <c r="F342" s="11" t="str">
        <f>IF(ISBLANK(D342),"",(VLOOKUP(D342,Cardápio!$A$2:$B$16,2,0))*E342)</f>
        <v/>
      </c>
      <c r="H342" s="7" t="str">
        <f t="shared" si="20"/>
        <v/>
      </c>
      <c r="I342" s="7" t="str">
        <f>IF(AND(ISBLANK(D342),ISBLANK(C342)),"",((VLOOKUP(D342,Cardápio!$A$2:$C$16,3,0))*E342)+IF(B342="iFood",F342*0.27,(VLOOKUP(VENDAS!C342,Bairros!$A$2:$B$90,2,0))))</f>
        <v/>
      </c>
      <c r="J342" s="7" t="str">
        <f t="shared" si="21"/>
        <v/>
      </c>
      <c r="K342" s="9">
        <f t="shared" ca="1" si="22"/>
        <v>45404.878290046297</v>
      </c>
      <c r="L342" s="10">
        <f t="shared" ca="1" si="23"/>
        <v>45404.878290046297</v>
      </c>
    </row>
    <row r="343" spans="6:12" x14ac:dyDescent="0.25">
      <c r="F343" s="11" t="str">
        <f>IF(ISBLANK(D343),"",(VLOOKUP(D343,Cardápio!$A$2:$B$16,2,0))*E343)</f>
        <v/>
      </c>
      <c r="H343" s="7" t="str">
        <f t="shared" si="20"/>
        <v/>
      </c>
      <c r="I343" s="7" t="str">
        <f>IF(AND(ISBLANK(D343),ISBLANK(C343)),"",((VLOOKUP(D343,Cardápio!$A$2:$C$16,3,0))*E343)+IF(B343="iFood",F343*0.27,(VLOOKUP(VENDAS!C343,Bairros!$A$2:$B$90,2,0))))</f>
        <v/>
      </c>
      <c r="J343" s="7" t="str">
        <f t="shared" si="21"/>
        <v/>
      </c>
      <c r="K343" s="9">
        <f t="shared" ca="1" si="22"/>
        <v>45404.878290046297</v>
      </c>
      <c r="L343" s="10">
        <f t="shared" ca="1" si="23"/>
        <v>45404.878290046297</v>
      </c>
    </row>
    <row r="344" spans="6:12" x14ac:dyDescent="0.25">
      <c r="F344" s="11" t="str">
        <f>IF(ISBLANK(D344),"",(VLOOKUP(D344,Cardápio!$A$2:$B$16,2,0))*E344)</f>
        <v/>
      </c>
      <c r="H344" s="7" t="str">
        <f t="shared" si="20"/>
        <v/>
      </c>
      <c r="I344" s="7" t="str">
        <f>IF(AND(ISBLANK(D344),ISBLANK(C344)),"",((VLOOKUP(D344,Cardápio!$A$2:$C$16,3,0))*E344)+IF(B344="iFood",F344*0.27,(VLOOKUP(VENDAS!C344,Bairros!$A$2:$B$90,2,0))))</f>
        <v/>
      </c>
      <c r="J344" s="7" t="str">
        <f t="shared" si="21"/>
        <v/>
      </c>
      <c r="K344" s="9">
        <f t="shared" ca="1" si="22"/>
        <v>45404.878290046297</v>
      </c>
      <c r="L344" s="10">
        <f t="shared" ca="1" si="23"/>
        <v>45404.878290046297</v>
      </c>
    </row>
    <row r="345" spans="6:12" x14ac:dyDescent="0.25">
      <c r="F345" s="11" t="str">
        <f>IF(ISBLANK(D345),"",(VLOOKUP(D345,Cardápio!$A$2:$B$16,2,0))*E345)</f>
        <v/>
      </c>
      <c r="H345" s="7" t="str">
        <f t="shared" si="20"/>
        <v/>
      </c>
      <c r="I345" s="7" t="str">
        <f>IF(AND(ISBLANK(D345),ISBLANK(C345)),"",((VLOOKUP(D345,Cardápio!$A$2:$C$16,3,0))*E345)+IF(B345="iFood",F345*0.27,(VLOOKUP(VENDAS!C345,Bairros!$A$2:$B$90,2,0))))</f>
        <v/>
      </c>
      <c r="J345" s="7" t="str">
        <f t="shared" si="21"/>
        <v/>
      </c>
      <c r="K345" s="9">
        <f t="shared" ca="1" si="22"/>
        <v>45404.878290162036</v>
      </c>
      <c r="L345" s="10">
        <f t="shared" ca="1" si="23"/>
        <v>45404.878290046297</v>
      </c>
    </row>
    <row r="346" spans="6:12" x14ac:dyDescent="0.25">
      <c r="F346" s="11" t="str">
        <f>IF(ISBLANK(D346),"",(VLOOKUP(D346,Cardápio!$A$2:$B$16,2,0))*E346)</f>
        <v/>
      </c>
      <c r="H346" s="7" t="str">
        <f t="shared" si="20"/>
        <v/>
      </c>
      <c r="I346" s="7" t="str">
        <f>IF(AND(ISBLANK(D346),ISBLANK(C346)),"",((VLOOKUP(D346,Cardápio!$A$2:$C$16,3,0))*E346)+IF(B346="iFood",F346*0.27,(VLOOKUP(VENDAS!C346,Bairros!$A$2:$B$90,2,0))))</f>
        <v/>
      </c>
      <c r="J346" s="7" t="str">
        <f t="shared" si="21"/>
        <v/>
      </c>
      <c r="K346" s="9">
        <f t="shared" ca="1" si="22"/>
        <v>45404.878290046297</v>
      </c>
      <c r="L346" s="10">
        <f t="shared" ca="1" si="23"/>
        <v>45404.878290046297</v>
      </c>
    </row>
    <row r="347" spans="6:12" x14ac:dyDescent="0.25">
      <c r="F347" s="11" t="str">
        <f>IF(ISBLANK(D347),"",(VLOOKUP(D347,Cardápio!$A$2:$B$16,2,0))*E347)</f>
        <v/>
      </c>
      <c r="H347" s="7" t="str">
        <f t="shared" si="20"/>
        <v/>
      </c>
      <c r="I347" s="7" t="str">
        <f>IF(AND(ISBLANK(D347),ISBLANK(C347)),"",((VLOOKUP(D347,Cardápio!$A$2:$C$16,3,0))*E347)+IF(B347="iFood",F347*0.27,(VLOOKUP(VENDAS!C347,Bairros!$A$2:$B$90,2,0))))</f>
        <v/>
      </c>
      <c r="J347" s="7" t="str">
        <f t="shared" si="21"/>
        <v/>
      </c>
      <c r="K347" s="9">
        <f t="shared" ca="1" si="22"/>
        <v>45404.878290046297</v>
      </c>
      <c r="L347" s="10">
        <f t="shared" ca="1" si="23"/>
        <v>45404.878290046297</v>
      </c>
    </row>
    <row r="348" spans="6:12" x14ac:dyDescent="0.25">
      <c r="F348" s="11" t="str">
        <f>IF(ISBLANK(D348),"",(VLOOKUP(D348,Cardápio!$A$2:$B$16,2,0))*E348)</f>
        <v/>
      </c>
      <c r="H348" s="7" t="str">
        <f t="shared" si="20"/>
        <v/>
      </c>
      <c r="I348" s="7" t="str">
        <f>IF(AND(ISBLANK(D348),ISBLANK(C348)),"",((VLOOKUP(D348,Cardápio!$A$2:$C$16,3,0))*E348)+IF(B348="iFood",F348*0.27,(VLOOKUP(VENDAS!C348,Bairros!$A$2:$B$90,2,0))))</f>
        <v/>
      </c>
      <c r="J348" s="7" t="str">
        <f t="shared" si="21"/>
        <v/>
      </c>
      <c r="K348" s="9">
        <f t="shared" ca="1" si="22"/>
        <v>45404.878290046297</v>
      </c>
      <c r="L348" s="10">
        <f t="shared" ca="1" si="23"/>
        <v>45404.878290046297</v>
      </c>
    </row>
    <row r="349" spans="6:12" x14ac:dyDescent="0.25">
      <c r="F349" s="11" t="str">
        <f>IF(ISBLANK(D349),"",(VLOOKUP(D349,Cardápio!$A$2:$B$16,2,0))*E349)</f>
        <v/>
      </c>
      <c r="H349" s="7" t="str">
        <f t="shared" si="20"/>
        <v/>
      </c>
      <c r="I349" s="7" t="str">
        <f>IF(AND(ISBLANK(D349),ISBLANK(C349)),"",((VLOOKUP(D349,Cardápio!$A$2:$C$16,3,0))*E349)+IF(B349="iFood",F349*0.27,(VLOOKUP(VENDAS!C349,Bairros!$A$2:$B$90,2,0))))</f>
        <v/>
      </c>
      <c r="J349" s="7" t="str">
        <f t="shared" si="21"/>
        <v/>
      </c>
      <c r="K349" s="9">
        <f t="shared" ca="1" si="22"/>
        <v>45404.878290162036</v>
      </c>
      <c r="L349" s="10">
        <f t="shared" ca="1" si="23"/>
        <v>45404.878290046297</v>
      </c>
    </row>
    <row r="350" spans="6:12" x14ac:dyDescent="0.25">
      <c r="F350" s="11" t="str">
        <f>IF(ISBLANK(D350),"",(VLOOKUP(D350,Cardápio!$A$2:$B$16,2,0))*E350)</f>
        <v/>
      </c>
      <c r="H350" s="7" t="str">
        <f t="shared" si="20"/>
        <v/>
      </c>
      <c r="I350" s="7" t="str">
        <f>IF(AND(ISBLANK(D350),ISBLANK(C350)),"",((VLOOKUP(D350,Cardápio!$A$2:$C$16,3,0))*E350)+IF(B350="iFood",F350*0.27,(VLOOKUP(VENDAS!C350,Bairros!$A$2:$B$90,2,0))))</f>
        <v/>
      </c>
      <c r="J350" s="7" t="str">
        <f t="shared" si="21"/>
        <v/>
      </c>
      <c r="K350" s="9">
        <f t="shared" ca="1" si="22"/>
        <v>45404.878290046297</v>
      </c>
      <c r="L350" s="10">
        <f t="shared" ca="1" si="23"/>
        <v>45404.878290046297</v>
      </c>
    </row>
    <row r="351" spans="6:12" x14ac:dyDescent="0.25">
      <c r="F351" s="11" t="str">
        <f>IF(ISBLANK(D351),"",(VLOOKUP(D351,Cardápio!$A$2:$B$16,2,0))*E351)</f>
        <v/>
      </c>
      <c r="H351" s="7" t="str">
        <f t="shared" si="20"/>
        <v/>
      </c>
      <c r="I351" s="7" t="str">
        <f>IF(AND(ISBLANK(D351),ISBLANK(C351)),"",((VLOOKUP(D351,Cardápio!$A$2:$C$16,3,0))*E351)+IF(B351="iFood",F351*0.27,(VLOOKUP(VENDAS!C351,Bairros!$A$2:$B$90,2,0))))</f>
        <v/>
      </c>
      <c r="J351" s="7" t="str">
        <f t="shared" si="21"/>
        <v/>
      </c>
      <c r="K351" s="9">
        <f t="shared" ca="1" si="22"/>
        <v>45404.878290046297</v>
      </c>
      <c r="L351" s="10">
        <f t="shared" ca="1" si="23"/>
        <v>45404.878290046297</v>
      </c>
    </row>
    <row r="352" spans="6:12" x14ac:dyDescent="0.25">
      <c r="F352" s="11" t="str">
        <f>IF(ISBLANK(D352),"",(VLOOKUP(D352,Cardápio!$A$2:$B$16,2,0))*E352)</f>
        <v/>
      </c>
      <c r="H352" s="7" t="str">
        <f t="shared" si="20"/>
        <v/>
      </c>
      <c r="I352" s="7" t="str">
        <f>IF(AND(ISBLANK(D352),ISBLANK(C352)),"",((VLOOKUP(D352,Cardápio!$A$2:$C$16,3,0))*E352)+IF(B352="iFood",F352*0.27,(VLOOKUP(VENDAS!C352,Bairros!$A$2:$B$90,2,0))))</f>
        <v/>
      </c>
      <c r="J352" s="7" t="str">
        <f t="shared" si="21"/>
        <v/>
      </c>
      <c r="K352" s="9">
        <f t="shared" ca="1" si="22"/>
        <v>45404.878290046297</v>
      </c>
      <c r="L352" s="10">
        <f t="shared" ca="1" si="23"/>
        <v>45404.878290046297</v>
      </c>
    </row>
    <row r="353" spans="6:12" x14ac:dyDescent="0.25">
      <c r="F353" s="11" t="str">
        <f>IF(ISBLANK(D353),"",(VLOOKUP(D353,Cardápio!$A$2:$B$16,2,0))*E353)</f>
        <v/>
      </c>
      <c r="H353" s="7" t="str">
        <f t="shared" si="20"/>
        <v/>
      </c>
      <c r="I353" s="7" t="str">
        <f>IF(AND(ISBLANK(D353),ISBLANK(C353)),"",((VLOOKUP(D353,Cardápio!$A$2:$C$16,3,0))*E353)+IF(B353="iFood",F353*0.27,(VLOOKUP(VENDAS!C353,Bairros!$A$2:$B$90,2,0))))</f>
        <v/>
      </c>
      <c r="J353" s="7" t="str">
        <f t="shared" si="21"/>
        <v/>
      </c>
      <c r="K353" s="9">
        <f t="shared" ca="1" si="22"/>
        <v>45404.878290162036</v>
      </c>
      <c r="L353" s="10">
        <f t="shared" ca="1" si="23"/>
        <v>45404.878290046297</v>
      </c>
    </row>
    <row r="354" spans="6:12" x14ac:dyDescent="0.25">
      <c r="F354" s="11" t="str">
        <f>IF(ISBLANK(D354),"",(VLOOKUP(D354,Cardápio!$A$2:$B$16,2,0))*E354)</f>
        <v/>
      </c>
      <c r="H354" s="7" t="str">
        <f t="shared" si="20"/>
        <v/>
      </c>
      <c r="I354" s="7" t="str">
        <f>IF(AND(ISBLANK(D354),ISBLANK(C354)),"",((VLOOKUP(D354,Cardápio!$A$2:$C$16,3,0))*E354)+IF(B354="iFood",F354*0.27,(VLOOKUP(VENDAS!C354,Bairros!$A$2:$B$90,2,0))))</f>
        <v/>
      </c>
      <c r="J354" s="7" t="str">
        <f t="shared" si="21"/>
        <v/>
      </c>
      <c r="K354" s="9">
        <f t="shared" ca="1" si="22"/>
        <v>45404.878290046297</v>
      </c>
      <c r="L354" s="10">
        <f t="shared" ca="1" si="23"/>
        <v>45404.878290046297</v>
      </c>
    </row>
    <row r="355" spans="6:12" x14ac:dyDescent="0.25">
      <c r="F355" s="11" t="str">
        <f>IF(ISBLANK(D355),"",(VLOOKUP(D355,Cardápio!$A$2:$B$16,2,0))*E355)</f>
        <v/>
      </c>
      <c r="H355" s="7" t="str">
        <f t="shared" si="20"/>
        <v/>
      </c>
      <c r="I355" s="7" t="str">
        <f>IF(AND(ISBLANK(D355),ISBLANK(C355)),"",((VLOOKUP(D355,Cardápio!$A$2:$C$16,3,0))*E355)+IF(B355="iFood",F355*0.27,(VLOOKUP(VENDAS!C355,Bairros!$A$2:$B$90,2,0))))</f>
        <v/>
      </c>
      <c r="J355" s="7" t="str">
        <f t="shared" si="21"/>
        <v/>
      </c>
      <c r="K355" s="9">
        <f t="shared" ca="1" si="22"/>
        <v>45404.878290046297</v>
      </c>
      <c r="L355" s="10">
        <f t="shared" ca="1" si="23"/>
        <v>45404.878290046297</v>
      </c>
    </row>
    <row r="356" spans="6:12" x14ac:dyDescent="0.25">
      <c r="F356" s="11" t="str">
        <f>IF(ISBLANK(D356),"",(VLOOKUP(D356,Cardápio!$A$2:$B$16,2,0))*E356)</f>
        <v/>
      </c>
      <c r="H356" s="7" t="str">
        <f t="shared" si="20"/>
        <v/>
      </c>
      <c r="I356" s="7" t="str">
        <f>IF(AND(ISBLANK(D356),ISBLANK(C356)),"",((VLOOKUP(D356,Cardápio!$A$2:$C$16,3,0))*E356)+IF(B356="iFood",F356*0.27,(VLOOKUP(VENDAS!C356,Bairros!$A$2:$B$90,2,0))))</f>
        <v/>
      </c>
      <c r="J356" s="7" t="str">
        <f t="shared" si="21"/>
        <v/>
      </c>
      <c r="K356" s="9">
        <f t="shared" ca="1" si="22"/>
        <v>45404.878290046297</v>
      </c>
      <c r="L356" s="10">
        <f t="shared" ca="1" si="23"/>
        <v>45404.878290046297</v>
      </c>
    </row>
    <row r="357" spans="6:12" x14ac:dyDescent="0.25">
      <c r="F357" s="11" t="str">
        <f>IF(ISBLANK(D357),"",(VLOOKUP(D357,Cardápio!$A$2:$B$16,2,0))*E357)</f>
        <v/>
      </c>
      <c r="H357" s="7" t="str">
        <f t="shared" si="20"/>
        <v/>
      </c>
      <c r="I357" s="7" t="str">
        <f>IF(AND(ISBLANK(D357),ISBLANK(C357)),"",((VLOOKUP(D357,Cardápio!$A$2:$C$16,3,0))*E357)+IF(B357="iFood",F357*0.27,(VLOOKUP(VENDAS!C357,Bairros!$A$2:$B$90,2,0))))</f>
        <v/>
      </c>
      <c r="J357" s="7" t="str">
        <f t="shared" si="21"/>
        <v/>
      </c>
      <c r="K357" s="9">
        <f t="shared" ca="1" si="22"/>
        <v>45404.878290162036</v>
      </c>
      <c r="L357" s="10">
        <f t="shared" ca="1" si="23"/>
        <v>45404.878290046297</v>
      </c>
    </row>
    <row r="358" spans="6:12" x14ac:dyDescent="0.25">
      <c r="F358" s="11" t="str">
        <f>IF(ISBLANK(D358),"",(VLOOKUP(D358,Cardápio!$A$2:$B$16,2,0))*E358)</f>
        <v/>
      </c>
      <c r="H358" s="7" t="str">
        <f t="shared" si="20"/>
        <v/>
      </c>
      <c r="I358" s="7" t="str">
        <f>IF(AND(ISBLANK(D358),ISBLANK(C358)),"",((VLOOKUP(D358,Cardápio!$A$2:$C$16,3,0))*E358)+IF(B358="iFood",F358*0.27,(VLOOKUP(VENDAS!C358,Bairros!$A$2:$B$90,2,0))))</f>
        <v/>
      </c>
      <c r="J358" s="7" t="str">
        <f t="shared" si="21"/>
        <v/>
      </c>
      <c r="K358" s="9">
        <f t="shared" ca="1" si="22"/>
        <v>45404.878290046297</v>
      </c>
      <c r="L358" s="10">
        <f t="shared" ca="1" si="23"/>
        <v>45404.878290046297</v>
      </c>
    </row>
    <row r="359" spans="6:12" x14ac:dyDescent="0.25">
      <c r="F359" s="11" t="str">
        <f>IF(ISBLANK(D359),"",(VLOOKUP(D359,Cardápio!$A$2:$B$16,2,0))*E359)</f>
        <v/>
      </c>
      <c r="H359" s="7" t="str">
        <f t="shared" si="20"/>
        <v/>
      </c>
      <c r="I359" s="7" t="str">
        <f>IF(AND(ISBLANK(D359),ISBLANK(C359)),"",((VLOOKUP(D359,Cardápio!$A$2:$C$16,3,0))*E359)+IF(B359="iFood",F359*0.27,(VLOOKUP(VENDAS!C359,Bairros!$A$2:$B$90,2,0))))</f>
        <v/>
      </c>
      <c r="J359" s="7" t="str">
        <f t="shared" si="21"/>
        <v/>
      </c>
      <c r="K359" s="9">
        <f t="shared" ca="1" si="22"/>
        <v>45404.878290046297</v>
      </c>
      <c r="L359" s="10">
        <f t="shared" ca="1" si="23"/>
        <v>45404.878290046297</v>
      </c>
    </row>
    <row r="360" spans="6:12" x14ac:dyDescent="0.25">
      <c r="F360" s="11" t="str">
        <f>IF(ISBLANK(D360),"",(VLOOKUP(D360,Cardápio!$A$2:$B$16,2,0))*E360)</f>
        <v/>
      </c>
      <c r="H360" s="7" t="str">
        <f t="shared" si="20"/>
        <v/>
      </c>
      <c r="I360" s="7" t="str">
        <f>IF(AND(ISBLANK(D360),ISBLANK(C360)),"",((VLOOKUP(D360,Cardápio!$A$2:$C$16,3,0))*E360)+IF(B360="iFood",F360*0.27,(VLOOKUP(VENDAS!C360,Bairros!$A$2:$B$90,2,0))))</f>
        <v/>
      </c>
      <c r="J360" s="7" t="str">
        <f t="shared" si="21"/>
        <v/>
      </c>
      <c r="K360" s="9">
        <f t="shared" ca="1" si="22"/>
        <v>45404.878290046297</v>
      </c>
      <c r="L360" s="10">
        <f t="shared" ca="1" si="23"/>
        <v>45404.878290046297</v>
      </c>
    </row>
    <row r="361" spans="6:12" x14ac:dyDescent="0.25">
      <c r="F361" s="11" t="str">
        <f>IF(ISBLANK(D361),"",(VLOOKUP(D361,Cardápio!$A$2:$B$16,2,0))*E361)</f>
        <v/>
      </c>
      <c r="H361" s="7" t="str">
        <f t="shared" si="20"/>
        <v/>
      </c>
      <c r="I361" s="7" t="str">
        <f>IF(AND(ISBLANK(D361),ISBLANK(C361)),"",((VLOOKUP(D361,Cardápio!$A$2:$C$16,3,0))*E361)+IF(B361="iFood",F361*0.27,(VLOOKUP(VENDAS!C361,Bairros!$A$2:$B$90,2,0))))</f>
        <v/>
      </c>
      <c r="J361" s="7" t="str">
        <f t="shared" si="21"/>
        <v/>
      </c>
      <c r="K361" s="9">
        <f t="shared" ca="1" si="22"/>
        <v>45404.878290162036</v>
      </c>
      <c r="L361" s="10">
        <f t="shared" ca="1" si="23"/>
        <v>45404.878290046297</v>
      </c>
    </row>
    <row r="362" spans="6:12" x14ac:dyDescent="0.25">
      <c r="F362" s="11" t="str">
        <f>IF(ISBLANK(D362),"",(VLOOKUP(D362,Cardápio!$A$2:$B$16,2,0))*E362)</f>
        <v/>
      </c>
      <c r="H362" s="7" t="str">
        <f t="shared" si="20"/>
        <v/>
      </c>
      <c r="I362" s="7" t="str">
        <f>IF(AND(ISBLANK(D362),ISBLANK(C362)),"",((VLOOKUP(D362,Cardápio!$A$2:$C$16,3,0))*E362)+IF(B362="iFood",F362*0.27,(VLOOKUP(VENDAS!C362,Bairros!$A$2:$B$90,2,0))))</f>
        <v/>
      </c>
      <c r="J362" s="7" t="str">
        <f t="shared" si="21"/>
        <v/>
      </c>
      <c r="K362" s="9">
        <f t="shared" ca="1" si="22"/>
        <v>45404.878290046297</v>
      </c>
      <c r="L362" s="10">
        <f t="shared" ca="1" si="23"/>
        <v>45404.878290046297</v>
      </c>
    </row>
    <row r="363" spans="6:12" x14ac:dyDescent="0.25">
      <c r="F363" s="11" t="str">
        <f>IF(ISBLANK(D363),"",(VLOOKUP(D363,Cardápio!$A$2:$B$16,2,0))*E363)</f>
        <v/>
      </c>
      <c r="H363" s="7" t="str">
        <f t="shared" si="20"/>
        <v/>
      </c>
      <c r="I363" s="7" t="str">
        <f>IF(AND(ISBLANK(D363),ISBLANK(C363)),"",((VLOOKUP(D363,Cardápio!$A$2:$C$16,3,0))*E363)+IF(B363="iFood",F363*0.27,(VLOOKUP(VENDAS!C363,Bairros!$A$2:$B$90,2,0))))</f>
        <v/>
      </c>
      <c r="J363" s="7" t="str">
        <f t="shared" si="21"/>
        <v/>
      </c>
      <c r="K363" s="9">
        <f t="shared" ca="1" si="22"/>
        <v>45404.878290046297</v>
      </c>
      <c r="L363" s="10">
        <f t="shared" ca="1" si="23"/>
        <v>45404.878290046297</v>
      </c>
    </row>
    <row r="364" spans="6:12" x14ac:dyDescent="0.25">
      <c r="F364" s="11" t="str">
        <f>IF(ISBLANK(D364),"",(VLOOKUP(D364,Cardápio!$A$2:$B$16,2,0))*E364)</f>
        <v/>
      </c>
      <c r="H364" s="7" t="str">
        <f t="shared" si="20"/>
        <v/>
      </c>
      <c r="I364" s="7" t="str">
        <f>IF(AND(ISBLANK(D364),ISBLANK(C364)),"",((VLOOKUP(D364,Cardápio!$A$2:$C$16,3,0))*E364)+IF(B364="iFood",F364*0.27,(VLOOKUP(VENDAS!C364,Bairros!$A$2:$B$90,2,0))))</f>
        <v/>
      </c>
      <c r="J364" s="7" t="str">
        <f t="shared" si="21"/>
        <v/>
      </c>
      <c r="K364" s="9">
        <f t="shared" ca="1" si="22"/>
        <v>45404.878290046297</v>
      </c>
      <c r="L364" s="10">
        <f t="shared" ca="1" si="23"/>
        <v>45404.878290046297</v>
      </c>
    </row>
    <row r="365" spans="6:12" x14ac:dyDescent="0.25">
      <c r="F365" s="11" t="str">
        <f>IF(ISBLANK(D365),"",(VLOOKUP(D365,Cardápio!$A$2:$B$16,2,0))*E365)</f>
        <v/>
      </c>
      <c r="H365" s="7" t="str">
        <f t="shared" si="20"/>
        <v/>
      </c>
      <c r="I365" s="7" t="str">
        <f>IF(AND(ISBLANK(D365),ISBLANK(C365)),"",((VLOOKUP(D365,Cardápio!$A$2:$C$16,3,0))*E365)+IF(B365="iFood",F365*0.27,(VLOOKUP(VENDAS!C365,Bairros!$A$2:$B$90,2,0))))</f>
        <v/>
      </c>
      <c r="J365" s="7" t="str">
        <f t="shared" si="21"/>
        <v/>
      </c>
      <c r="K365" s="9">
        <f t="shared" ca="1" si="22"/>
        <v>45404.878290162036</v>
      </c>
      <c r="L365" s="10">
        <f t="shared" ca="1" si="23"/>
        <v>45404.878290046297</v>
      </c>
    </row>
    <row r="366" spans="6:12" x14ac:dyDescent="0.25">
      <c r="F366" s="11" t="str">
        <f>IF(ISBLANK(D366),"",(VLOOKUP(D366,Cardápio!$A$2:$B$16,2,0))*E366)</f>
        <v/>
      </c>
      <c r="H366" s="7" t="str">
        <f t="shared" si="20"/>
        <v/>
      </c>
      <c r="I366" s="7" t="str">
        <f>IF(AND(ISBLANK(D366),ISBLANK(C366)),"",((VLOOKUP(D366,Cardápio!$A$2:$C$16,3,0))*E366)+IF(B366="iFood",F366*0.27,(VLOOKUP(VENDAS!C366,Bairros!$A$2:$B$90,2,0))))</f>
        <v/>
      </c>
      <c r="J366" s="7" t="str">
        <f t="shared" si="21"/>
        <v/>
      </c>
      <c r="K366" s="9">
        <f t="shared" ca="1" si="22"/>
        <v>45404.878290046297</v>
      </c>
      <c r="L366" s="10">
        <f t="shared" ca="1" si="23"/>
        <v>45404.878290046297</v>
      </c>
    </row>
    <row r="367" spans="6:12" x14ac:dyDescent="0.25">
      <c r="F367" s="11" t="str">
        <f>IF(ISBLANK(D367),"",(VLOOKUP(D367,Cardápio!$A$2:$B$16,2,0))*E367)</f>
        <v/>
      </c>
      <c r="H367" s="7" t="str">
        <f t="shared" si="20"/>
        <v/>
      </c>
      <c r="I367" s="7" t="str">
        <f>IF(AND(ISBLANK(D367),ISBLANK(C367)),"",((VLOOKUP(D367,Cardápio!$A$2:$C$16,3,0))*E367)+IF(B367="iFood",F367*0.27,(VLOOKUP(VENDAS!C367,Bairros!$A$2:$B$90,2,0))))</f>
        <v/>
      </c>
      <c r="J367" s="7" t="str">
        <f t="shared" si="21"/>
        <v/>
      </c>
      <c r="K367" s="9">
        <f t="shared" ca="1" si="22"/>
        <v>45404.878290046297</v>
      </c>
      <c r="L367" s="10">
        <f t="shared" ca="1" si="23"/>
        <v>45404.878290046297</v>
      </c>
    </row>
    <row r="368" spans="6:12" x14ac:dyDescent="0.25">
      <c r="F368" s="11" t="str">
        <f>IF(ISBLANK(D368),"",(VLOOKUP(D368,Cardápio!$A$2:$B$16,2,0))*E368)</f>
        <v/>
      </c>
      <c r="H368" s="7" t="str">
        <f t="shared" si="20"/>
        <v/>
      </c>
      <c r="I368" s="7" t="str">
        <f>IF(AND(ISBLANK(D368),ISBLANK(C368)),"",((VLOOKUP(D368,Cardápio!$A$2:$C$16,3,0))*E368)+IF(B368="iFood",F368*0.27,(VLOOKUP(VENDAS!C368,Bairros!$A$2:$B$90,2,0))))</f>
        <v/>
      </c>
      <c r="J368" s="7" t="str">
        <f t="shared" si="21"/>
        <v/>
      </c>
      <c r="K368" s="9">
        <f t="shared" ca="1" si="22"/>
        <v>45404.878290046297</v>
      </c>
      <c r="L368" s="10">
        <f t="shared" ca="1" si="23"/>
        <v>45404.878290046297</v>
      </c>
    </row>
    <row r="369" spans="6:12" x14ac:dyDescent="0.25">
      <c r="F369" s="11" t="str">
        <f>IF(ISBLANK(D369),"",(VLOOKUP(D369,Cardápio!$A$2:$B$16,2,0))*E369)</f>
        <v/>
      </c>
      <c r="H369" s="7" t="str">
        <f t="shared" si="20"/>
        <v/>
      </c>
      <c r="I369" s="7" t="str">
        <f>IF(AND(ISBLANK(D369),ISBLANK(C369)),"",((VLOOKUP(D369,Cardápio!$A$2:$C$16,3,0))*E369)+IF(B369="iFood",F369*0.27,(VLOOKUP(VENDAS!C369,Bairros!$A$2:$B$90,2,0))))</f>
        <v/>
      </c>
      <c r="J369" s="7" t="str">
        <f t="shared" si="21"/>
        <v/>
      </c>
      <c r="K369" s="9">
        <f t="shared" ca="1" si="22"/>
        <v>45404.878290162036</v>
      </c>
      <c r="L369" s="10">
        <f t="shared" ca="1" si="23"/>
        <v>45404.878290046297</v>
      </c>
    </row>
    <row r="370" spans="6:12" x14ac:dyDescent="0.25">
      <c r="F370" s="11" t="str">
        <f>IF(ISBLANK(D370),"",(VLOOKUP(D370,Cardápio!$A$2:$B$16,2,0))*E370)</f>
        <v/>
      </c>
      <c r="H370" s="7" t="str">
        <f t="shared" si="20"/>
        <v/>
      </c>
      <c r="I370" s="7" t="str">
        <f>IF(AND(ISBLANK(D370),ISBLANK(C370)),"",((VLOOKUP(D370,Cardápio!$A$2:$C$16,3,0))*E370)+IF(B370="iFood",F370*0.27,(VLOOKUP(VENDAS!C370,Bairros!$A$2:$B$90,2,0))))</f>
        <v/>
      </c>
      <c r="J370" s="7" t="str">
        <f t="shared" si="21"/>
        <v/>
      </c>
      <c r="K370" s="9">
        <f t="shared" ca="1" si="22"/>
        <v>45404.878290046297</v>
      </c>
      <c r="L370" s="10">
        <f t="shared" ca="1" si="23"/>
        <v>45404.878290046297</v>
      </c>
    </row>
    <row r="371" spans="6:12" x14ac:dyDescent="0.25">
      <c r="F371" s="11" t="str">
        <f>IF(ISBLANK(D371),"",(VLOOKUP(D371,Cardápio!$A$2:$B$16,2,0))*E371)</f>
        <v/>
      </c>
      <c r="H371" s="7" t="str">
        <f t="shared" si="20"/>
        <v/>
      </c>
      <c r="I371" s="7" t="str">
        <f>IF(AND(ISBLANK(D371),ISBLANK(C371)),"",((VLOOKUP(D371,Cardápio!$A$2:$C$16,3,0))*E371)+IF(B371="iFood",F371*0.27,(VLOOKUP(VENDAS!C371,Bairros!$A$2:$B$90,2,0))))</f>
        <v/>
      </c>
      <c r="J371" s="7" t="str">
        <f t="shared" si="21"/>
        <v/>
      </c>
      <c r="K371" s="9">
        <f t="shared" ca="1" si="22"/>
        <v>45404.878290046297</v>
      </c>
      <c r="L371" s="10">
        <f t="shared" ca="1" si="23"/>
        <v>45404.878290046297</v>
      </c>
    </row>
    <row r="372" spans="6:12" x14ac:dyDescent="0.25">
      <c r="F372" s="11" t="str">
        <f>IF(ISBLANK(D372),"",(VLOOKUP(D372,Cardápio!$A$2:$B$16,2,0))*E372)</f>
        <v/>
      </c>
      <c r="H372" s="7" t="str">
        <f t="shared" si="20"/>
        <v/>
      </c>
      <c r="I372" s="7" t="str">
        <f>IF(AND(ISBLANK(D372),ISBLANK(C372)),"",((VLOOKUP(D372,Cardápio!$A$2:$C$16,3,0))*E372)+IF(B372="iFood",F372*0.27,(VLOOKUP(VENDAS!C372,Bairros!$A$2:$B$90,2,0))))</f>
        <v/>
      </c>
      <c r="J372" s="7" t="str">
        <f t="shared" si="21"/>
        <v/>
      </c>
      <c r="K372" s="9">
        <f t="shared" ca="1" si="22"/>
        <v>45404.878290046297</v>
      </c>
      <c r="L372" s="10">
        <f t="shared" ca="1" si="23"/>
        <v>45404.878290046297</v>
      </c>
    </row>
    <row r="373" spans="6:12" x14ac:dyDescent="0.25">
      <c r="F373" s="11" t="str">
        <f>IF(ISBLANK(D373),"",(VLOOKUP(D373,Cardápio!$A$2:$B$16,2,0))*E373)</f>
        <v/>
      </c>
      <c r="H373" s="7" t="str">
        <f t="shared" ref="H373:H436" si="24">IF(ISBLANK(D373),"",F373-G373)</f>
        <v/>
      </c>
      <c r="I373" s="7" t="str">
        <f>IF(AND(ISBLANK(D373),ISBLANK(C373)),"",((VLOOKUP(D373,Cardápio!$A$2:$C$16,3,0))*E373)+IF(B373="iFood",F373*0.27,(VLOOKUP(VENDAS!C373,Bairros!$A$2:$B$90,2,0))))</f>
        <v/>
      </c>
      <c r="J373" s="7" t="str">
        <f t="shared" ref="J373:J436" si="25">IF(OR(AND(ISBLANK(H373),ISBLANK(I373)),(AND(H373="",I373=""))),"",H373-I373)</f>
        <v/>
      </c>
      <c r="K373" s="9">
        <f t="shared" ref="K373:K436" ca="1" si="26">IF(D373&lt;&gt;"",K373,NOW())</f>
        <v>45404.878290162036</v>
      </c>
      <c r="L373" s="10">
        <f t="shared" ref="L373:L436" ca="1" si="27">IF(D373&lt;&gt;"",L373,NOW())</f>
        <v>45404.878290046297</v>
      </c>
    </row>
    <row r="374" spans="6:12" x14ac:dyDescent="0.25">
      <c r="F374" s="11" t="str">
        <f>IF(ISBLANK(D374),"",(VLOOKUP(D374,Cardápio!$A$2:$B$16,2,0))*E374)</f>
        <v/>
      </c>
      <c r="H374" s="7" t="str">
        <f t="shared" si="24"/>
        <v/>
      </c>
      <c r="I374" s="7" t="str">
        <f>IF(AND(ISBLANK(D374),ISBLANK(C374)),"",((VLOOKUP(D374,Cardápio!$A$2:$C$16,3,0))*E374)+IF(B374="iFood",F374*0.27,(VLOOKUP(VENDAS!C374,Bairros!$A$2:$B$90,2,0))))</f>
        <v/>
      </c>
      <c r="J374" s="7" t="str">
        <f t="shared" si="25"/>
        <v/>
      </c>
      <c r="K374" s="9">
        <f t="shared" ca="1" si="26"/>
        <v>45404.878290046297</v>
      </c>
      <c r="L374" s="10">
        <f t="shared" ca="1" si="27"/>
        <v>45404.878290046297</v>
      </c>
    </row>
    <row r="375" spans="6:12" x14ac:dyDescent="0.25">
      <c r="F375" s="11" t="str">
        <f>IF(ISBLANK(D375),"",(VLOOKUP(D375,Cardápio!$A$2:$B$16,2,0))*E375)</f>
        <v/>
      </c>
      <c r="H375" s="7" t="str">
        <f t="shared" si="24"/>
        <v/>
      </c>
      <c r="I375" s="7" t="str">
        <f>IF(AND(ISBLANK(D375),ISBLANK(C375)),"",((VLOOKUP(D375,Cardápio!$A$2:$C$16,3,0))*E375)+IF(B375="iFood",F375*0.27,(VLOOKUP(VENDAS!C375,Bairros!$A$2:$B$90,2,0))))</f>
        <v/>
      </c>
      <c r="J375" s="7" t="str">
        <f t="shared" si="25"/>
        <v/>
      </c>
      <c r="K375" s="9">
        <f t="shared" ca="1" si="26"/>
        <v>45404.878290046297</v>
      </c>
      <c r="L375" s="10">
        <f t="shared" ca="1" si="27"/>
        <v>45404.878290046297</v>
      </c>
    </row>
    <row r="376" spans="6:12" x14ac:dyDescent="0.25">
      <c r="F376" s="11" t="str">
        <f>IF(ISBLANK(D376),"",(VLOOKUP(D376,Cardápio!$A$2:$B$16,2,0))*E376)</f>
        <v/>
      </c>
      <c r="H376" s="7" t="str">
        <f t="shared" si="24"/>
        <v/>
      </c>
      <c r="I376" s="7" t="str">
        <f>IF(AND(ISBLANK(D376),ISBLANK(C376)),"",((VLOOKUP(D376,Cardápio!$A$2:$C$16,3,0))*E376)+IF(B376="iFood",F376*0.27,(VLOOKUP(VENDAS!C376,Bairros!$A$2:$B$90,2,0))))</f>
        <v/>
      </c>
      <c r="J376" s="7" t="str">
        <f t="shared" si="25"/>
        <v/>
      </c>
      <c r="K376" s="9">
        <f t="shared" ca="1" si="26"/>
        <v>45404.878290046297</v>
      </c>
      <c r="L376" s="10">
        <f t="shared" ca="1" si="27"/>
        <v>45404.878290046297</v>
      </c>
    </row>
    <row r="377" spans="6:12" x14ac:dyDescent="0.25">
      <c r="F377" s="11" t="str">
        <f>IF(ISBLANK(D377),"",(VLOOKUP(D377,Cardápio!$A$2:$B$16,2,0))*E377)</f>
        <v/>
      </c>
      <c r="H377" s="7" t="str">
        <f t="shared" si="24"/>
        <v/>
      </c>
      <c r="I377" s="7" t="str">
        <f>IF(AND(ISBLANK(D377),ISBLANK(C377)),"",((VLOOKUP(D377,Cardápio!$A$2:$C$16,3,0))*E377)+IF(B377="iFood",F377*0.27,(VLOOKUP(VENDAS!C377,Bairros!$A$2:$B$90,2,0))))</f>
        <v/>
      </c>
      <c r="J377" s="7" t="str">
        <f t="shared" si="25"/>
        <v/>
      </c>
      <c r="K377" s="9">
        <f t="shared" ca="1" si="26"/>
        <v>45404.878290162036</v>
      </c>
      <c r="L377" s="10">
        <f t="shared" ca="1" si="27"/>
        <v>45404.878290046297</v>
      </c>
    </row>
    <row r="378" spans="6:12" x14ac:dyDescent="0.25">
      <c r="F378" s="11" t="str">
        <f>IF(ISBLANK(D378),"",(VLOOKUP(D378,Cardápio!$A$2:$B$16,2,0))*E378)</f>
        <v/>
      </c>
      <c r="H378" s="7" t="str">
        <f t="shared" si="24"/>
        <v/>
      </c>
      <c r="I378" s="7" t="str">
        <f>IF(AND(ISBLANK(D378),ISBLANK(C378)),"",((VLOOKUP(D378,Cardápio!$A$2:$C$16,3,0))*E378)+IF(B378="iFood",F378*0.27,(VLOOKUP(VENDAS!C378,Bairros!$A$2:$B$90,2,0))))</f>
        <v/>
      </c>
      <c r="J378" s="7" t="str">
        <f t="shared" si="25"/>
        <v/>
      </c>
      <c r="K378" s="9">
        <f t="shared" ca="1" si="26"/>
        <v>45404.878290046297</v>
      </c>
      <c r="L378" s="10">
        <f t="shared" ca="1" si="27"/>
        <v>45404.878290046297</v>
      </c>
    </row>
    <row r="379" spans="6:12" x14ac:dyDescent="0.25">
      <c r="F379" s="11" t="str">
        <f>IF(ISBLANK(D379),"",(VLOOKUP(D379,Cardápio!$A$2:$B$16,2,0))*E379)</f>
        <v/>
      </c>
      <c r="H379" s="7" t="str">
        <f t="shared" si="24"/>
        <v/>
      </c>
      <c r="I379" s="7" t="str">
        <f>IF(AND(ISBLANK(D379),ISBLANK(C379)),"",((VLOOKUP(D379,Cardápio!$A$2:$C$16,3,0))*E379)+IF(B379="iFood",F379*0.27,(VLOOKUP(VENDAS!C379,Bairros!$A$2:$B$90,2,0))))</f>
        <v/>
      </c>
      <c r="J379" s="7" t="str">
        <f t="shared" si="25"/>
        <v/>
      </c>
      <c r="K379" s="9">
        <f t="shared" ca="1" si="26"/>
        <v>45404.878290046297</v>
      </c>
      <c r="L379" s="10">
        <f t="shared" ca="1" si="27"/>
        <v>45404.878290046297</v>
      </c>
    </row>
    <row r="380" spans="6:12" x14ac:dyDescent="0.25">
      <c r="F380" s="11" t="str">
        <f>IF(ISBLANK(D380),"",(VLOOKUP(D380,Cardápio!$A$2:$B$16,2,0))*E380)</f>
        <v/>
      </c>
      <c r="H380" s="7" t="str">
        <f t="shared" si="24"/>
        <v/>
      </c>
      <c r="I380" s="7" t="str">
        <f>IF(AND(ISBLANK(D380),ISBLANK(C380)),"",((VLOOKUP(D380,Cardápio!$A$2:$C$16,3,0))*E380)+IF(B380="iFood",F380*0.27,(VLOOKUP(VENDAS!C380,Bairros!$A$2:$B$90,2,0))))</f>
        <v/>
      </c>
      <c r="J380" s="7" t="str">
        <f t="shared" si="25"/>
        <v/>
      </c>
      <c r="K380" s="9">
        <f t="shared" ca="1" si="26"/>
        <v>45404.878290046297</v>
      </c>
      <c r="L380" s="10">
        <f t="shared" ca="1" si="27"/>
        <v>45404.878290046297</v>
      </c>
    </row>
    <row r="381" spans="6:12" x14ac:dyDescent="0.25">
      <c r="F381" s="11" t="str">
        <f>IF(ISBLANK(D381),"",(VLOOKUP(D381,Cardápio!$A$2:$B$16,2,0))*E381)</f>
        <v/>
      </c>
      <c r="H381" s="7" t="str">
        <f t="shared" si="24"/>
        <v/>
      </c>
      <c r="I381" s="7" t="str">
        <f>IF(AND(ISBLANK(D381),ISBLANK(C381)),"",((VLOOKUP(D381,Cardápio!$A$2:$C$16,3,0))*E381)+IF(B381="iFood",F381*0.27,(VLOOKUP(VENDAS!C381,Bairros!$A$2:$B$90,2,0))))</f>
        <v/>
      </c>
      <c r="J381" s="7" t="str">
        <f t="shared" si="25"/>
        <v/>
      </c>
      <c r="K381" s="9">
        <f t="shared" ca="1" si="26"/>
        <v>45404.878290162036</v>
      </c>
      <c r="L381" s="10">
        <f t="shared" ca="1" si="27"/>
        <v>45404.878290046297</v>
      </c>
    </row>
    <row r="382" spans="6:12" x14ac:dyDescent="0.25">
      <c r="F382" s="11" t="str">
        <f>IF(ISBLANK(D382),"",(VLOOKUP(D382,Cardápio!$A$2:$B$16,2,0))*E382)</f>
        <v/>
      </c>
      <c r="H382" s="7" t="str">
        <f t="shared" si="24"/>
        <v/>
      </c>
      <c r="I382" s="7" t="str">
        <f>IF(AND(ISBLANK(D382),ISBLANK(C382)),"",((VLOOKUP(D382,Cardápio!$A$2:$C$16,3,0))*E382)+IF(B382="iFood",F382*0.27,(VLOOKUP(VENDAS!C382,Bairros!$A$2:$B$90,2,0))))</f>
        <v/>
      </c>
      <c r="J382" s="7" t="str">
        <f t="shared" si="25"/>
        <v/>
      </c>
      <c r="K382" s="9">
        <f t="shared" ca="1" si="26"/>
        <v>45404.878290046297</v>
      </c>
      <c r="L382" s="10">
        <f t="shared" ca="1" si="27"/>
        <v>45404.878290046297</v>
      </c>
    </row>
    <row r="383" spans="6:12" x14ac:dyDescent="0.25">
      <c r="F383" s="11" t="str">
        <f>IF(ISBLANK(D383),"",(VLOOKUP(D383,Cardápio!$A$2:$B$16,2,0))*E383)</f>
        <v/>
      </c>
      <c r="H383" s="7" t="str">
        <f t="shared" si="24"/>
        <v/>
      </c>
      <c r="I383" s="7" t="str">
        <f>IF(AND(ISBLANK(D383),ISBLANK(C383)),"",((VLOOKUP(D383,Cardápio!$A$2:$C$16,3,0))*E383)+IF(B383="iFood",F383*0.27,(VLOOKUP(VENDAS!C383,Bairros!$A$2:$B$90,2,0))))</f>
        <v/>
      </c>
      <c r="J383" s="7" t="str">
        <f t="shared" si="25"/>
        <v/>
      </c>
      <c r="K383" s="9">
        <f t="shared" ca="1" si="26"/>
        <v>45404.878290046297</v>
      </c>
      <c r="L383" s="10">
        <f t="shared" ca="1" si="27"/>
        <v>45404.878290046297</v>
      </c>
    </row>
    <row r="384" spans="6:12" x14ac:dyDescent="0.25">
      <c r="F384" s="11" t="str">
        <f>IF(ISBLANK(D384),"",(VLOOKUP(D384,Cardápio!$A$2:$B$16,2,0))*E384)</f>
        <v/>
      </c>
      <c r="H384" s="7" t="str">
        <f t="shared" si="24"/>
        <v/>
      </c>
      <c r="I384" s="7" t="str">
        <f>IF(AND(ISBLANK(D384),ISBLANK(C384)),"",((VLOOKUP(D384,Cardápio!$A$2:$C$16,3,0))*E384)+IF(B384="iFood",F384*0.27,(VLOOKUP(VENDAS!C384,Bairros!$A$2:$B$90,2,0))))</f>
        <v/>
      </c>
      <c r="J384" s="7" t="str">
        <f t="shared" si="25"/>
        <v/>
      </c>
      <c r="K384" s="9">
        <f t="shared" ca="1" si="26"/>
        <v>45404.878290046297</v>
      </c>
      <c r="L384" s="10">
        <f t="shared" ca="1" si="27"/>
        <v>45404.878290046297</v>
      </c>
    </row>
    <row r="385" spans="6:12" x14ac:dyDescent="0.25">
      <c r="F385" s="11" t="str">
        <f>IF(ISBLANK(D385),"",(VLOOKUP(D385,Cardápio!$A$2:$B$16,2,0))*E385)</f>
        <v/>
      </c>
      <c r="H385" s="7" t="str">
        <f t="shared" si="24"/>
        <v/>
      </c>
      <c r="I385" s="7" t="str">
        <f>IF(AND(ISBLANK(D385),ISBLANK(C385)),"",((VLOOKUP(D385,Cardápio!$A$2:$C$16,3,0))*E385)+IF(B385="iFood",F385*0.27,(VLOOKUP(VENDAS!C385,Bairros!$A$2:$B$90,2,0))))</f>
        <v/>
      </c>
      <c r="J385" s="7" t="str">
        <f t="shared" si="25"/>
        <v/>
      </c>
      <c r="K385" s="9">
        <f t="shared" ca="1" si="26"/>
        <v>45404.878290162036</v>
      </c>
      <c r="L385" s="10">
        <f t="shared" ca="1" si="27"/>
        <v>45404.878290046297</v>
      </c>
    </row>
    <row r="386" spans="6:12" x14ac:dyDescent="0.25">
      <c r="F386" s="11" t="str">
        <f>IF(ISBLANK(D386),"",(VLOOKUP(D386,Cardápio!$A$2:$B$16,2,0))*E386)</f>
        <v/>
      </c>
      <c r="H386" s="7" t="str">
        <f t="shared" si="24"/>
        <v/>
      </c>
      <c r="I386" s="7" t="str">
        <f>IF(AND(ISBLANK(D386),ISBLANK(C386)),"",((VLOOKUP(D386,Cardápio!$A$2:$C$16,3,0))*E386)+IF(B386="iFood",F386*0.27,(VLOOKUP(VENDAS!C386,Bairros!$A$2:$B$90,2,0))))</f>
        <v/>
      </c>
      <c r="J386" s="7" t="str">
        <f t="shared" si="25"/>
        <v/>
      </c>
      <c r="K386" s="9">
        <f t="shared" ca="1" si="26"/>
        <v>45404.878290046297</v>
      </c>
      <c r="L386" s="10">
        <f t="shared" ca="1" si="27"/>
        <v>45404.878290046297</v>
      </c>
    </row>
    <row r="387" spans="6:12" x14ac:dyDescent="0.25">
      <c r="F387" s="11" t="str">
        <f>IF(ISBLANK(D387),"",(VLOOKUP(D387,Cardápio!$A$2:$B$16,2,0))*E387)</f>
        <v/>
      </c>
      <c r="H387" s="7" t="str">
        <f t="shared" si="24"/>
        <v/>
      </c>
      <c r="I387" s="7" t="str">
        <f>IF(AND(ISBLANK(D387),ISBLANK(C387)),"",((VLOOKUP(D387,Cardápio!$A$2:$C$16,3,0))*E387)+IF(B387="iFood",F387*0.27,(VLOOKUP(VENDAS!C387,Bairros!$A$2:$B$90,2,0))))</f>
        <v/>
      </c>
      <c r="J387" s="7" t="str">
        <f t="shared" si="25"/>
        <v/>
      </c>
      <c r="K387" s="9">
        <f t="shared" ca="1" si="26"/>
        <v>45404.878290046297</v>
      </c>
      <c r="L387" s="10">
        <f t="shared" ca="1" si="27"/>
        <v>45404.878290046297</v>
      </c>
    </row>
    <row r="388" spans="6:12" x14ac:dyDescent="0.25">
      <c r="F388" s="11" t="str">
        <f>IF(ISBLANK(D388),"",(VLOOKUP(D388,Cardápio!$A$2:$B$16,2,0))*E388)</f>
        <v/>
      </c>
      <c r="H388" s="7" t="str">
        <f t="shared" si="24"/>
        <v/>
      </c>
      <c r="I388" s="7" t="str">
        <f>IF(AND(ISBLANK(D388),ISBLANK(C388)),"",((VLOOKUP(D388,Cardápio!$A$2:$C$16,3,0))*E388)+IF(B388="iFood",F388*0.27,(VLOOKUP(VENDAS!C388,Bairros!$A$2:$B$90,2,0))))</f>
        <v/>
      </c>
      <c r="J388" s="7" t="str">
        <f t="shared" si="25"/>
        <v/>
      </c>
      <c r="K388" s="9">
        <f t="shared" ca="1" si="26"/>
        <v>45404.878290046297</v>
      </c>
      <c r="L388" s="10">
        <f t="shared" ca="1" si="27"/>
        <v>45404.878290046297</v>
      </c>
    </row>
    <row r="389" spans="6:12" x14ac:dyDescent="0.25">
      <c r="F389" s="11" t="str">
        <f>IF(ISBLANK(D389),"",(VLOOKUP(D389,Cardápio!$A$2:$B$16,2,0))*E389)</f>
        <v/>
      </c>
      <c r="H389" s="7" t="str">
        <f t="shared" si="24"/>
        <v/>
      </c>
      <c r="I389" s="7" t="str">
        <f>IF(AND(ISBLANK(D389),ISBLANK(C389)),"",((VLOOKUP(D389,Cardápio!$A$2:$C$16,3,0))*E389)+IF(B389="iFood",F389*0.27,(VLOOKUP(VENDAS!C389,Bairros!$A$2:$B$90,2,0))))</f>
        <v/>
      </c>
      <c r="J389" s="7" t="str">
        <f t="shared" si="25"/>
        <v/>
      </c>
      <c r="K389" s="9">
        <f t="shared" ca="1" si="26"/>
        <v>45404.878290162036</v>
      </c>
      <c r="L389" s="10">
        <f t="shared" ca="1" si="27"/>
        <v>45404.878290046297</v>
      </c>
    </row>
    <row r="390" spans="6:12" x14ac:dyDescent="0.25">
      <c r="F390" s="11" t="str">
        <f>IF(ISBLANK(D390),"",(VLOOKUP(D390,Cardápio!$A$2:$B$16,2,0))*E390)</f>
        <v/>
      </c>
      <c r="H390" s="7" t="str">
        <f t="shared" si="24"/>
        <v/>
      </c>
      <c r="I390" s="7" t="str">
        <f>IF(AND(ISBLANK(D390),ISBLANK(C390)),"",((VLOOKUP(D390,Cardápio!$A$2:$C$16,3,0))*E390)+IF(B390="iFood",F390*0.27,(VLOOKUP(VENDAS!C390,Bairros!$A$2:$B$90,2,0))))</f>
        <v/>
      </c>
      <c r="J390" s="7" t="str">
        <f t="shared" si="25"/>
        <v/>
      </c>
      <c r="K390" s="9">
        <f t="shared" ca="1" si="26"/>
        <v>45404.878290046297</v>
      </c>
      <c r="L390" s="10">
        <f t="shared" ca="1" si="27"/>
        <v>45404.878290046297</v>
      </c>
    </row>
    <row r="391" spans="6:12" x14ac:dyDescent="0.25">
      <c r="F391" s="11" t="str">
        <f>IF(ISBLANK(D391),"",(VLOOKUP(D391,Cardápio!$A$2:$B$16,2,0))*E391)</f>
        <v/>
      </c>
      <c r="H391" s="7" t="str">
        <f t="shared" si="24"/>
        <v/>
      </c>
      <c r="I391" s="7" t="str">
        <f>IF(AND(ISBLANK(D391),ISBLANK(C391)),"",((VLOOKUP(D391,Cardápio!$A$2:$C$16,3,0))*E391)+IF(B391="iFood",F391*0.27,(VLOOKUP(VENDAS!C391,Bairros!$A$2:$B$90,2,0))))</f>
        <v/>
      </c>
      <c r="J391" s="7" t="str">
        <f t="shared" si="25"/>
        <v/>
      </c>
      <c r="K391" s="9">
        <f t="shared" ca="1" si="26"/>
        <v>45404.878290046297</v>
      </c>
      <c r="L391" s="10">
        <f t="shared" ca="1" si="27"/>
        <v>45404.878290046297</v>
      </c>
    </row>
    <row r="392" spans="6:12" x14ac:dyDescent="0.25">
      <c r="F392" s="11" t="str">
        <f>IF(ISBLANK(D392),"",(VLOOKUP(D392,Cardápio!$A$2:$B$16,2,0))*E392)</f>
        <v/>
      </c>
      <c r="H392" s="7" t="str">
        <f t="shared" si="24"/>
        <v/>
      </c>
      <c r="I392" s="7" t="str">
        <f>IF(AND(ISBLANK(D392),ISBLANK(C392)),"",((VLOOKUP(D392,Cardápio!$A$2:$C$16,3,0))*E392)+IF(B392="iFood",F392*0.27,(VLOOKUP(VENDAS!C392,Bairros!$A$2:$B$90,2,0))))</f>
        <v/>
      </c>
      <c r="J392" s="7" t="str">
        <f t="shared" si="25"/>
        <v/>
      </c>
      <c r="K392" s="9">
        <f t="shared" ca="1" si="26"/>
        <v>45404.878290046297</v>
      </c>
      <c r="L392" s="10">
        <f t="shared" ca="1" si="27"/>
        <v>45404.878290046297</v>
      </c>
    </row>
    <row r="393" spans="6:12" x14ac:dyDescent="0.25">
      <c r="F393" s="11" t="str">
        <f>IF(ISBLANK(D393),"",(VLOOKUP(D393,Cardápio!$A$2:$B$16,2,0))*E393)</f>
        <v/>
      </c>
      <c r="H393" s="7" t="str">
        <f t="shared" si="24"/>
        <v/>
      </c>
      <c r="I393" s="7" t="str">
        <f>IF(AND(ISBLANK(D393),ISBLANK(C393)),"",((VLOOKUP(D393,Cardápio!$A$2:$C$16,3,0))*E393)+IF(B393="iFood",F393*0.27,(VLOOKUP(VENDAS!C393,Bairros!$A$2:$B$90,2,0))))</f>
        <v/>
      </c>
      <c r="J393" s="7" t="str">
        <f t="shared" si="25"/>
        <v/>
      </c>
      <c r="K393" s="9">
        <f t="shared" ca="1" si="26"/>
        <v>45404.878290162036</v>
      </c>
      <c r="L393" s="10">
        <f t="shared" ca="1" si="27"/>
        <v>45404.878290046297</v>
      </c>
    </row>
    <row r="394" spans="6:12" x14ac:dyDescent="0.25">
      <c r="F394" s="11" t="str">
        <f>IF(ISBLANK(D394),"",(VLOOKUP(D394,Cardápio!$A$2:$B$16,2,0))*E394)</f>
        <v/>
      </c>
      <c r="H394" s="7" t="str">
        <f t="shared" si="24"/>
        <v/>
      </c>
      <c r="I394" s="7" t="str">
        <f>IF(AND(ISBLANK(D394),ISBLANK(C394)),"",((VLOOKUP(D394,Cardápio!$A$2:$C$16,3,0))*E394)+IF(B394="iFood",F394*0.27,(VLOOKUP(VENDAS!C394,Bairros!$A$2:$B$90,2,0))))</f>
        <v/>
      </c>
      <c r="J394" s="7" t="str">
        <f t="shared" si="25"/>
        <v/>
      </c>
      <c r="K394" s="9">
        <f t="shared" ca="1" si="26"/>
        <v>45404.878290046297</v>
      </c>
      <c r="L394" s="10">
        <f t="shared" ca="1" si="27"/>
        <v>45404.878290046297</v>
      </c>
    </row>
    <row r="395" spans="6:12" x14ac:dyDescent="0.25">
      <c r="F395" s="11" t="str">
        <f>IF(ISBLANK(D395),"",(VLOOKUP(D395,Cardápio!$A$2:$B$16,2,0))*E395)</f>
        <v/>
      </c>
      <c r="H395" s="7" t="str">
        <f t="shared" si="24"/>
        <v/>
      </c>
      <c r="I395" s="7" t="str">
        <f>IF(AND(ISBLANK(D395),ISBLANK(C395)),"",((VLOOKUP(D395,Cardápio!$A$2:$C$16,3,0))*E395)+IF(B395="iFood",F395*0.27,(VLOOKUP(VENDAS!C395,Bairros!$A$2:$B$90,2,0))))</f>
        <v/>
      </c>
      <c r="J395" s="7" t="str">
        <f t="shared" si="25"/>
        <v/>
      </c>
      <c r="K395" s="9">
        <f t="shared" ca="1" si="26"/>
        <v>45404.878290046297</v>
      </c>
      <c r="L395" s="10">
        <f t="shared" ca="1" si="27"/>
        <v>45404.878290046297</v>
      </c>
    </row>
    <row r="396" spans="6:12" x14ac:dyDescent="0.25">
      <c r="F396" s="11" t="str">
        <f>IF(ISBLANK(D396),"",(VLOOKUP(D396,Cardápio!$A$2:$B$16,2,0))*E396)</f>
        <v/>
      </c>
      <c r="H396" s="7" t="str">
        <f t="shared" si="24"/>
        <v/>
      </c>
      <c r="I396" s="7" t="str">
        <f>IF(AND(ISBLANK(D396),ISBLANK(C396)),"",((VLOOKUP(D396,Cardápio!$A$2:$C$16,3,0))*E396)+IF(B396="iFood",F396*0.27,(VLOOKUP(VENDAS!C396,Bairros!$A$2:$B$90,2,0))))</f>
        <v/>
      </c>
      <c r="J396" s="7" t="str">
        <f t="shared" si="25"/>
        <v/>
      </c>
      <c r="K396" s="9">
        <f t="shared" ca="1" si="26"/>
        <v>45404.878290046297</v>
      </c>
      <c r="L396" s="10">
        <f t="shared" ca="1" si="27"/>
        <v>45404.878290046297</v>
      </c>
    </row>
    <row r="397" spans="6:12" x14ac:dyDescent="0.25">
      <c r="F397" s="11" t="str">
        <f>IF(ISBLANK(D397),"",(VLOOKUP(D397,Cardápio!$A$2:$B$16,2,0))*E397)</f>
        <v/>
      </c>
      <c r="H397" s="7" t="str">
        <f t="shared" si="24"/>
        <v/>
      </c>
      <c r="I397" s="7" t="str">
        <f>IF(AND(ISBLANK(D397),ISBLANK(C397)),"",((VLOOKUP(D397,Cardápio!$A$2:$C$16,3,0))*E397)+IF(B397="iFood",F397*0.27,(VLOOKUP(VENDAS!C397,Bairros!$A$2:$B$90,2,0))))</f>
        <v/>
      </c>
      <c r="J397" s="7" t="str">
        <f t="shared" si="25"/>
        <v/>
      </c>
      <c r="K397" s="9">
        <f t="shared" ca="1" si="26"/>
        <v>45404.878290162036</v>
      </c>
      <c r="L397" s="10">
        <f t="shared" ca="1" si="27"/>
        <v>45404.878290046297</v>
      </c>
    </row>
    <row r="398" spans="6:12" x14ac:dyDescent="0.25">
      <c r="F398" s="11" t="str">
        <f>IF(ISBLANK(D398),"",(VLOOKUP(D398,Cardápio!$A$2:$B$16,2,0))*E398)</f>
        <v/>
      </c>
      <c r="H398" s="7" t="str">
        <f t="shared" si="24"/>
        <v/>
      </c>
      <c r="I398" s="7" t="str">
        <f>IF(AND(ISBLANK(D398),ISBLANK(C398)),"",((VLOOKUP(D398,Cardápio!$A$2:$C$16,3,0))*E398)+IF(B398="iFood",F398*0.27,(VLOOKUP(VENDAS!C398,Bairros!$A$2:$B$90,2,0))))</f>
        <v/>
      </c>
      <c r="J398" s="7" t="str">
        <f t="shared" si="25"/>
        <v/>
      </c>
      <c r="K398" s="9">
        <f t="shared" ca="1" si="26"/>
        <v>45404.878290046297</v>
      </c>
      <c r="L398" s="10">
        <f t="shared" ca="1" si="27"/>
        <v>45404.878290046297</v>
      </c>
    </row>
    <row r="399" spans="6:12" x14ac:dyDescent="0.25">
      <c r="F399" s="11" t="str">
        <f>IF(ISBLANK(D399),"",(VLOOKUP(D399,Cardápio!$A$2:$B$16,2,0))*E399)</f>
        <v/>
      </c>
      <c r="H399" s="7" t="str">
        <f t="shared" si="24"/>
        <v/>
      </c>
      <c r="I399" s="7" t="str">
        <f>IF(AND(ISBLANK(D399),ISBLANK(C399)),"",((VLOOKUP(D399,Cardápio!$A$2:$C$16,3,0))*E399)+IF(B399="iFood",F399*0.27,(VLOOKUP(VENDAS!C399,Bairros!$A$2:$B$90,2,0))))</f>
        <v/>
      </c>
      <c r="J399" s="7" t="str">
        <f t="shared" si="25"/>
        <v/>
      </c>
      <c r="K399" s="9">
        <f t="shared" ca="1" si="26"/>
        <v>45404.878290046297</v>
      </c>
      <c r="L399" s="10">
        <f t="shared" ca="1" si="27"/>
        <v>45404.878290046297</v>
      </c>
    </row>
    <row r="400" spans="6:12" x14ac:dyDescent="0.25">
      <c r="F400" s="11" t="str">
        <f>IF(ISBLANK(D400),"",(VLOOKUP(D400,Cardápio!$A$2:$B$16,2,0))*E400)</f>
        <v/>
      </c>
      <c r="H400" s="7" t="str">
        <f t="shared" si="24"/>
        <v/>
      </c>
      <c r="I400" s="7" t="str">
        <f>IF(AND(ISBLANK(D400),ISBLANK(C400)),"",((VLOOKUP(D400,Cardápio!$A$2:$C$16,3,0))*E400)+IF(B400="iFood",F400*0.27,(VLOOKUP(VENDAS!C400,Bairros!$A$2:$B$90,2,0))))</f>
        <v/>
      </c>
      <c r="J400" s="7" t="str">
        <f t="shared" si="25"/>
        <v/>
      </c>
      <c r="K400" s="9">
        <f t="shared" ca="1" si="26"/>
        <v>45404.878290046297</v>
      </c>
      <c r="L400" s="10">
        <f t="shared" ca="1" si="27"/>
        <v>45404.878290046297</v>
      </c>
    </row>
    <row r="401" spans="6:12" x14ac:dyDescent="0.25">
      <c r="F401" s="11" t="str">
        <f>IF(ISBLANK(D401),"",(VLOOKUP(D401,Cardápio!$A$2:$B$16,2,0))*E401)</f>
        <v/>
      </c>
      <c r="H401" s="7" t="str">
        <f t="shared" si="24"/>
        <v/>
      </c>
      <c r="I401" s="7" t="str">
        <f>IF(AND(ISBLANK(D401),ISBLANK(C401)),"",((VLOOKUP(D401,Cardápio!$A$2:$C$16,3,0))*E401)+IF(B401="iFood",F401*0.27,(VLOOKUP(VENDAS!C401,Bairros!$A$2:$B$90,2,0))))</f>
        <v/>
      </c>
      <c r="J401" s="7" t="str">
        <f t="shared" si="25"/>
        <v/>
      </c>
      <c r="K401" s="9">
        <f t="shared" ca="1" si="26"/>
        <v>45404.878290162036</v>
      </c>
      <c r="L401" s="10">
        <f t="shared" ca="1" si="27"/>
        <v>45404.878290046297</v>
      </c>
    </row>
    <row r="402" spans="6:12" x14ac:dyDescent="0.25">
      <c r="F402" s="11" t="str">
        <f>IF(ISBLANK(D402),"",(VLOOKUP(D402,Cardápio!$A$2:$B$16,2,0))*E402)</f>
        <v/>
      </c>
      <c r="H402" s="7" t="str">
        <f t="shared" si="24"/>
        <v/>
      </c>
      <c r="I402" s="7" t="str">
        <f>IF(AND(ISBLANK(D402),ISBLANK(C402)),"",((VLOOKUP(D402,Cardápio!$A$2:$C$16,3,0))*E402)+IF(B402="iFood",F402*0.27,(VLOOKUP(VENDAS!C402,Bairros!$A$2:$B$90,2,0))))</f>
        <v/>
      </c>
      <c r="J402" s="7" t="str">
        <f t="shared" si="25"/>
        <v/>
      </c>
      <c r="K402" s="9">
        <f t="shared" ca="1" si="26"/>
        <v>45404.878290046297</v>
      </c>
      <c r="L402" s="10">
        <f t="shared" ca="1" si="27"/>
        <v>45404.878290046297</v>
      </c>
    </row>
    <row r="403" spans="6:12" x14ac:dyDescent="0.25">
      <c r="F403" s="11" t="str">
        <f>IF(ISBLANK(D403),"",(VLOOKUP(D403,Cardápio!$A$2:$B$16,2,0))*E403)</f>
        <v/>
      </c>
      <c r="H403" s="7" t="str">
        <f t="shared" si="24"/>
        <v/>
      </c>
      <c r="I403" s="7" t="str">
        <f>IF(AND(ISBLANK(D403),ISBLANK(C403)),"",((VLOOKUP(D403,Cardápio!$A$2:$C$16,3,0))*E403)+IF(B403="iFood",F403*0.27,(VLOOKUP(VENDAS!C403,Bairros!$A$2:$B$90,2,0))))</f>
        <v/>
      </c>
      <c r="J403" s="7" t="str">
        <f t="shared" si="25"/>
        <v/>
      </c>
      <c r="K403" s="9">
        <f t="shared" ca="1" si="26"/>
        <v>45404.878290046297</v>
      </c>
      <c r="L403" s="10">
        <f t="shared" ca="1" si="27"/>
        <v>45404.878290046297</v>
      </c>
    </row>
    <row r="404" spans="6:12" x14ac:dyDescent="0.25">
      <c r="F404" s="11" t="str">
        <f>IF(ISBLANK(D404),"",(VLOOKUP(D404,Cardápio!$A$2:$B$16,2,0))*E404)</f>
        <v/>
      </c>
      <c r="H404" s="7" t="str">
        <f t="shared" si="24"/>
        <v/>
      </c>
      <c r="I404" s="7" t="str">
        <f>IF(AND(ISBLANK(D404),ISBLANK(C404)),"",((VLOOKUP(D404,Cardápio!$A$2:$C$16,3,0))*E404)+IF(B404="iFood",F404*0.27,(VLOOKUP(VENDAS!C404,Bairros!$A$2:$B$90,2,0))))</f>
        <v/>
      </c>
      <c r="J404" s="7" t="str">
        <f t="shared" si="25"/>
        <v/>
      </c>
      <c r="K404" s="9">
        <f t="shared" ca="1" si="26"/>
        <v>45404.878290046297</v>
      </c>
      <c r="L404" s="10">
        <f t="shared" ca="1" si="27"/>
        <v>45404.878290046297</v>
      </c>
    </row>
    <row r="405" spans="6:12" x14ac:dyDescent="0.25">
      <c r="F405" s="11" t="str">
        <f>IF(ISBLANK(D405),"",(VLOOKUP(D405,Cardápio!$A$2:$B$16,2,0))*E405)</f>
        <v/>
      </c>
      <c r="H405" s="7" t="str">
        <f t="shared" si="24"/>
        <v/>
      </c>
      <c r="I405" s="7" t="str">
        <f>IF(AND(ISBLANK(D405),ISBLANK(C405)),"",((VLOOKUP(D405,Cardápio!$A$2:$C$16,3,0))*E405)+IF(B405="iFood",F405*0.27,(VLOOKUP(VENDAS!C405,Bairros!$A$2:$B$90,2,0))))</f>
        <v/>
      </c>
      <c r="J405" s="7" t="str">
        <f t="shared" si="25"/>
        <v/>
      </c>
      <c r="K405" s="9">
        <f t="shared" ca="1" si="26"/>
        <v>45404.878290162036</v>
      </c>
      <c r="L405" s="10">
        <f t="shared" ca="1" si="27"/>
        <v>45404.878290046297</v>
      </c>
    </row>
    <row r="406" spans="6:12" x14ac:dyDescent="0.25">
      <c r="F406" s="11" t="str">
        <f>IF(ISBLANK(D406),"",(VLOOKUP(D406,Cardápio!$A$2:$B$16,2,0))*E406)</f>
        <v/>
      </c>
      <c r="H406" s="7" t="str">
        <f t="shared" si="24"/>
        <v/>
      </c>
      <c r="I406" s="7" t="str">
        <f>IF(AND(ISBLANK(D406),ISBLANK(C406)),"",((VLOOKUP(D406,Cardápio!$A$2:$C$16,3,0))*E406)+IF(B406="iFood",F406*0.27,(VLOOKUP(VENDAS!C406,Bairros!$A$2:$B$90,2,0))))</f>
        <v/>
      </c>
      <c r="J406" s="7" t="str">
        <f t="shared" si="25"/>
        <v/>
      </c>
      <c r="K406" s="9">
        <f t="shared" ca="1" si="26"/>
        <v>45404.878290046297</v>
      </c>
      <c r="L406" s="10">
        <f t="shared" ca="1" si="27"/>
        <v>45404.878290046297</v>
      </c>
    </row>
    <row r="407" spans="6:12" x14ac:dyDescent="0.25">
      <c r="F407" s="11" t="str">
        <f>IF(ISBLANK(D407),"",(VLOOKUP(D407,Cardápio!$A$2:$B$16,2,0))*E407)</f>
        <v/>
      </c>
      <c r="H407" s="7" t="str">
        <f t="shared" si="24"/>
        <v/>
      </c>
      <c r="I407" s="7" t="str">
        <f>IF(AND(ISBLANK(D407),ISBLANK(C407)),"",((VLOOKUP(D407,Cardápio!$A$2:$C$16,3,0))*E407)+IF(B407="iFood",F407*0.27,(VLOOKUP(VENDAS!C407,Bairros!$A$2:$B$90,2,0))))</f>
        <v/>
      </c>
      <c r="J407" s="7" t="str">
        <f t="shared" si="25"/>
        <v/>
      </c>
      <c r="K407" s="9">
        <f t="shared" ca="1" si="26"/>
        <v>45404.878290046297</v>
      </c>
      <c r="L407" s="10">
        <f t="shared" ca="1" si="27"/>
        <v>45404.878290046297</v>
      </c>
    </row>
    <row r="408" spans="6:12" x14ac:dyDescent="0.25">
      <c r="F408" s="11" t="str">
        <f>IF(ISBLANK(D408),"",(VLOOKUP(D408,Cardápio!$A$2:$B$16,2,0))*E408)</f>
        <v/>
      </c>
      <c r="H408" s="7" t="str">
        <f t="shared" si="24"/>
        <v/>
      </c>
      <c r="I408" s="7" t="str">
        <f>IF(AND(ISBLANK(D408),ISBLANK(C408)),"",((VLOOKUP(D408,Cardápio!$A$2:$C$16,3,0))*E408)+IF(B408="iFood",F408*0.27,(VLOOKUP(VENDAS!C408,Bairros!$A$2:$B$90,2,0))))</f>
        <v/>
      </c>
      <c r="J408" s="7" t="str">
        <f t="shared" si="25"/>
        <v/>
      </c>
      <c r="K408" s="9">
        <f t="shared" ca="1" si="26"/>
        <v>45404.878290046297</v>
      </c>
      <c r="L408" s="10">
        <f t="shared" ca="1" si="27"/>
        <v>45404.878290046297</v>
      </c>
    </row>
    <row r="409" spans="6:12" x14ac:dyDescent="0.25">
      <c r="F409" s="11" t="str">
        <f>IF(ISBLANK(D409),"",(VLOOKUP(D409,Cardápio!$A$2:$B$16,2,0))*E409)</f>
        <v/>
      </c>
      <c r="H409" s="7" t="str">
        <f t="shared" si="24"/>
        <v/>
      </c>
      <c r="I409" s="7" t="str">
        <f>IF(AND(ISBLANK(D409),ISBLANK(C409)),"",((VLOOKUP(D409,Cardápio!$A$2:$C$16,3,0))*E409)+IF(B409="iFood",F409*0.27,(VLOOKUP(VENDAS!C409,Bairros!$A$2:$B$90,2,0))))</f>
        <v/>
      </c>
      <c r="J409" s="7" t="str">
        <f t="shared" si="25"/>
        <v/>
      </c>
      <c r="K409" s="9">
        <f t="shared" ca="1" si="26"/>
        <v>45404.878290162036</v>
      </c>
      <c r="L409" s="10">
        <f t="shared" ca="1" si="27"/>
        <v>45404.878290046297</v>
      </c>
    </row>
    <row r="410" spans="6:12" x14ac:dyDescent="0.25">
      <c r="F410" s="11" t="str">
        <f>IF(ISBLANK(D410),"",(VLOOKUP(D410,Cardápio!$A$2:$B$16,2,0))*E410)</f>
        <v/>
      </c>
      <c r="H410" s="7" t="str">
        <f t="shared" si="24"/>
        <v/>
      </c>
      <c r="I410" s="7" t="str">
        <f>IF(AND(ISBLANK(D410),ISBLANK(C410)),"",((VLOOKUP(D410,Cardápio!$A$2:$C$16,3,0))*E410)+IF(B410="iFood",F410*0.27,(VLOOKUP(VENDAS!C410,Bairros!$A$2:$B$90,2,0))))</f>
        <v/>
      </c>
      <c r="J410" s="7" t="str">
        <f t="shared" si="25"/>
        <v/>
      </c>
      <c r="K410" s="9">
        <f t="shared" ca="1" si="26"/>
        <v>45404.878290046297</v>
      </c>
      <c r="L410" s="10">
        <f t="shared" ca="1" si="27"/>
        <v>45404.878290046297</v>
      </c>
    </row>
    <row r="411" spans="6:12" x14ac:dyDescent="0.25">
      <c r="F411" s="11" t="str">
        <f>IF(ISBLANK(D411),"",(VLOOKUP(D411,Cardápio!$A$2:$B$16,2,0))*E411)</f>
        <v/>
      </c>
      <c r="H411" s="7" t="str">
        <f t="shared" si="24"/>
        <v/>
      </c>
      <c r="I411" s="7" t="str">
        <f>IF(AND(ISBLANK(D411),ISBLANK(C411)),"",((VLOOKUP(D411,Cardápio!$A$2:$C$16,3,0))*E411)+IF(B411="iFood",F411*0.27,(VLOOKUP(VENDAS!C411,Bairros!$A$2:$B$90,2,0))))</f>
        <v/>
      </c>
      <c r="J411" s="7" t="str">
        <f t="shared" si="25"/>
        <v/>
      </c>
      <c r="K411" s="9">
        <f t="shared" ca="1" si="26"/>
        <v>45404.878290046297</v>
      </c>
      <c r="L411" s="10">
        <f t="shared" ca="1" si="27"/>
        <v>45404.878290046297</v>
      </c>
    </row>
    <row r="412" spans="6:12" x14ac:dyDescent="0.25">
      <c r="F412" s="11" t="str">
        <f>IF(ISBLANK(D412),"",(VLOOKUP(D412,Cardápio!$A$2:$B$16,2,0))*E412)</f>
        <v/>
      </c>
      <c r="H412" s="7" t="str">
        <f t="shared" si="24"/>
        <v/>
      </c>
      <c r="I412" s="7" t="str">
        <f>IF(AND(ISBLANK(D412),ISBLANK(C412)),"",((VLOOKUP(D412,Cardápio!$A$2:$C$16,3,0))*E412)+IF(B412="iFood",F412*0.27,(VLOOKUP(VENDAS!C412,Bairros!$A$2:$B$90,2,0))))</f>
        <v/>
      </c>
      <c r="J412" s="7" t="str">
        <f t="shared" si="25"/>
        <v/>
      </c>
      <c r="K412" s="9">
        <f t="shared" ca="1" si="26"/>
        <v>45404.878290046297</v>
      </c>
      <c r="L412" s="10">
        <f t="shared" ca="1" si="27"/>
        <v>45404.878290046297</v>
      </c>
    </row>
    <row r="413" spans="6:12" x14ac:dyDescent="0.25">
      <c r="F413" s="11" t="str">
        <f>IF(ISBLANK(D413),"",(VLOOKUP(D413,Cardápio!$A$2:$B$16,2,0))*E413)</f>
        <v/>
      </c>
      <c r="H413" s="7" t="str">
        <f t="shared" si="24"/>
        <v/>
      </c>
      <c r="I413" s="7" t="str">
        <f>IF(AND(ISBLANK(D413),ISBLANK(C413)),"",((VLOOKUP(D413,Cardápio!$A$2:$C$16,3,0))*E413)+IF(B413="iFood",F413*0.27,(VLOOKUP(VENDAS!C413,Bairros!$A$2:$B$90,2,0))))</f>
        <v/>
      </c>
      <c r="J413" s="7" t="str">
        <f t="shared" si="25"/>
        <v/>
      </c>
      <c r="K413" s="9">
        <f t="shared" ca="1" si="26"/>
        <v>45404.878290162036</v>
      </c>
      <c r="L413" s="10">
        <f t="shared" ca="1" si="27"/>
        <v>45404.878290046297</v>
      </c>
    </row>
    <row r="414" spans="6:12" x14ac:dyDescent="0.25">
      <c r="F414" s="11" t="str">
        <f>IF(ISBLANK(D414),"",(VLOOKUP(D414,Cardápio!$A$2:$B$16,2,0))*E414)</f>
        <v/>
      </c>
      <c r="H414" s="7" t="str">
        <f t="shared" si="24"/>
        <v/>
      </c>
      <c r="I414" s="7" t="str">
        <f>IF(AND(ISBLANK(D414),ISBLANK(C414)),"",((VLOOKUP(D414,Cardápio!$A$2:$C$16,3,0))*E414)+IF(B414="iFood",F414*0.27,(VLOOKUP(VENDAS!C414,Bairros!$A$2:$B$90,2,0))))</f>
        <v/>
      </c>
      <c r="J414" s="7" t="str">
        <f t="shared" si="25"/>
        <v/>
      </c>
      <c r="K414" s="9">
        <f t="shared" ca="1" si="26"/>
        <v>45404.878290046297</v>
      </c>
      <c r="L414" s="10">
        <f t="shared" ca="1" si="27"/>
        <v>45404.878290046297</v>
      </c>
    </row>
    <row r="415" spans="6:12" x14ac:dyDescent="0.25">
      <c r="F415" s="11" t="str">
        <f>IF(ISBLANK(D415),"",(VLOOKUP(D415,Cardápio!$A$2:$B$16,2,0))*E415)</f>
        <v/>
      </c>
      <c r="H415" s="7" t="str">
        <f t="shared" si="24"/>
        <v/>
      </c>
      <c r="I415" s="7" t="str">
        <f>IF(AND(ISBLANK(D415),ISBLANK(C415)),"",((VLOOKUP(D415,Cardápio!$A$2:$C$16,3,0))*E415)+IF(B415="iFood",F415*0.27,(VLOOKUP(VENDAS!C415,Bairros!$A$2:$B$90,2,0))))</f>
        <v/>
      </c>
      <c r="J415" s="7" t="str">
        <f t="shared" si="25"/>
        <v/>
      </c>
      <c r="K415" s="9">
        <f t="shared" ca="1" si="26"/>
        <v>45404.878290046297</v>
      </c>
      <c r="L415" s="10">
        <f t="shared" ca="1" si="27"/>
        <v>45404.878290046297</v>
      </c>
    </row>
    <row r="416" spans="6:12" x14ac:dyDescent="0.25">
      <c r="F416" s="11" t="str">
        <f>IF(ISBLANK(D416),"",(VLOOKUP(D416,Cardápio!$A$2:$B$16,2,0))*E416)</f>
        <v/>
      </c>
      <c r="H416" s="7" t="str">
        <f t="shared" si="24"/>
        <v/>
      </c>
      <c r="I416" s="7" t="str">
        <f>IF(AND(ISBLANK(D416),ISBLANK(C416)),"",((VLOOKUP(D416,Cardápio!$A$2:$C$16,3,0))*E416)+IF(B416="iFood",F416*0.27,(VLOOKUP(VENDAS!C416,Bairros!$A$2:$B$90,2,0))))</f>
        <v/>
      </c>
      <c r="J416" s="7" t="str">
        <f t="shared" si="25"/>
        <v/>
      </c>
      <c r="K416" s="9">
        <f t="shared" ca="1" si="26"/>
        <v>45404.878290046297</v>
      </c>
      <c r="L416" s="10">
        <f t="shared" ca="1" si="27"/>
        <v>45404.878290046297</v>
      </c>
    </row>
    <row r="417" spans="6:12" x14ac:dyDescent="0.25">
      <c r="F417" s="11" t="str">
        <f>IF(ISBLANK(D417),"",(VLOOKUP(D417,Cardápio!$A$2:$B$16,2,0))*E417)</f>
        <v/>
      </c>
      <c r="H417" s="7" t="str">
        <f t="shared" si="24"/>
        <v/>
      </c>
      <c r="I417" s="7" t="str">
        <f>IF(AND(ISBLANK(D417),ISBLANK(C417)),"",((VLOOKUP(D417,Cardápio!$A$2:$C$16,3,0))*E417)+IF(B417="iFood",F417*0.27,(VLOOKUP(VENDAS!C417,Bairros!$A$2:$B$90,2,0))))</f>
        <v/>
      </c>
      <c r="J417" s="7" t="str">
        <f t="shared" si="25"/>
        <v/>
      </c>
      <c r="K417" s="9">
        <f t="shared" ca="1" si="26"/>
        <v>45404.878290162036</v>
      </c>
      <c r="L417" s="10">
        <f t="shared" ca="1" si="27"/>
        <v>45404.878290046297</v>
      </c>
    </row>
    <row r="418" spans="6:12" x14ac:dyDescent="0.25">
      <c r="F418" s="11" t="str">
        <f>IF(ISBLANK(D418),"",(VLOOKUP(D418,Cardápio!$A$2:$B$16,2,0))*E418)</f>
        <v/>
      </c>
      <c r="H418" s="7" t="str">
        <f t="shared" si="24"/>
        <v/>
      </c>
      <c r="I418" s="7" t="str">
        <f>IF(AND(ISBLANK(D418),ISBLANK(C418)),"",((VLOOKUP(D418,Cardápio!$A$2:$C$16,3,0))*E418)+IF(B418="iFood",F418*0.27,(VLOOKUP(VENDAS!C418,Bairros!$A$2:$B$90,2,0))))</f>
        <v/>
      </c>
      <c r="J418" s="7" t="str">
        <f t="shared" si="25"/>
        <v/>
      </c>
      <c r="K418" s="9">
        <f t="shared" ca="1" si="26"/>
        <v>45404.878290046297</v>
      </c>
      <c r="L418" s="10">
        <f t="shared" ca="1" si="27"/>
        <v>45404.878290046297</v>
      </c>
    </row>
    <row r="419" spans="6:12" x14ac:dyDescent="0.25">
      <c r="F419" s="11" t="str">
        <f>IF(ISBLANK(D419),"",(VLOOKUP(D419,Cardápio!$A$2:$B$16,2,0))*E419)</f>
        <v/>
      </c>
      <c r="H419" s="7" t="str">
        <f t="shared" si="24"/>
        <v/>
      </c>
      <c r="I419" s="7" t="str">
        <f>IF(AND(ISBLANK(D419),ISBLANK(C419)),"",((VLOOKUP(D419,Cardápio!$A$2:$C$16,3,0))*E419)+IF(B419="iFood",F419*0.27,(VLOOKUP(VENDAS!C419,Bairros!$A$2:$B$90,2,0))))</f>
        <v/>
      </c>
      <c r="J419" s="7" t="str">
        <f t="shared" si="25"/>
        <v/>
      </c>
      <c r="K419" s="9">
        <f t="shared" ca="1" si="26"/>
        <v>45404.878290046297</v>
      </c>
      <c r="L419" s="10">
        <f t="shared" ca="1" si="27"/>
        <v>45404.878290046297</v>
      </c>
    </row>
    <row r="420" spans="6:12" x14ac:dyDescent="0.25">
      <c r="F420" s="11" t="str">
        <f>IF(ISBLANK(D420),"",(VLOOKUP(D420,Cardápio!$A$2:$B$16,2,0))*E420)</f>
        <v/>
      </c>
      <c r="H420" s="7" t="str">
        <f t="shared" si="24"/>
        <v/>
      </c>
      <c r="I420" s="7" t="str">
        <f>IF(AND(ISBLANK(D420),ISBLANK(C420)),"",((VLOOKUP(D420,Cardápio!$A$2:$C$16,3,0))*E420)+IF(B420="iFood",F420*0.27,(VLOOKUP(VENDAS!C420,Bairros!$A$2:$B$90,2,0))))</f>
        <v/>
      </c>
      <c r="J420" s="7" t="str">
        <f t="shared" si="25"/>
        <v/>
      </c>
      <c r="K420" s="9">
        <f t="shared" ca="1" si="26"/>
        <v>45404.878290046297</v>
      </c>
      <c r="L420" s="10">
        <f t="shared" ca="1" si="27"/>
        <v>45404.878290046297</v>
      </c>
    </row>
    <row r="421" spans="6:12" x14ac:dyDescent="0.25">
      <c r="F421" s="11" t="str">
        <f>IF(ISBLANK(D421),"",(VLOOKUP(D421,Cardápio!$A$2:$B$16,2,0))*E421)</f>
        <v/>
      </c>
      <c r="H421" s="7" t="str">
        <f t="shared" si="24"/>
        <v/>
      </c>
      <c r="I421" s="7" t="str">
        <f>IF(AND(ISBLANK(D421),ISBLANK(C421)),"",((VLOOKUP(D421,Cardápio!$A$2:$C$16,3,0))*E421)+IF(B421="iFood",F421*0.27,(VLOOKUP(VENDAS!C421,Bairros!$A$2:$B$90,2,0))))</f>
        <v/>
      </c>
      <c r="J421" s="7" t="str">
        <f t="shared" si="25"/>
        <v/>
      </c>
      <c r="K421" s="9">
        <f t="shared" ca="1" si="26"/>
        <v>45404.878290162036</v>
      </c>
      <c r="L421" s="10">
        <f t="shared" ca="1" si="27"/>
        <v>45404.878290046297</v>
      </c>
    </row>
    <row r="422" spans="6:12" x14ac:dyDescent="0.25">
      <c r="F422" s="11" t="str">
        <f>IF(ISBLANK(D422),"",(VLOOKUP(D422,Cardápio!$A$2:$B$16,2,0))*E422)</f>
        <v/>
      </c>
      <c r="H422" s="7" t="str">
        <f t="shared" si="24"/>
        <v/>
      </c>
      <c r="I422" s="7" t="str">
        <f>IF(AND(ISBLANK(D422),ISBLANK(C422)),"",((VLOOKUP(D422,Cardápio!$A$2:$C$16,3,0))*E422)+IF(B422="iFood",F422*0.27,(VLOOKUP(VENDAS!C422,Bairros!$A$2:$B$90,2,0))))</f>
        <v/>
      </c>
      <c r="J422" s="7" t="str">
        <f t="shared" si="25"/>
        <v/>
      </c>
      <c r="K422" s="9">
        <f t="shared" ca="1" si="26"/>
        <v>45404.878290046297</v>
      </c>
      <c r="L422" s="10">
        <f t="shared" ca="1" si="27"/>
        <v>45404.878290046297</v>
      </c>
    </row>
    <row r="423" spans="6:12" x14ac:dyDescent="0.25">
      <c r="F423" s="11" t="str">
        <f>IF(ISBLANK(D423),"",(VLOOKUP(D423,Cardápio!$A$2:$B$16,2,0))*E423)</f>
        <v/>
      </c>
      <c r="H423" s="7" t="str">
        <f t="shared" si="24"/>
        <v/>
      </c>
      <c r="I423" s="7" t="str">
        <f>IF(AND(ISBLANK(D423),ISBLANK(C423)),"",((VLOOKUP(D423,Cardápio!$A$2:$C$16,3,0))*E423)+IF(B423="iFood",F423*0.27,(VLOOKUP(VENDAS!C423,Bairros!$A$2:$B$90,2,0))))</f>
        <v/>
      </c>
      <c r="J423" s="7" t="str">
        <f t="shared" si="25"/>
        <v/>
      </c>
      <c r="K423" s="9">
        <f t="shared" ca="1" si="26"/>
        <v>45404.878290046297</v>
      </c>
      <c r="L423" s="10">
        <f t="shared" ca="1" si="27"/>
        <v>45404.878290046297</v>
      </c>
    </row>
    <row r="424" spans="6:12" x14ac:dyDescent="0.25">
      <c r="F424" s="11" t="str">
        <f>IF(ISBLANK(D424),"",(VLOOKUP(D424,Cardápio!$A$2:$B$16,2,0))*E424)</f>
        <v/>
      </c>
      <c r="H424" s="7" t="str">
        <f t="shared" si="24"/>
        <v/>
      </c>
      <c r="I424" s="7" t="str">
        <f>IF(AND(ISBLANK(D424),ISBLANK(C424)),"",((VLOOKUP(D424,Cardápio!$A$2:$C$16,3,0))*E424)+IF(B424="iFood",F424*0.27,(VLOOKUP(VENDAS!C424,Bairros!$A$2:$B$90,2,0))))</f>
        <v/>
      </c>
      <c r="J424" s="7" t="str">
        <f t="shared" si="25"/>
        <v/>
      </c>
      <c r="K424" s="9">
        <f t="shared" ca="1" si="26"/>
        <v>45404.878290046297</v>
      </c>
      <c r="L424" s="10">
        <f t="shared" ca="1" si="27"/>
        <v>45404.878290046297</v>
      </c>
    </row>
    <row r="425" spans="6:12" x14ac:dyDescent="0.25">
      <c r="F425" s="11" t="str">
        <f>IF(ISBLANK(D425),"",(VLOOKUP(D425,Cardápio!$A$2:$B$16,2,0))*E425)</f>
        <v/>
      </c>
      <c r="H425" s="7" t="str">
        <f t="shared" si="24"/>
        <v/>
      </c>
      <c r="I425" s="7" t="str">
        <f>IF(AND(ISBLANK(D425),ISBLANK(C425)),"",((VLOOKUP(D425,Cardápio!$A$2:$C$16,3,0))*E425)+IF(B425="iFood",F425*0.27,(VLOOKUP(VENDAS!C425,Bairros!$A$2:$B$90,2,0))))</f>
        <v/>
      </c>
      <c r="J425" s="7" t="str">
        <f t="shared" si="25"/>
        <v/>
      </c>
      <c r="K425" s="9">
        <f t="shared" ca="1" si="26"/>
        <v>45404.878290162036</v>
      </c>
      <c r="L425" s="10">
        <f t="shared" ca="1" si="27"/>
        <v>45404.878290046297</v>
      </c>
    </row>
    <row r="426" spans="6:12" x14ac:dyDescent="0.25">
      <c r="F426" s="11" t="str">
        <f>IF(ISBLANK(D426),"",(VLOOKUP(D426,Cardápio!$A$2:$B$16,2,0))*E426)</f>
        <v/>
      </c>
      <c r="H426" s="7" t="str">
        <f t="shared" si="24"/>
        <v/>
      </c>
      <c r="I426" s="7" t="str">
        <f>IF(AND(ISBLANK(D426),ISBLANK(C426)),"",((VLOOKUP(D426,Cardápio!$A$2:$C$16,3,0))*E426)+IF(B426="iFood",F426*0.27,(VLOOKUP(VENDAS!C426,Bairros!$A$2:$B$90,2,0))))</f>
        <v/>
      </c>
      <c r="J426" s="7" t="str">
        <f t="shared" si="25"/>
        <v/>
      </c>
      <c r="K426" s="9">
        <f t="shared" ca="1" si="26"/>
        <v>45404.878290046297</v>
      </c>
      <c r="L426" s="10">
        <f t="shared" ca="1" si="27"/>
        <v>45404.878290046297</v>
      </c>
    </row>
    <row r="427" spans="6:12" x14ac:dyDescent="0.25">
      <c r="F427" s="11" t="str">
        <f>IF(ISBLANK(D427),"",(VLOOKUP(D427,Cardápio!$A$2:$B$16,2,0))*E427)</f>
        <v/>
      </c>
      <c r="H427" s="7" t="str">
        <f t="shared" si="24"/>
        <v/>
      </c>
      <c r="I427" s="7" t="str">
        <f>IF(AND(ISBLANK(D427),ISBLANK(C427)),"",((VLOOKUP(D427,Cardápio!$A$2:$C$16,3,0))*E427)+IF(B427="iFood",F427*0.27,(VLOOKUP(VENDAS!C427,Bairros!$A$2:$B$90,2,0))))</f>
        <v/>
      </c>
      <c r="J427" s="7" t="str">
        <f t="shared" si="25"/>
        <v/>
      </c>
      <c r="K427" s="9">
        <f t="shared" ca="1" si="26"/>
        <v>45404.878290046297</v>
      </c>
      <c r="L427" s="10">
        <f t="shared" ca="1" si="27"/>
        <v>45404.878290046297</v>
      </c>
    </row>
    <row r="428" spans="6:12" x14ac:dyDescent="0.25">
      <c r="F428" s="11" t="str">
        <f>IF(ISBLANK(D428),"",(VLOOKUP(D428,Cardápio!$A$2:$B$16,2,0))*E428)</f>
        <v/>
      </c>
      <c r="H428" s="7" t="str">
        <f t="shared" si="24"/>
        <v/>
      </c>
      <c r="I428" s="7" t="str">
        <f>IF(AND(ISBLANK(D428),ISBLANK(C428)),"",((VLOOKUP(D428,Cardápio!$A$2:$C$16,3,0))*E428)+IF(B428="iFood",F428*0.27,(VLOOKUP(VENDAS!C428,Bairros!$A$2:$B$90,2,0))))</f>
        <v/>
      </c>
      <c r="J428" s="7" t="str">
        <f t="shared" si="25"/>
        <v/>
      </c>
      <c r="K428" s="9">
        <f t="shared" ca="1" si="26"/>
        <v>45404.878290046297</v>
      </c>
      <c r="L428" s="10">
        <f t="shared" ca="1" si="27"/>
        <v>45404.878290046297</v>
      </c>
    </row>
    <row r="429" spans="6:12" x14ac:dyDescent="0.25">
      <c r="F429" s="11" t="str">
        <f>IF(ISBLANK(D429),"",(VLOOKUP(D429,Cardápio!$A$2:$B$16,2,0))*E429)</f>
        <v/>
      </c>
      <c r="H429" s="7" t="str">
        <f t="shared" si="24"/>
        <v/>
      </c>
      <c r="I429" s="7" t="str">
        <f>IF(AND(ISBLANK(D429),ISBLANK(C429)),"",((VLOOKUP(D429,Cardápio!$A$2:$C$16,3,0))*E429)+IF(B429="iFood",F429*0.27,(VLOOKUP(VENDAS!C429,Bairros!$A$2:$B$90,2,0))))</f>
        <v/>
      </c>
      <c r="J429" s="7" t="str">
        <f t="shared" si="25"/>
        <v/>
      </c>
      <c r="K429" s="9">
        <f t="shared" ca="1" si="26"/>
        <v>45404.878290162036</v>
      </c>
      <c r="L429" s="10">
        <f t="shared" ca="1" si="27"/>
        <v>45404.878290046297</v>
      </c>
    </row>
    <row r="430" spans="6:12" x14ac:dyDescent="0.25">
      <c r="F430" s="11" t="str">
        <f>IF(ISBLANK(D430),"",(VLOOKUP(D430,Cardápio!$A$2:$B$16,2,0))*E430)</f>
        <v/>
      </c>
      <c r="H430" s="7" t="str">
        <f t="shared" si="24"/>
        <v/>
      </c>
      <c r="I430" s="7" t="str">
        <f>IF(AND(ISBLANK(D430),ISBLANK(C430)),"",((VLOOKUP(D430,Cardápio!$A$2:$C$16,3,0))*E430)+IF(B430="iFood",F430*0.27,(VLOOKUP(VENDAS!C430,Bairros!$A$2:$B$90,2,0))))</f>
        <v/>
      </c>
      <c r="J430" s="7" t="str">
        <f t="shared" si="25"/>
        <v/>
      </c>
      <c r="K430" s="9">
        <f t="shared" ca="1" si="26"/>
        <v>45404.878290046297</v>
      </c>
      <c r="L430" s="10">
        <f t="shared" ca="1" si="27"/>
        <v>45404.878290046297</v>
      </c>
    </row>
    <row r="431" spans="6:12" x14ac:dyDescent="0.25">
      <c r="F431" s="11" t="str">
        <f>IF(ISBLANK(D431),"",(VLOOKUP(D431,Cardápio!$A$2:$B$16,2,0))*E431)</f>
        <v/>
      </c>
      <c r="H431" s="7" t="str">
        <f t="shared" si="24"/>
        <v/>
      </c>
      <c r="I431" s="7" t="str">
        <f>IF(AND(ISBLANK(D431),ISBLANK(C431)),"",((VLOOKUP(D431,Cardápio!$A$2:$C$16,3,0))*E431)+IF(B431="iFood",F431*0.27,(VLOOKUP(VENDAS!C431,Bairros!$A$2:$B$90,2,0))))</f>
        <v/>
      </c>
      <c r="J431" s="7" t="str">
        <f t="shared" si="25"/>
        <v/>
      </c>
      <c r="K431" s="9">
        <f t="shared" ca="1" si="26"/>
        <v>45404.878290046297</v>
      </c>
      <c r="L431" s="10">
        <f t="shared" ca="1" si="27"/>
        <v>45404.878290046297</v>
      </c>
    </row>
    <row r="432" spans="6:12" x14ac:dyDescent="0.25">
      <c r="F432" s="11" t="str">
        <f>IF(ISBLANK(D432),"",(VLOOKUP(D432,Cardápio!$A$2:$B$16,2,0))*E432)</f>
        <v/>
      </c>
      <c r="H432" s="7" t="str">
        <f t="shared" si="24"/>
        <v/>
      </c>
      <c r="I432" s="7" t="str">
        <f>IF(AND(ISBLANK(D432),ISBLANK(C432)),"",((VLOOKUP(D432,Cardápio!$A$2:$C$16,3,0))*E432)+IF(B432="iFood",F432*0.27,(VLOOKUP(VENDAS!C432,Bairros!$A$2:$B$90,2,0))))</f>
        <v/>
      </c>
      <c r="J432" s="7" t="str">
        <f t="shared" si="25"/>
        <v/>
      </c>
      <c r="K432" s="9">
        <f t="shared" ca="1" si="26"/>
        <v>45404.878290046297</v>
      </c>
      <c r="L432" s="10">
        <f t="shared" ca="1" si="27"/>
        <v>45404.878290046297</v>
      </c>
    </row>
    <row r="433" spans="6:12" x14ac:dyDescent="0.25">
      <c r="F433" s="11" t="str">
        <f>IF(ISBLANK(D433),"",(VLOOKUP(D433,Cardápio!$A$2:$B$16,2,0))*E433)</f>
        <v/>
      </c>
      <c r="H433" s="7" t="str">
        <f t="shared" si="24"/>
        <v/>
      </c>
      <c r="I433" s="7" t="str">
        <f>IF(AND(ISBLANK(D433),ISBLANK(C433)),"",((VLOOKUP(D433,Cardápio!$A$2:$C$16,3,0))*E433)+IF(B433="iFood",F433*0.27,(VLOOKUP(VENDAS!C433,Bairros!$A$2:$B$90,2,0))))</f>
        <v/>
      </c>
      <c r="J433" s="7" t="str">
        <f t="shared" si="25"/>
        <v/>
      </c>
      <c r="K433" s="9">
        <f t="shared" ca="1" si="26"/>
        <v>45404.878290162036</v>
      </c>
      <c r="L433" s="10">
        <f t="shared" ca="1" si="27"/>
        <v>45404.878290046297</v>
      </c>
    </row>
    <row r="434" spans="6:12" x14ac:dyDescent="0.25">
      <c r="F434" s="11" t="str">
        <f>IF(ISBLANK(D434),"",(VLOOKUP(D434,Cardápio!$A$2:$B$16,2,0))*E434)</f>
        <v/>
      </c>
      <c r="H434" s="7" t="str">
        <f t="shared" si="24"/>
        <v/>
      </c>
      <c r="I434" s="7" t="str">
        <f>IF(AND(ISBLANK(D434),ISBLANK(C434)),"",((VLOOKUP(D434,Cardápio!$A$2:$C$16,3,0))*E434)+IF(B434="iFood",F434*0.27,(VLOOKUP(VENDAS!C434,Bairros!$A$2:$B$90,2,0))))</f>
        <v/>
      </c>
      <c r="J434" s="7" t="str">
        <f t="shared" si="25"/>
        <v/>
      </c>
      <c r="K434" s="9">
        <f t="shared" ca="1" si="26"/>
        <v>45404.878290046297</v>
      </c>
      <c r="L434" s="10">
        <f t="shared" ca="1" si="27"/>
        <v>45404.878290046297</v>
      </c>
    </row>
    <row r="435" spans="6:12" x14ac:dyDescent="0.25">
      <c r="F435" s="11" t="str">
        <f>IF(ISBLANK(D435),"",(VLOOKUP(D435,Cardápio!$A$2:$B$16,2,0))*E435)</f>
        <v/>
      </c>
      <c r="H435" s="7" t="str">
        <f t="shared" si="24"/>
        <v/>
      </c>
      <c r="I435" s="7" t="str">
        <f>IF(AND(ISBLANK(D435),ISBLANK(C435)),"",((VLOOKUP(D435,Cardápio!$A$2:$C$16,3,0))*E435)+IF(B435="iFood",F435*0.27,(VLOOKUP(VENDAS!C435,Bairros!$A$2:$B$90,2,0))))</f>
        <v/>
      </c>
      <c r="J435" s="7" t="str">
        <f t="shared" si="25"/>
        <v/>
      </c>
      <c r="K435" s="9">
        <f t="shared" ca="1" si="26"/>
        <v>45404.878290046297</v>
      </c>
      <c r="L435" s="10">
        <f t="shared" ca="1" si="27"/>
        <v>45404.878290046297</v>
      </c>
    </row>
    <row r="436" spans="6:12" x14ac:dyDescent="0.25">
      <c r="F436" s="11" t="str">
        <f>IF(ISBLANK(D436),"",(VLOOKUP(D436,Cardápio!$A$2:$B$16,2,0))*E436)</f>
        <v/>
      </c>
      <c r="H436" s="7" t="str">
        <f t="shared" si="24"/>
        <v/>
      </c>
      <c r="I436" s="7" t="str">
        <f>IF(AND(ISBLANK(D436),ISBLANK(C436)),"",((VLOOKUP(D436,Cardápio!$A$2:$C$16,3,0))*E436)+IF(B436="iFood",F436*0.27,(VLOOKUP(VENDAS!C436,Bairros!$A$2:$B$90,2,0))))</f>
        <v/>
      </c>
      <c r="J436" s="7" t="str">
        <f t="shared" si="25"/>
        <v/>
      </c>
      <c r="K436" s="9">
        <f t="shared" ca="1" si="26"/>
        <v>45404.878290046297</v>
      </c>
      <c r="L436" s="10">
        <f t="shared" ca="1" si="27"/>
        <v>45404.878290046297</v>
      </c>
    </row>
    <row r="437" spans="6:12" x14ac:dyDescent="0.25">
      <c r="F437" s="11" t="str">
        <f>IF(ISBLANK(D437),"",(VLOOKUP(D437,Cardápio!$A$2:$B$16,2,0))*E437)</f>
        <v/>
      </c>
      <c r="H437" s="7" t="str">
        <f t="shared" ref="H437:H500" si="28">IF(ISBLANK(D437),"",F437-G437)</f>
        <v/>
      </c>
      <c r="I437" s="7" t="str">
        <f>IF(AND(ISBLANK(D437),ISBLANK(C437)),"",((VLOOKUP(D437,Cardápio!$A$2:$C$16,3,0))*E437)+IF(B437="iFood",F437*0.27,(VLOOKUP(VENDAS!C437,Bairros!$A$2:$B$90,2,0))))</f>
        <v/>
      </c>
      <c r="J437" s="7" t="str">
        <f t="shared" ref="J437:J500" si="29">IF(OR(AND(ISBLANK(H437),ISBLANK(I437)),(AND(H437="",I437=""))),"",H437-I437)</f>
        <v/>
      </c>
      <c r="K437" s="9">
        <f t="shared" ref="K437:K500" ca="1" si="30">IF(D437&lt;&gt;"",K437,NOW())</f>
        <v>45404.878290162036</v>
      </c>
      <c r="L437" s="10">
        <f t="shared" ref="L437:L500" ca="1" si="31">IF(D437&lt;&gt;"",L437,NOW())</f>
        <v>45404.878290046297</v>
      </c>
    </row>
    <row r="438" spans="6:12" x14ac:dyDescent="0.25">
      <c r="F438" s="11" t="str">
        <f>IF(ISBLANK(D438),"",(VLOOKUP(D438,Cardápio!$A$2:$B$16,2,0))*E438)</f>
        <v/>
      </c>
      <c r="H438" s="7" t="str">
        <f t="shared" si="28"/>
        <v/>
      </c>
      <c r="I438" s="7" t="str">
        <f>IF(AND(ISBLANK(D438),ISBLANK(C438)),"",((VLOOKUP(D438,Cardápio!$A$2:$C$16,3,0))*E438)+IF(B438="iFood",F438*0.27,(VLOOKUP(VENDAS!C438,Bairros!$A$2:$B$90,2,0))))</f>
        <v/>
      </c>
      <c r="J438" s="7" t="str">
        <f t="shared" si="29"/>
        <v/>
      </c>
      <c r="K438" s="9">
        <f t="shared" ca="1" si="30"/>
        <v>45404.878290046297</v>
      </c>
      <c r="L438" s="10">
        <f t="shared" ca="1" si="31"/>
        <v>45404.878290046297</v>
      </c>
    </row>
    <row r="439" spans="6:12" x14ac:dyDescent="0.25">
      <c r="F439" s="11" t="str">
        <f>IF(ISBLANK(D439),"",(VLOOKUP(D439,Cardápio!$A$2:$B$16,2,0))*E439)</f>
        <v/>
      </c>
      <c r="H439" s="7" t="str">
        <f t="shared" si="28"/>
        <v/>
      </c>
      <c r="I439" s="7" t="str">
        <f>IF(AND(ISBLANK(D439),ISBLANK(C439)),"",((VLOOKUP(D439,Cardápio!$A$2:$C$16,3,0))*E439)+IF(B439="iFood",F439*0.27,(VLOOKUP(VENDAS!C439,Bairros!$A$2:$B$90,2,0))))</f>
        <v/>
      </c>
      <c r="J439" s="7" t="str">
        <f t="shared" si="29"/>
        <v/>
      </c>
      <c r="K439" s="9">
        <f t="shared" ca="1" si="30"/>
        <v>45404.878290046297</v>
      </c>
      <c r="L439" s="10">
        <f t="shared" ca="1" si="31"/>
        <v>45404.878290046297</v>
      </c>
    </row>
    <row r="440" spans="6:12" x14ac:dyDescent="0.25">
      <c r="F440" s="11" t="str">
        <f>IF(ISBLANK(D440),"",(VLOOKUP(D440,Cardápio!$A$2:$B$16,2,0))*E440)</f>
        <v/>
      </c>
      <c r="H440" s="7" t="str">
        <f t="shared" si="28"/>
        <v/>
      </c>
      <c r="I440" s="7" t="str">
        <f>IF(AND(ISBLANK(D440),ISBLANK(C440)),"",((VLOOKUP(D440,Cardápio!$A$2:$C$16,3,0))*E440)+IF(B440="iFood",F440*0.27,(VLOOKUP(VENDAS!C440,Bairros!$A$2:$B$90,2,0))))</f>
        <v/>
      </c>
      <c r="J440" s="7" t="str">
        <f t="shared" si="29"/>
        <v/>
      </c>
      <c r="K440" s="9">
        <f t="shared" ca="1" si="30"/>
        <v>45404.878290046297</v>
      </c>
      <c r="L440" s="10">
        <f t="shared" ca="1" si="31"/>
        <v>45404.878290046297</v>
      </c>
    </row>
    <row r="441" spans="6:12" x14ac:dyDescent="0.25">
      <c r="F441" s="11" t="str">
        <f>IF(ISBLANK(D441),"",(VLOOKUP(D441,Cardápio!$A$2:$B$16,2,0))*E441)</f>
        <v/>
      </c>
      <c r="H441" s="7" t="str">
        <f t="shared" si="28"/>
        <v/>
      </c>
      <c r="I441" s="7" t="str">
        <f>IF(AND(ISBLANK(D441),ISBLANK(C441)),"",((VLOOKUP(D441,Cardápio!$A$2:$C$16,3,0))*E441)+IF(B441="iFood",F441*0.27,(VLOOKUP(VENDAS!C441,Bairros!$A$2:$B$90,2,0))))</f>
        <v/>
      </c>
      <c r="J441" s="7" t="str">
        <f t="shared" si="29"/>
        <v/>
      </c>
      <c r="K441" s="9">
        <f t="shared" ca="1" si="30"/>
        <v>45404.878290162036</v>
      </c>
      <c r="L441" s="10">
        <f t="shared" ca="1" si="31"/>
        <v>45404.878290046297</v>
      </c>
    </row>
    <row r="442" spans="6:12" x14ac:dyDescent="0.25">
      <c r="F442" s="11" t="str">
        <f>IF(ISBLANK(D442),"",(VLOOKUP(D442,Cardápio!$A$2:$B$16,2,0))*E442)</f>
        <v/>
      </c>
      <c r="H442" s="7" t="str">
        <f t="shared" si="28"/>
        <v/>
      </c>
      <c r="I442" s="7" t="str">
        <f>IF(AND(ISBLANK(D442),ISBLANK(C442)),"",((VLOOKUP(D442,Cardápio!$A$2:$C$16,3,0))*E442)+IF(B442="iFood",F442*0.27,(VLOOKUP(VENDAS!C442,Bairros!$A$2:$B$90,2,0))))</f>
        <v/>
      </c>
      <c r="J442" s="7" t="str">
        <f t="shared" si="29"/>
        <v/>
      </c>
      <c r="K442" s="9">
        <f t="shared" ca="1" si="30"/>
        <v>45404.878290046297</v>
      </c>
      <c r="L442" s="10">
        <f t="shared" ca="1" si="31"/>
        <v>45404.878290046297</v>
      </c>
    </row>
    <row r="443" spans="6:12" x14ac:dyDescent="0.25">
      <c r="F443" s="11" t="str">
        <f>IF(ISBLANK(D443),"",(VLOOKUP(D443,Cardápio!$A$2:$B$16,2,0))*E443)</f>
        <v/>
      </c>
      <c r="H443" s="7" t="str">
        <f t="shared" si="28"/>
        <v/>
      </c>
      <c r="I443" s="7" t="str">
        <f>IF(AND(ISBLANK(D443),ISBLANK(C443)),"",((VLOOKUP(D443,Cardápio!$A$2:$C$16,3,0))*E443)+IF(B443="iFood",F443*0.27,(VLOOKUP(VENDAS!C443,Bairros!$A$2:$B$90,2,0))))</f>
        <v/>
      </c>
      <c r="J443" s="7" t="str">
        <f t="shared" si="29"/>
        <v/>
      </c>
      <c r="K443" s="9">
        <f t="shared" ca="1" si="30"/>
        <v>45404.878290046297</v>
      </c>
      <c r="L443" s="10">
        <f t="shared" ca="1" si="31"/>
        <v>45404.878290046297</v>
      </c>
    </row>
    <row r="444" spans="6:12" x14ac:dyDescent="0.25">
      <c r="F444" s="11" t="str">
        <f>IF(ISBLANK(D444),"",(VLOOKUP(D444,Cardápio!$A$2:$B$16,2,0))*E444)</f>
        <v/>
      </c>
      <c r="H444" s="7" t="str">
        <f t="shared" si="28"/>
        <v/>
      </c>
      <c r="I444" s="7" t="str">
        <f>IF(AND(ISBLANK(D444),ISBLANK(C444)),"",((VLOOKUP(D444,Cardápio!$A$2:$C$16,3,0))*E444)+IF(B444="iFood",F444*0.27,(VLOOKUP(VENDAS!C444,Bairros!$A$2:$B$90,2,0))))</f>
        <v/>
      </c>
      <c r="J444" s="7" t="str">
        <f t="shared" si="29"/>
        <v/>
      </c>
      <c r="K444" s="9">
        <f t="shared" ca="1" si="30"/>
        <v>45404.878290046297</v>
      </c>
      <c r="L444" s="10">
        <f t="shared" ca="1" si="31"/>
        <v>45404.878290046297</v>
      </c>
    </row>
    <row r="445" spans="6:12" x14ac:dyDescent="0.25">
      <c r="F445" s="11" t="str">
        <f>IF(ISBLANK(D445),"",(VLOOKUP(D445,Cardápio!$A$2:$B$16,2,0))*E445)</f>
        <v/>
      </c>
      <c r="H445" s="7" t="str">
        <f t="shared" si="28"/>
        <v/>
      </c>
      <c r="I445" s="7" t="str">
        <f>IF(AND(ISBLANK(D445),ISBLANK(C445)),"",((VLOOKUP(D445,Cardápio!$A$2:$C$16,3,0))*E445)+IF(B445="iFood",F445*0.27,(VLOOKUP(VENDAS!C445,Bairros!$A$2:$B$90,2,0))))</f>
        <v/>
      </c>
      <c r="J445" s="7" t="str">
        <f t="shared" si="29"/>
        <v/>
      </c>
      <c r="K445" s="9">
        <f t="shared" ca="1" si="30"/>
        <v>45404.878290162036</v>
      </c>
      <c r="L445" s="10">
        <f t="shared" ca="1" si="31"/>
        <v>45404.878290046297</v>
      </c>
    </row>
    <row r="446" spans="6:12" x14ac:dyDescent="0.25">
      <c r="F446" s="11" t="str">
        <f>IF(ISBLANK(D446),"",(VLOOKUP(D446,Cardápio!$A$2:$B$16,2,0))*E446)</f>
        <v/>
      </c>
      <c r="H446" s="7" t="str">
        <f t="shared" si="28"/>
        <v/>
      </c>
      <c r="I446" s="7" t="str">
        <f>IF(AND(ISBLANK(D446),ISBLANK(C446)),"",((VLOOKUP(D446,Cardápio!$A$2:$C$16,3,0))*E446)+IF(B446="iFood",F446*0.27,(VLOOKUP(VENDAS!C446,Bairros!$A$2:$B$90,2,0))))</f>
        <v/>
      </c>
      <c r="J446" s="7" t="str">
        <f t="shared" si="29"/>
        <v/>
      </c>
      <c r="K446" s="9">
        <f t="shared" ca="1" si="30"/>
        <v>45404.878290046297</v>
      </c>
      <c r="L446" s="10">
        <f t="shared" ca="1" si="31"/>
        <v>45404.878290046297</v>
      </c>
    </row>
    <row r="447" spans="6:12" x14ac:dyDescent="0.25">
      <c r="F447" s="11" t="str">
        <f>IF(ISBLANK(D447),"",(VLOOKUP(D447,Cardápio!$A$2:$B$16,2,0))*E447)</f>
        <v/>
      </c>
      <c r="H447" s="7" t="str">
        <f t="shared" si="28"/>
        <v/>
      </c>
      <c r="I447" s="7" t="str">
        <f>IF(AND(ISBLANK(D447),ISBLANK(C447)),"",((VLOOKUP(D447,Cardápio!$A$2:$C$16,3,0))*E447)+IF(B447="iFood",F447*0.27,(VLOOKUP(VENDAS!C447,Bairros!$A$2:$B$90,2,0))))</f>
        <v/>
      </c>
      <c r="J447" s="7" t="str">
        <f t="shared" si="29"/>
        <v/>
      </c>
      <c r="K447" s="9">
        <f t="shared" ca="1" si="30"/>
        <v>45404.878290046297</v>
      </c>
      <c r="L447" s="10">
        <f t="shared" ca="1" si="31"/>
        <v>45404.878290046297</v>
      </c>
    </row>
    <row r="448" spans="6:12" x14ac:dyDescent="0.25">
      <c r="F448" s="11" t="str">
        <f>IF(ISBLANK(D448),"",(VLOOKUP(D448,Cardápio!$A$2:$B$16,2,0))*E448)</f>
        <v/>
      </c>
      <c r="H448" s="7" t="str">
        <f t="shared" si="28"/>
        <v/>
      </c>
      <c r="I448" s="7" t="str">
        <f>IF(AND(ISBLANK(D448),ISBLANK(C448)),"",((VLOOKUP(D448,Cardápio!$A$2:$C$16,3,0))*E448)+IF(B448="iFood",F448*0.27,(VLOOKUP(VENDAS!C448,Bairros!$A$2:$B$90,2,0))))</f>
        <v/>
      </c>
      <c r="J448" s="7" t="str">
        <f t="shared" si="29"/>
        <v/>
      </c>
      <c r="K448" s="9">
        <f t="shared" ca="1" si="30"/>
        <v>45404.878290046297</v>
      </c>
      <c r="L448" s="10">
        <f t="shared" ca="1" si="31"/>
        <v>45404.878290046297</v>
      </c>
    </row>
    <row r="449" spans="6:12" x14ac:dyDescent="0.25">
      <c r="F449" s="11" t="str">
        <f>IF(ISBLANK(D449),"",(VLOOKUP(D449,Cardápio!$A$2:$B$16,2,0))*E449)</f>
        <v/>
      </c>
      <c r="H449" s="7" t="str">
        <f t="shared" si="28"/>
        <v/>
      </c>
      <c r="I449" s="7" t="str">
        <f>IF(AND(ISBLANK(D449),ISBLANK(C449)),"",((VLOOKUP(D449,Cardápio!$A$2:$C$16,3,0))*E449)+IF(B449="iFood",F449*0.27,(VLOOKUP(VENDAS!C449,Bairros!$A$2:$B$90,2,0))))</f>
        <v/>
      </c>
      <c r="J449" s="7" t="str">
        <f t="shared" si="29"/>
        <v/>
      </c>
      <c r="K449" s="9">
        <f t="shared" ca="1" si="30"/>
        <v>45404.878290162036</v>
      </c>
      <c r="L449" s="10">
        <f t="shared" ca="1" si="31"/>
        <v>45404.878290046297</v>
      </c>
    </row>
    <row r="450" spans="6:12" x14ac:dyDescent="0.25">
      <c r="F450" s="11" t="str">
        <f>IF(ISBLANK(D450),"",(VLOOKUP(D450,Cardápio!$A$2:$B$16,2,0))*E450)</f>
        <v/>
      </c>
      <c r="H450" s="7" t="str">
        <f t="shared" si="28"/>
        <v/>
      </c>
      <c r="I450" s="7" t="str">
        <f>IF(AND(ISBLANK(D450),ISBLANK(C450)),"",((VLOOKUP(D450,Cardápio!$A$2:$C$16,3,0))*E450)+IF(B450="iFood",F450*0.27,(VLOOKUP(VENDAS!C450,Bairros!$A$2:$B$90,2,0))))</f>
        <v/>
      </c>
      <c r="J450" s="7" t="str">
        <f t="shared" si="29"/>
        <v/>
      </c>
      <c r="K450" s="9">
        <f t="shared" ca="1" si="30"/>
        <v>45404.878290046297</v>
      </c>
      <c r="L450" s="10">
        <f t="shared" ca="1" si="31"/>
        <v>45404.878290046297</v>
      </c>
    </row>
    <row r="451" spans="6:12" x14ac:dyDescent="0.25">
      <c r="F451" s="11" t="str">
        <f>IF(ISBLANK(D451),"",(VLOOKUP(D451,Cardápio!$A$2:$B$16,2,0))*E451)</f>
        <v/>
      </c>
      <c r="H451" s="7" t="str">
        <f t="shared" si="28"/>
        <v/>
      </c>
      <c r="I451" s="7" t="str">
        <f>IF(AND(ISBLANK(D451),ISBLANK(C451)),"",((VLOOKUP(D451,Cardápio!$A$2:$C$16,3,0))*E451)+IF(B451="iFood",F451*0.27,(VLOOKUP(VENDAS!C451,Bairros!$A$2:$B$90,2,0))))</f>
        <v/>
      </c>
      <c r="J451" s="7" t="str">
        <f t="shared" si="29"/>
        <v/>
      </c>
      <c r="K451" s="9">
        <f t="shared" ca="1" si="30"/>
        <v>45404.878290046297</v>
      </c>
      <c r="L451" s="10">
        <f t="shared" ca="1" si="31"/>
        <v>45404.878290046297</v>
      </c>
    </row>
    <row r="452" spans="6:12" x14ac:dyDescent="0.25">
      <c r="F452" s="11" t="str">
        <f>IF(ISBLANK(D452),"",(VLOOKUP(D452,Cardápio!$A$2:$B$16,2,0))*E452)</f>
        <v/>
      </c>
      <c r="H452" s="7" t="str">
        <f t="shared" si="28"/>
        <v/>
      </c>
      <c r="I452" s="7" t="str">
        <f>IF(AND(ISBLANK(D452),ISBLANK(C452)),"",((VLOOKUP(D452,Cardápio!$A$2:$C$16,3,0))*E452)+IF(B452="iFood",F452*0.27,(VLOOKUP(VENDAS!C452,Bairros!$A$2:$B$90,2,0))))</f>
        <v/>
      </c>
      <c r="J452" s="7" t="str">
        <f t="shared" si="29"/>
        <v/>
      </c>
      <c r="K452" s="9">
        <f t="shared" ca="1" si="30"/>
        <v>45404.878290046297</v>
      </c>
      <c r="L452" s="10">
        <f t="shared" ca="1" si="31"/>
        <v>45404.878290046297</v>
      </c>
    </row>
    <row r="453" spans="6:12" x14ac:dyDescent="0.25">
      <c r="F453" s="11" t="str">
        <f>IF(ISBLANK(D453),"",(VLOOKUP(D453,Cardápio!$A$2:$B$16,2,0))*E453)</f>
        <v/>
      </c>
      <c r="H453" s="7" t="str">
        <f t="shared" si="28"/>
        <v/>
      </c>
      <c r="I453" s="7" t="str">
        <f>IF(AND(ISBLANK(D453),ISBLANK(C453)),"",((VLOOKUP(D453,Cardápio!$A$2:$C$16,3,0))*E453)+IF(B453="iFood",F453*0.27,(VLOOKUP(VENDAS!C453,Bairros!$A$2:$B$90,2,0))))</f>
        <v/>
      </c>
      <c r="J453" s="7" t="str">
        <f t="shared" si="29"/>
        <v/>
      </c>
      <c r="K453" s="9">
        <f t="shared" ca="1" si="30"/>
        <v>45404.878290162036</v>
      </c>
      <c r="L453" s="10">
        <f t="shared" ca="1" si="31"/>
        <v>45404.878290046297</v>
      </c>
    </row>
    <row r="454" spans="6:12" x14ac:dyDescent="0.25">
      <c r="F454" s="11" t="str">
        <f>IF(ISBLANK(D454),"",(VLOOKUP(D454,Cardápio!$A$2:$B$16,2,0))*E454)</f>
        <v/>
      </c>
      <c r="H454" s="7" t="str">
        <f t="shared" si="28"/>
        <v/>
      </c>
      <c r="I454" s="7" t="str">
        <f>IF(AND(ISBLANK(D454),ISBLANK(C454)),"",((VLOOKUP(D454,Cardápio!$A$2:$C$16,3,0))*E454)+IF(B454="iFood",F454*0.27,(VLOOKUP(VENDAS!C454,Bairros!$A$2:$B$90,2,0))))</f>
        <v/>
      </c>
      <c r="J454" s="7" t="str">
        <f t="shared" si="29"/>
        <v/>
      </c>
      <c r="K454" s="9">
        <f t="shared" ca="1" si="30"/>
        <v>45404.878290046297</v>
      </c>
      <c r="L454" s="10">
        <f t="shared" ca="1" si="31"/>
        <v>45404.878290046297</v>
      </c>
    </row>
    <row r="455" spans="6:12" x14ac:dyDescent="0.25">
      <c r="F455" s="11" t="str">
        <f>IF(ISBLANK(D455),"",(VLOOKUP(D455,Cardápio!$A$2:$B$16,2,0))*E455)</f>
        <v/>
      </c>
      <c r="H455" s="7" t="str">
        <f t="shared" si="28"/>
        <v/>
      </c>
      <c r="I455" s="7" t="str">
        <f>IF(AND(ISBLANK(D455),ISBLANK(C455)),"",((VLOOKUP(D455,Cardápio!$A$2:$C$16,3,0))*E455)+IF(B455="iFood",F455*0.27,(VLOOKUP(VENDAS!C455,Bairros!$A$2:$B$90,2,0))))</f>
        <v/>
      </c>
      <c r="J455" s="7" t="str">
        <f t="shared" si="29"/>
        <v/>
      </c>
      <c r="K455" s="9">
        <f t="shared" ca="1" si="30"/>
        <v>45404.878290046297</v>
      </c>
      <c r="L455" s="10">
        <f t="shared" ca="1" si="31"/>
        <v>45404.878290046297</v>
      </c>
    </row>
    <row r="456" spans="6:12" x14ac:dyDescent="0.25">
      <c r="F456" s="11" t="str">
        <f>IF(ISBLANK(D456),"",(VLOOKUP(D456,Cardápio!$A$2:$B$16,2,0))*E456)</f>
        <v/>
      </c>
      <c r="H456" s="7" t="str">
        <f t="shared" si="28"/>
        <v/>
      </c>
      <c r="I456" s="7" t="str">
        <f>IF(AND(ISBLANK(D456),ISBLANK(C456)),"",((VLOOKUP(D456,Cardápio!$A$2:$C$16,3,0))*E456)+IF(B456="iFood",F456*0.27,(VLOOKUP(VENDAS!C456,Bairros!$A$2:$B$90,2,0))))</f>
        <v/>
      </c>
      <c r="J456" s="7" t="str">
        <f t="shared" si="29"/>
        <v/>
      </c>
      <c r="K456" s="9">
        <f t="shared" ca="1" si="30"/>
        <v>45404.878290046297</v>
      </c>
      <c r="L456" s="10">
        <f t="shared" ca="1" si="31"/>
        <v>45404.878290046297</v>
      </c>
    </row>
    <row r="457" spans="6:12" x14ac:dyDescent="0.25">
      <c r="F457" s="11" t="str">
        <f>IF(ISBLANK(D457),"",(VLOOKUP(D457,Cardápio!$A$2:$B$16,2,0))*E457)</f>
        <v/>
      </c>
      <c r="H457" s="7" t="str">
        <f t="shared" si="28"/>
        <v/>
      </c>
      <c r="I457" s="7" t="str">
        <f>IF(AND(ISBLANK(D457),ISBLANK(C457)),"",((VLOOKUP(D457,Cardápio!$A$2:$C$16,3,0))*E457)+IF(B457="iFood",F457*0.27,(VLOOKUP(VENDAS!C457,Bairros!$A$2:$B$90,2,0))))</f>
        <v/>
      </c>
      <c r="J457" s="7" t="str">
        <f t="shared" si="29"/>
        <v/>
      </c>
      <c r="K457" s="9">
        <f t="shared" ca="1" si="30"/>
        <v>45404.878290162036</v>
      </c>
      <c r="L457" s="10">
        <f t="shared" ca="1" si="31"/>
        <v>45404.878290046297</v>
      </c>
    </row>
    <row r="458" spans="6:12" x14ac:dyDescent="0.25">
      <c r="F458" s="11" t="str">
        <f>IF(ISBLANK(D458),"",(VLOOKUP(D458,Cardápio!$A$2:$B$16,2,0))*E458)</f>
        <v/>
      </c>
      <c r="H458" s="7" t="str">
        <f t="shared" si="28"/>
        <v/>
      </c>
      <c r="I458" s="7" t="str">
        <f>IF(AND(ISBLANK(D458),ISBLANK(C458)),"",((VLOOKUP(D458,Cardápio!$A$2:$C$16,3,0))*E458)+IF(B458="iFood",F458*0.27,(VLOOKUP(VENDAS!C458,Bairros!$A$2:$B$90,2,0))))</f>
        <v/>
      </c>
      <c r="J458" s="7" t="str">
        <f t="shared" si="29"/>
        <v/>
      </c>
      <c r="K458" s="9">
        <f t="shared" ca="1" si="30"/>
        <v>45404.878290046297</v>
      </c>
      <c r="L458" s="10">
        <f t="shared" ca="1" si="31"/>
        <v>45404.878290046297</v>
      </c>
    </row>
    <row r="459" spans="6:12" x14ac:dyDescent="0.25">
      <c r="F459" s="11" t="str">
        <f>IF(ISBLANK(D459),"",(VLOOKUP(D459,Cardápio!$A$2:$B$16,2,0))*E459)</f>
        <v/>
      </c>
      <c r="H459" s="7" t="str">
        <f t="shared" si="28"/>
        <v/>
      </c>
      <c r="I459" s="7" t="str">
        <f>IF(AND(ISBLANK(D459),ISBLANK(C459)),"",((VLOOKUP(D459,Cardápio!$A$2:$C$16,3,0))*E459)+IF(B459="iFood",F459*0.27,(VLOOKUP(VENDAS!C459,Bairros!$A$2:$B$90,2,0))))</f>
        <v/>
      </c>
      <c r="J459" s="7" t="str">
        <f t="shared" si="29"/>
        <v/>
      </c>
      <c r="K459" s="9">
        <f t="shared" ca="1" si="30"/>
        <v>45404.878290046297</v>
      </c>
      <c r="L459" s="10">
        <f t="shared" ca="1" si="31"/>
        <v>45404.878290046297</v>
      </c>
    </row>
    <row r="460" spans="6:12" x14ac:dyDescent="0.25">
      <c r="F460" s="11" t="str">
        <f>IF(ISBLANK(D460),"",(VLOOKUP(D460,Cardápio!$A$2:$B$16,2,0))*E460)</f>
        <v/>
      </c>
      <c r="H460" s="7" t="str">
        <f t="shared" si="28"/>
        <v/>
      </c>
      <c r="I460" s="7" t="str">
        <f>IF(AND(ISBLANK(D460),ISBLANK(C460)),"",((VLOOKUP(D460,Cardápio!$A$2:$C$16,3,0))*E460)+IF(B460="iFood",F460*0.27,(VLOOKUP(VENDAS!C460,Bairros!$A$2:$B$90,2,0))))</f>
        <v/>
      </c>
      <c r="J460" s="7" t="str">
        <f t="shared" si="29"/>
        <v/>
      </c>
      <c r="K460" s="9">
        <f t="shared" ca="1" si="30"/>
        <v>45404.878290046297</v>
      </c>
      <c r="L460" s="10">
        <f t="shared" ca="1" si="31"/>
        <v>45404.878290046297</v>
      </c>
    </row>
    <row r="461" spans="6:12" x14ac:dyDescent="0.25">
      <c r="F461" s="11" t="str">
        <f>IF(ISBLANK(D461),"",(VLOOKUP(D461,Cardápio!$A$2:$B$16,2,0))*E461)</f>
        <v/>
      </c>
      <c r="H461" s="7" t="str">
        <f t="shared" si="28"/>
        <v/>
      </c>
      <c r="I461" s="7" t="str">
        <f>IF(AND(ISBLANK(D461),ISBLANK(C461)),"",((VLOOKUP(D461,Cardápio!$A$2:$C$16,3,0))*E461)+IF(B461="iFood",F461*0.27,(VLOOKUP(VENDAS!C461,Bairros!$A$2:$B$90,2,0))))</f>
        <v/>
      </c>
      <c r="J461" s="7" t="str">
        <f t="shared" si="29"/>
        <v/>
      </c>
      <c r="K461" s="9">
        <f t="shared" ca="1" si="30"/>
        <v>45404.878290162036</v>
      </c>
      <c r="L461" s="10">
        <f t="shared" ca="1" si="31"/>
        <v>45404.878290046297</v>
      </c>
    </row>
    <row r="462" spans="6:12" x14ac:dyDescent="0.25">
      <c r="F462" s="11" t="str">
        <f>IF(ISBLANK(D462),"",(VLOOKUP(D462,Cardápio!$A$2:$B$16,2,0))*E462)</f>
        <v/>
      </c>
      <c r="H462" s="7" t="str">
        <f t="shared" si="28"/>
        <v/>
      </c>
      <c r="I462" s="7" t="str">
        <f>IF(AND(ISBLANK(D462),ISBLANK(C462)),"",((VLOOKUP(D462,Cardápio!$A$2:$C$16,3,0))*E462)+IF(B462="iFood",F462*0.27,(VLOOKUP(VENDAS!C462,Bairros!$A$2:$B$90,2,0))))</f>
        <v/>
      </c>
      <c r="J462" s="7" t="str">
        <f t="shared" si="29"/>
        <v/>
      </c>
      <c r="K462" s="9">
        <f t="shared" ca="1" si="30"/>
        <v>45404.878290046297</v>
      </c>
      <c r="L462" s="10">
        <f t="shared" ca="1" si="31"/>
        <v>45404.878290046297</v>
      </c>
    </row>
    <row r="463" spans="6:12" x14ac:dyDescent="0.25">
      <c r="F463" s="11" t="str">
        <f>IF(ISBLANK(D463),"",(VLOOKUP(D463,Cardápio!$A$2:$B$16,2,0))*E463)</f>
        <v/>
      </c>
      <c r="H463" s="7" t="str">
        <f t="shared" si="28"/>
        <v/>
      </c>
      <c r="I463" s="7" t="str">
        <f>IF(AND(ISBLANK(D463),ISBLANK(C463)),"",((VLOOKUP(D463,Cardápio!$A$2:$C$16,3,0))*E463)+IF(B463="iFood",F463*0.27,(VLOOKUP(VENDAS!C463,Bairros!$A$2:$B$90,2,0))))</f>
        <v/>
      </c>
      <c r="J463" s="7" t="str">
        <f t="shared" si="29"/>
        <v/>
      </c>
      <c r="K463" s="9">
        <f t="shared" ca="1" si="30"/>
        <v>45404.878290046297</v>
      </c>
      <c r="L463" s="10">
        <f t="shared" ca="1" si="31"/>
        <v>45404.878290046297</v>
      </c>
    </row>
    <row r="464" spans="6:12" x14ac:dyDescent="0.25">
      <c r="F464" s="11" t="str">
        <f>IF(ISBLANK(D464),"",(VLOOKUP(D464,Cardápio!$A$2:$B$16,2,0))*E464)</f>
        <v/>
      </c>
      <c r="H464" s="7" t="str">
        <f t="shared" si="28"/>
        <v/>
      </c>
      <c r="I464" s="7" t="str">
        <f>IF(AND(ISBLANK(D464),ISBLANK(C464)),"",((VLOOKUP(D464,Cardápio!$A$2:$C$16,3,0))*E464)+IF(B464="iFood",F464*0.27,(VLOOKUP(VENDAS!C464,Bairros!$A$2:$B$90,2,0))))</f>
        <v/>
      </c>
      <c r="J464" s="7" t="str">
        <f t="shared" si="29"/>
        <v/>
      </c>
      <c r="K464" s="9">
        <f t="shared" ca="1" si="30"/>
        <v>45404.878290046297</v>
      </c>
      <c r="L464" s="10">
        <f t="shared" ca="1" si="31"/>
        <v>45404.878290046297</v>
      </c>
    </row>
    <row r="465" spans="6:12" x14ac:dyDescent="0.25">
      <c r="F465" s="11" t="str">
        <f>IF(ISBLANK(D465),"",(VLOOKUP(D465,Cardápio!$A$2:$B$16,2,0))*E465)</f>
        <v/>
      </c>
      <c r="H465" s="7" t="str">
        <f t="shared" si="28"/>
        <v/>
      </c>
      <c r="I465" s="7" t="str">
        <f>IF(AND(ISBLANK(D465),ISBLANK(C465)),"",((VLOOKUP(D465,Cardápio!$A$2:$C$16,3,0))*E465)+IF(B465="iFood",F465*0.27,(VLOOKUP(VENDAS!C465,Bairros!$A$2:$B$90,2,0))))</f>
        <v/>
      </c>
      <c r="J465" s="7" t="str">
        <f t="shared" si="29"/>
        <v/>
      </c>
      <c r="K465" s="9">
        <f t="shared" ca="1" si="30"/>
        <v>45404.878290162036</v>
      </c>
      <c r="L465" s="10">
        <f t="shared" ca="1" si="31"/>
        <v>45404.878290046297</v>
      </c>
    </row>
    <row r="466" spans="6:12" x14ac:dyDescent="0.25">
      <c r="F466" s="11" t="str">
        <f>IF(ISBLANK(D466),"",(VLOOKUP(D466,Cardápio!$A$2:$B$16,2,0))*E466)</f>
        <v/>
      </c>
      <c r="H466" s="7" t="str">
        <f t="shared" si="28"/>
        <v/>
      </c>
      <c r="I466" s="7" t="str">
        <f>IF(AND(ISBLANK(D466),ISBLANK(C466)),"",((VLOOKUP(D466,Cardápio!$A$2:$C$16,3,0))*E466)+IF(B466="iFood",F466*0.27,(VLOOKUP(VENDAS!C466,Bairros!$A$2:$B$90,2,0))))</f>
        <v/>
      </c>
      <c r="J466" s="7" t="str">
        <f t="shared" si="29"/>
        <v/>
      </c>
      <c r="K466" s="9">
        <f t="shared" ca="1" si="30"/>
        <v>45404.878290046297</v>
      </c>
      <c r="L466" s="10">
        <f t="shared" ca="1" si="31"/>
        <v>45404.878290046297</v>
      </c>
    </row>
    <row r="467" spans="6:12" x14ac:dyDescent="0.25">
      <c r="F467" s="11" t="str">
        <f>IF(ISBLANK(D467),"",(VLOOKUP(D467,Cardápio!$A$2:$B$16,2,0))*E467)</f>
        <v/>
      </c>
      <c r="H467" s="7" t="str">
        <f t="shared" si="28"/>
        <v/>
      </c>
      <c r="I467" s="7" t="str">
        <f>IF(AND(ISBLANK(D467),ISBLANK(C467)),"",((VLOOKUP(D467,Cardápio!$A$2:$C$16,3,0))*E467)+IF(B467="iFood",F467*0.27,(VLOOKUP(VENDAS!C467,Bairros!$A$2:$B$90,2,0))))</f>
        <v/>
      </c>
      <c r="J467" s="7" t="str">
        <f t="shared" si="29"/>
        <v/>
      </c>
      <c r="K467" s="9">
        <f t="shared" ca="1" si="30"/>
        <v>45404.878290046297</v>
      </c>
      <c r="L467" s="10">
        <f t="shared" ca="1" si="31"/>
        <v>45404.878290046297</v>
      </c>
    </row>
    <row r="468" spans="6:12" x14ac:dyDescent="0.25">
      <c r="F468" s="11" t="str">
        <f>IF(ISBLANK(D468),"",(VLOOKUP(D468,Cardápio!$A$2:$B$16,2,0))*E468)</f>
        <v/>
      </c>
      <c r="H468" s="7" t="str">
        <f t="shared" si="28"/>
        <v/>
      </c>
      <c r="I468" s="7" t="str">
        <f>IF(AND(ISBLANK(D468),ISBLANK(C468)),"",((VLOOKUP(D468,Cardápio!$A$2:$C$16,3,0))*E468)+IF(B468="iFood",F468*0.27,(VLOOKUP(VENDAS!C468,Bairros!$A$2:$B$90,2,0))))</f>
        <v/>
      </c>
      <c r="J468" s="7" t="str">
        <f t="shared" si="29"/>
        <v/>
      </c>
      <c r="K468" s="9">
        <f t="shared" ca="1" si="30"/>
        <v>45404.878290046297</v>
      </c>
      <c r="L468" s="10">
        <f t="shared" ca="1" si="31"/>
        <v>45404.878290046297</v>
      </c>
    </row>
    <row r="469" spans="6:12" x14ac:dyDescent="0.25">
      <c r="F469" s="11" t="str">
        <f>IF(ISBLANK(D469),"",(VLOOKUP(D469,Cardápio!$A$2:$B$16,2,0))*E469)</f>
        <v/>
      </c>
      <c r="H469" s="7" t="str">
        <f t="shared" si="28"/>
        <v/>
      </c>
      <c r="I469" s="7" t="str">
        <f>IF(AND(ISBLANK(D469),ISBLANK(C469)),"",((VLOOKUP(D469,Cardápio!$A$2:$C$16,3,0))*E469)+IF(B469="iFood",F469*0.27,(VLOOKUP(VENDAS!C469,Bairros!$A$2:$B$90,2,0))))</f>
        <v/>
      </c>
      <c r="J469" s="7" t="str">
        <f t="shared" si="29"/>
        <v/>
      </c>
      <c r="K469" s="9">
        <f t="shared" ca="1" si="30"/>
        <v>45404.878290162036</v>
      </c>
      <c r="L469" s="10">
        <f t="shared" ca="1" si="31"/>
        <v>45404.878290046297</v>
      </c>
    </row>
    <row r="470" spans="6:12" x14ac:dyDescent="0.25">
      <c r="F470" s="11" t="str">
        <f>IF(ISBLANK(D470),"",(VLOOKUP(D470,Cardápio!$A$2:$B$16,2,0))*E470)</f>
        <v/>
      </c>
      <c r="H470" s="7" t="str">
        <f t="shared" si="28"/>
        <v/>
      </c>
      <c r="I470" s="7" t="str">
        <f>IF(AND(ISBLANK(D470),ISBLANK(C470)),"",((VLOOKUP(D470,Cardápio!$A$2:$C$16,3,0))*E470)+IF(B470="iFood",F470*0.27,(VLOOKUP(VENDAS!C470,Bairros!$A$2:$B$90,2,0))))</f>
        <v/>
      </c>
      <c r="J470" s="7" t="str">
        <f t="shared" si="29"/>
        <v/>
      </c>
      <c r="K470" s="9">
        <f t="shared" ca="1" si="30"/>
        <v>45404.878290046297</v>
      </c>
      <c r="L470" s="10">
        <f t="shared" ca="1" si="31"/>
        <v>45404.878290046297</v>
      </c>
    </row>
    <row r="471" spans="6:12" x14ac:dyDescent="0.25">
      <c r="F471" s="11" t="str">
        <f>IF(ISBLANK(D471),"",(VLOOKUP(D471,Cardápio!$A$2:$B$16,2,0))*E471)</f>
        <v/>
      </c>
      <c r="H471" s="7" t="str">
        <f t="shared" si="28"/>
        <v/>
      </c>
      <c r="I471" s="7" t="str">
        <f>IF(AND(ISBLANK(D471),ISBLANK(C471)),"",((VLOOKUP(D471,Cardápio!$A$2:$C$16,3,0))*E471)+IF(B471="iFood",F471*0.27,(VLOOKUP(VENDAS!C471,Bairros!$A$2:$B$90,2,0))))</f>
        <v/>
      </c>
      <c r="J471" s="7" t="str">
        <f t="shared" si="29"/>
        <v/>
      </c>
      <c r="K471" s="9">
        <f t="shared" ca="1" si="30"/>
        <v>45404.878290046297</v>
      </c>
      <c r="L471" s="10">
        <f t="shared" ca="1" si="31"/>
        <v>45404.878290046297</v>
      </c>
    </row>
    <row r="472" spans="6:12" x14ac:dyDescent="0.25">
      <c r="F472" s="11" t="str">
        <f>IF(ISBLANK(D472),"",(VLOOKUP(D472,Cardápio!$A$2:$B$16,2,0))*E472)</f>
        <v/>
      </c>
      <c r="H472" s="7" t="str">
        <f t="shared" si="28"/>
        <v/>
      </c>
      <c r="I472" s="7" t="str">
        <f>IF(AND(ISBLANK(D472),ISBLANK(C472)),"",((VLOOKUP(D472,Cardápio!$A$2:$C$16,3,0))*E472)+IF(B472="iFood",F472*0.27,(VLOOKUP(VENDAS!C472,Bairros!$A$2:$B$90,2,0))))</f>
        <v/>
      </c>
      <c r="J472" s="7" t="str">
        <f t="shared" si="29"/>
        <v/>
      </c>
      <c r="K472" s="9">
        <f t="shared" ca="1" si="30"/>
        <v>45404.878290046297</v>
      </c>
      <c r="L472" s="10">
        <f t="shared" ca="1" si="31"/>
        <v>45404.878290046297</v>
      </c>
    </row>
    <row r="473" spans="6:12" x14ac:dyDescent="0.25">
      <c r="F473" s="11" t="str">
        <f>IF(ISBLANK(D473),"",(VLOOKUP(D473,Cardápio!$A$2:$B$16,2,0))*E473)</f>
        <v/>
      </c>
      <c r="H473" s="7" t="str">
        <f t="shared" si="28"/>
        <v/>
      </c>
      <c r="I473" s="7" t="str">
        <f>IF(AND(ISBLANK(D473),ISBLANK(C473)),"",((VLOOKUP(D473,Cardápio!$A$2:$C$16,3,0))*E473)+IF(B473="iFood",F473*0.27,(VLOOKUP(VENDAS!C473,Bairros!$A$2:$B$90,2,0))))</f>
        <v/>
      </c>
      <c r="J473" s="7" t="str">
        <f t="shared" si="29"/>
        <v/>
      </c>
      <c r="K473" s="9">
        <f t="shared" ca="1" si="30"/>
        <v>45404.878290162036</v>
      </c>
      <c r="L473" s="10">
        <f t="shared" ca="1" si="31"/>
        <v>45404.878290046297</v>
      </c>
    </row>
    <row r="474" spans="6:12" x14ac:dyDescent="0.25">
      <c r="F474" s="11" t="str">
        <f>IF(ISBLANK(D474),"",(VLOOKUP(D474,Cardápio!$A$2:$B$16,2,0))*E474)</f>
        <v/>
      </c>
      <c r="H474" s="7" t="str">
        <f t="shared" si="28"/>
        <v/>
      </c>
      <c r="I474" s="7" t="str">
        <f>IF(AND(ISBLANK(D474),ISBLANK(C474)),"",((VLOOKUP(D474,Cardápio!$A$2:$C$16,3,0))*E474)+IF(B474="iFood",F474*0.27,(VLOOKUP(VENDAS!C474,Bairros!$A$2:$B$90,2,0))))</f>
        <v/>
      </c>
      <c r="J474" s="7" t="str">
        <f t="shared" si="29"/>
        <v/>
      </c>
      <c r="K474" s="9">
        <f t="shared" ca="1" si="30"/>
        <v>45404.878290046297</v>
      </c>
      <c r="L474" s="10">
        <f t="shared" ca="1" si="31"/>
        <v>45404.878290046297</v>
      </c>
    </row>
    <row r="475" spans="6:12" x14ac:dyDescent="0.25">
      <c r="F475" s="11" t="str">
        <f>IF(ISBLANK(D475),"",(VLOOKUP(D475,Cardápio!$A$2:$B$16,2,0))*E475)</f>
        <v/>
      </c>
      <c r="H475" s="7" t="str">
        <f t="shared" si="28"/>
        <v/>
      </c>
      <c r="I475" s="7" t="str">
        <f>IF(AND(ISBLANK(D475),ISBLANK(C475)),"",((VLOOKUP(D475,Cardápio!$A$2:$C$16,3,0))*E475)+IF(B475="iFood",F475*0.27,(VLOOKUP(VENDAS!C475,Bairros!$A$2:$B$90,2,0))))</f>
        <v/>
      </c>
      <c r="J475" s="7" t="str">
        <f t="shared" si="29"/>
        <v/>
      </c>
      <c r="K475" s="9">
        <f t="shared" ca="1" si="30"/>
        <v>45404.878290046297</v>
      </c>
      <c r="L475" s="10">
        <f t="shared" ca="1" si="31"/>
        <v>45404.878290046297</v>
      </c>
    </row>
    <row r="476" spans="6:12" x14ac:dyDescent="0.25">
      <c r="F476" s="11" t="str">
        <f>IF(ISBLANK(D476),"",(VLOOKUP(D476,Cardápio!$A$2:$B$16,2,0))*E476)</f>
        <v/>
      </c>
      <c r="H476" s="7" t="str">
        <f t="shared" si="28"/>
        <v/>
      </c>
      <c r="I476" s="7" t="str">
        <f>IF(AND(ISBLANK(D476),ISBLANK(C476)),"",((VLOOKUP(D476,Cardápio!$A$2:$C$16,3,0))*E476)+IF(B476="iFood",F476*0.27,(VLOOKUP(VENDAS!C476,Bairros!$A$2:$B$90,2,0))))</f>
        <v/>
      </c>
      <c r="J476" s="7" t="str">
        <f t="shared" si="29"/>
        <v/>
      </c>
      <c r="K476" s="9">
        <f t="shared" ca="1" si="30"/>
        <v>45404.878290046297</v>
      </c>
      <c r="L476" s="10">
        <f t="shared" ca="1" si="31"/>
        <v>45404.878290046297</v>
      </c>
    </row>
    <row r="477" spans="6:12" x14ac:dyDescent="0.25">
      <c r="F477" s="11" t="str">
        <f>IF(ISBLANK(D477),"",(VLOOKUP(D477,Cardápio!$A$2:$B$16,2,0))*E477)</f>
        <v/>
      </c>
      <c r="H477" s="7" t="str">
        <f t="shared" si="28"/>
        <v/>
      </c>
      <c r="I477" s="7" t="str">
        <f>IF(AND(ISBLANK(D477),ISBLANK(C477)),"",((VLOOKUP(D477,Cardápio!$A$2:$C$16,3,0))*E477)+IF(B477="iFood",F477*0.27,(VLOOKUP(VENDAS!C477,Bairros!$A$2:$B$90,2,0))))</f>
        <v/>
      </c>
      <c r="J477" s="7" t="str">
        <f t="shared" si="29"/>
        <v/>
      </c>
      <c r="K477" s="9">
        <f t="shared" ca="1" si="30"/>
        <v>45404.878290162036</v>
      </c>
      <c r="L477" s="10">
        <f t="shared" ca="1" si="31"/>
        <v>45404.878290046297</v>
      </c>
    </row>
    <row r="478" spans="6:12" x14ac:dyDescent="0.25">
      <c r="F478" s="11" t="str">
        <f>IF(ISBLANK(D478),"",(VLOOKUP(D478,Cardápio!$A$2:$B$16,2,0))*E478)</f>
        <v/>
      </c>
      <c r="H478" s="7" t="str">
        <f t="shared" si="28"/>
        <v/>
      </c>
      <c r="I478" s="7" t="str">
        <f>IF(AND(ISBLANK(D478),ISBLANK(C478)),"",((VLOOKUP(D478,Cardápio!$A$2:$C$16,3,0))*E478)+IF(B478="iFood",F478*0.27,(VLOOKUP(VENDAS!C478,Bairros!$A$2:$B$90,2,0))))</f>
        <v/>
      </c>
      <c r="J478" s="7" t="str">
        <f t="shared" si="29"/>
        <v/>
      </c>
      <c r="K478" s="9">
        <f t="shared" ca="1" si="30"/>
        <v>45404.878290046297</v>
      </c>
      <c r="L478" s="10">
        <f t="shared" ca="1" si="31"/>
        <v>45404.878290046297</v>
      </c>
    </row>
    <row r="479" spans="6:12" x14ac:dyDescent="0.25">
      <c r="F479" s="11" t="str">
        <f>IF(ISBLANK(D479),"",(VLOOKUP(D479,Cardápio!$A$2:$B$16,2,0))*E479)</f>
        <v/>
      </c>
      <c r="H479" s="7" t="str">
        <f t="shared" si="28"/>
        <v/>
      </c>
      <c r="I479" s="7" t="str">
        <f>IF(AND(ISBLANK(D479),ISBLANK(C479)),"",((VLOOKUP(D479,Cardápio!$A$2:$C$16,3,0))*E479)+IF(B479="iFood",F479*0.27,(VLOOKUP(VENDAS!C479,Bairros!$A$2:$B$90,2,0))))</f>
        <v/>
      </c>
      <c r="J479" s="7" t="str">
        <f t="shared" si="29"/>
        <v/>
      </c>
      <c r="K479" s="9">
        <f t="shared" ca="1" si="30"/>
        <v>45404.878290046297</v>
      </c>
      <c r="L479" s="10">
        <f t="shared" ca="1" si="31"/>
        <v>45404.878290046297</v>
      </c>
    </row>
    <row r="480" spans="6:12" x14ac:dyDescent="0.25">
      <c r="F480" s="11" t="str">
        <f>IF(ISBLANK(D480),"",(VLOOKUP(D480,Cardápio!$A$2:$B$16,2,0))*E480)</f>
        <v/>
      </c>
      <c r="H480" s="7" t="str">
        <f t="shared" si="28"/>
        <v/>
      </c>
      <c r="I480" s="7" t="str">
        <f>IF(AND(ISBLANK(D480),ISBLANK(C480)),"",((VLOOKUP(D480,Cardápio!$A$2:$C$16,3,0))*E480)+IF(B480="iFood",F480*0.27,(VLOOKUP(VENDAS!C480,Bairros!$A$2:$B$90,2,0))))</f>
        <v/>
      </c>
      <c r="J480" s="7" t="str">
        <f t="shared" si="29"/>
        <v/>
      </c>
      <c r="K480" s="9">
        <f t="shared" ca="1" si="30"/>
        <v>45404.878290046297</v>
      </c>
      <c r="L480" s="10">
        <f t="shared" ca="1" si="31"/>
        <v>45404.878290046297</v>
      </c>
    </row>
    <row r="481" spans="6:12" x14ac:dyDescent="0.25">
      <c r="F481" s="11" t="str">
        <f>IF(ISBLANK(D481),"",(VLOOKUP(D481,Cardápio!$A$2:$B$16,2,0))*E481)</f>
        <v/>
      </c>
      <c r="H481" s="7" t="str">
        <f t="shared" si="28"/>
        <v/>
      </c>
      <c r="I481" s="7" t="str">
        <f>IF(AND(ISBLANK(D481),ISBLANK(C481)),"",((VLOOKUP(D481,Cardápio!$A$2:$C$16,3,0))*E481)+IF(B481="iFood",F481*0.27,(VLOOKUP(VENDAS!C481,Bairros!$A$2:$B$90,2,0))))</f>
        <v/>
      </c>
      <c r="J481" s="7" t="str">
        <f t="shared" si="29"/>
        <v/>
      </c>
      <c r="K481" s="9">
        <f t="shared" ca="1" si="30"/>
        <v>45404.878290162036</v>
      </c>
      <c r="L481" s="10">
        <f t="shared" ca="1" si="31"/>
        <v>45404.878290046297</v>
      </c>
    </row>
    <row r="482" spans="6:12" x14ac:dyDescent="0.25">
      <c r="F482" s="11" t="str">
        <f>IF(ISBLANK(D482),"",(VLOOKUP(D482,Cardápio!$A$2:$B$16,2,0))*E482)</f>
        <v/>
      </c>
      <c r="H482" s="7" t="str">
        <f t="shared" si="28"/>
        <v/>
      </c>
      <c r="I482" s="7" t="str">
        <f>IF(AND(ISBLANK(D482),ISBLANK(C482)),"",((VLOOKUP(D482,Cardápio!$A$2:$C$16,3,0))*E482)+IF(B482="iFood",F482*0.27,(VLOOKUP(VENDAS!C482,Bairros!$A$2:$B$90,2,0))))</f>
        <v/>
      </c>
      <c r="J482" s="7" t="str">
        <f t="shared" si="29"/>
        <v/>
      </c>
      <c r="K482" s="9">
        <f t="shared" ca="1" si="30"/>
        <v>45404.878290046297</v>
      </c>
      <c r="L482" s="10">
        <f t="shared" ca="1" si="31"/>
        <v>45404.878290046297</v>
      </c>
    </row>
    <row r="483" spans="6:12" x14ac:dyDescent="0.25">
      <c r="F483" s="11" t="str">
        <f>IF(ISBLANK(D483),"",(VLOOKUP(D483,Cardápio!$A$2:$B$16,2,0))*E483)</f>
        <v/>
      </c>
      <c r="H483" s="7" t="str">
        <f t="shared" si="28"/>
        <v/>
      </c>
      <c r="I483" s="7" t="str">
        <f>IF(AND(ISBLANK(D483),ISBLANK(C483)),"",((VLOOKUP(D483,Cardápio!$A$2:$C$16,3,0))*E483)+IF(B483="iFood",F483*0.27,(VLOOKUP(VENDAS!C483,Bairros!$A$2:$B$90,2,0))))</f>
        <v/>
      </c>
      <c r="J483" s="7" t="str">
        <f t="shared" si="29"/>
        <v/>
      </c>
      <c r="K483" s="9">
        <f t="shared" ca="1" si="30"/>
        <v>45404.878290046297</v>
      </c>
      <c r="L483" s="10">
        <f t="shared" ca="1" si="31"/>
        <v>45404.878290046297</v>
      </c>
    </row>
    <row r="484" spans="6:12" x14ac:dyDescent="0.25">
      <c r="F484" s="11" t="str">
        <f>IF(ISBLANK(D484),"",(VLOOKUP(D484,Cardápio!$A$2:$B$16,2,0))*E484)</f>
        <v/>
      </c>
      <c r="H484" s="7" t="str">
        <f t="shared" si="28"/>
        <v/>
      </c>
      <c r="I484" s="7" t="str">
        <f>IF(AND(ISBLANK(D484),ISBLANK(C484)),"",((VLOOKUP(D484,Cardápio!$A$2:$C$16,3,0))*E484)+IF(B484="iFood",F484*0.27,(VLOOKUP(VENDAS!C484,Bairros!$A$2:$B$90,2,0))))</f>
        <v/>
      </c>
      <c r="J484" s="7" t="str">
        <f t="shared" si="29"/>
        <v/>
      </c>
      <c r="K484" s="9">
        <f t="shared" ca="1" si="30"/>
        <v>45404.878290046297</v>
      </c>
      <c r="L484" s="10">
        <f t="shared" ca="1" si="31"/>
        <v>45404.878290046297</v>
      </c>
    </row>
    <row r="485" spans="6:12" x14ac:dyDescent="0.25">
      <c r="F485" s="11" t="str">
        <f>IF(ISBLANK(D485),"",(VLOOKUP(D485,Cardápio!$A$2:$B$16,2,0))*E485)</f>
        <v/>
      </c>
      <c r="H485" s="7" t="str">
        <f t="shared" si="28"/>
        <v/>
      </c>
      <c r="I485" s="7" t="str">
        <f>IF(AND(ISBLANK(D485),ISBLANK(C485)),"",((VLOOKUP(D485,Cardápio!$A$2:$C$16,3,0))*E485)+IF(B485="iFood",F485*0.27,(VLOOKUP(VENDAS!C485,Bairros!$A$2:$B$90,2,0))))</f>
        <v/>
      </c>
      <c r="J485" s="7" t="str">
        <f t="shared" si="29"/>
        <v/>
      </c>
      <c r="K485" s="9">
        <f t="shared" ca="1" si="30"/>
        <v>45404.878290162036</v>
      </c>
      <c r="L485" s="10">
        <f t="shared" ca="1" si="31"/>
        <v>45404.878290046297</v>
      </c>
    </row>
    <row r="486" spans="6:12" x14ac:dyDescent="0.25">
      <c r="F486" s="11" t="str">
        <f>IF(ISBLANK(D486),"",(VLOOKUP(D486,Cardápio!$A$2:$B$16,2,0))*E486)</f>
        <v/>
      </c>
      <c r="H486" s="7" t="str">
        <f t="shared" si="28"/>
        <v/>
      </c>
      <c r="I486" s="7" t="str">
        <f>IF(AND(ISBLANK(D486),ISBLANK(C486)),"",((VLOOKUP(D486,Cardápio!$A$2:$C$16,3,0))*E486)+IF(B486="iFood",F486*0.27,(VLOOKUP(VENDAS!C486,Bairros!$A$2:$B$90,2,0))))</f>
        <v/>
      </c>
      <c r="J486" s="7" t="str">
        <f t="shared" si="29"/>
        <v/>
      </c>
      <c r="K486" s="9">
        <f t="shared" ca="1" si="30"/>
        <v>45404.878290046297</v>
      </c>
      <c r="L486" s="10">
        <f t="shared" ca="1" si="31"/>
        <v>45404.878290046297</v>
      </c>
    </row>
    <row r="487" spans="6:12" x14ac:dyDescent="0.25">
      <c r="F487" s="11" t="str">
        <f>IF(ISBLANK(D487),"",(VLOOKUP(D487,Cardápio!$A$2:$B$16,2,0))*E487)</f>
        <v/>
      </c>
      <c r="H487" s="7" t="str">
        <f t="shared" si="28"/>
        <v/>
      </c>
      <c r="I487" s="7" t="str">
        <f>IF(AND(ISBLANK(D487),ISBLANK(C487)),"",((VLOOKUP(D487,Cardápio!$A$2:$C$16,3,0))*E487)+IF(B487="iFood",F487*0.27,(VLOOKUP(VENDAS!C487,Bairros!$A$2:$B$90,2,0))))</f>
        <v/>
      </c>
      <c r="J487" s="7" t="str">
        <f t="shared" si="29"/>
        <v/>
      </c>
      <c r="K487" s="9">
        <f t="shared" ca="1" si="30"/>
        <v>45404.878290046297</v>
      </c>
      <c r="L487" s="10">
        <f t="shared" ca="1" si="31"/>
        <v>45404.878290046297</v>
      </c>
    </row>
    <row r="488" spans="6:12" x14ac:dyDescent="0.25">
      <c r="F488" s="11" t="str">
        <f>IF(ISBLANK(D488),"",(VLOOKUP(D488,Cardápio!$A$2:$B$16,2,0))*E488)</f>
        <v/>
      </c>
      <c r="H488" s="7" t="str">
        <f t="shared" si="28"/>
        <v/>
      </c>
      <c r="I488" s="7" t="str">
        <f>IF(AND(ISBLANK(D488),ISBLANK(C488)),"",((VLOOKUP(D488,Cardápio!$A$2:$C$16,3,0))*E488)+IF(B488="iFood",F488*0.27,(VLOOKUP(VENDAS!C488,Bairros!$A$2:$B$90,2,0))))</f>
        <v/>
      </c>
      <c r="J488" s="7" t="str">
        <f t="shared" si="29"/>
        <v/>
      </c>
      <c r="K488" s="9">
        <f t="shared" ca="1" si="30"/>
        <v>45404.878290046297</v>
      </c>
      <c r="L488" s="10">
        <f t="shared" ca="1" si="31"/>
        <v>45404.878290046297</v>
      </c>
    </row>
    <row r="489" spans="6:12" x14ac:dyDescent="0.25">
      <c r="F489" s="11" t="str">
        <f>IF(ISBLANK(D489),"",(VLOOKUP(D489,Cardápio!$A$2:$B$16,2,0))*E489)</f>
        <v/>
      </c>
      <c r="H489" s="7" t="str">
        <f t="shared" si="28"/>
        <v/>
      </c>
      <c r="I489" s="7" t="str">
        <f>IF(AND(ISBLANK(D489),ISBLANK(C489)),"",((VLOOKUP(D489,Cardápio!$A$2:$C$16,3,0))*E489)+IF(B489="iFood",F489*0.27,(VLOOKUP(VENDAS!C489,Bairros!$A$2:$B$90,2,0))))</f>
        <v/>
      </c>
      <c r="J489" s="7" t="str">
        <f t="shared" si="29"/>
        <v/>
      </c>
      <c r="K489" s="9">
        <f t="shared" ca="1" si="30"/>
        <v>45404.878290162036</v>
      </c>
      <c r="L489" s="10">
        <f t="shared" ca="1" si="31"/>
        <v>45404.878290046297</v>
      </c>
    </row>
    <row r="490" spans="6:12" x14ac:dyDescent="0.25">
      <c r="F490" s="11" t="str">
        <f>IF(ISBLANK(D490),"",(VLOOKUP(D490,Cardápio!$A$2:$B$16,2,0))*E490)</f>
        <v/>
      </c>
      <c r="H490" s="7" t="str">
        <f t="shared" si="28"/>
        <v/>
      </c>
      <c r="I490" s="7" t="str">
        <f>IF(AND(ISBLANK(D490),ISBLANK(C490)),"",((VLOOKUP(D490,Cardápio!$A$2:$C$16,3,0))*E490)+IF(B490="iFood",F490*0.27,(VLOOKUP(VENDAS!C490,Bairros!$A$2:$B$90,2,0))))</f>
        <v/>
      </c>
      <c r="J490" s="7" t="str">
        <f t="shared" si="29"/>
        <v/>
      </c>
      <c r="K490" s="9">
        <f t="shared" ca="1" si="30"/>
        <v>45404.878290046297</v>
      </c>
      <c r="L490" s="10">
        <f t="shared" ca="1" si="31"/>
        <v>45404.878290046297</v>
      </c>
    </row>
    <row r="491" spans="6:12" x14ac:dyDescent="0.25">
      <c r="F491" s="11" t="str">
        <f>IF(ISBLANK(D491),"",(VLOOKUP(D491,Cardápio!$A$2:$B$16,2,0))*E491)</f>
        <v/>
      </c>
      <c r="H491" s="7" t="str">
        <f t="shared" si="28"/>
        <v/>
      </c>
      <c r="I491" s="7" t="str">
        <f>IF(AND(ISBLANK(D491),ISBLANK(C491)),"",((VLOOKUP(D491,Cardápio!$A$2:$C$16,3,0))*E491)+IF(B491="iFood",F491*0.27,(VLOOKUP(VENDAS!C491,Bairros!$A$2:$B$90,2,0))))</f>
        <v/>
      </c>
      <c r="J491" s="7" t="str">
        <f t="shared" si="29"/>
        <v/>
      </c>
      <c r="K491" s="9">
        <f t="shared" ca="1" si="30"/>
        <v>45404.878290046297</v>
      </c>
      <c r="L491" s="10">
        <f t="shared" ca="1" si="31"/>
        <v>45404.878290046297</v>
      </c>
    </row>
    <row r="492" spans="6:12" x14ac:dyDescent="0.25">
      <c r="F492" s="11" t="str">
        <f>IF(ISBLANK(D492),"",(VLOOKUP(D492,Cardápio!$A$2:$B$16,2,0))*E492)</f>
        <v/>
      </c>
      <c r="H492" s="7" t="str">
        <f t="shared" si="28"/>
        <v/>
      </c>
      <c r="I492" s="7" t="str">
        <f>IF(AND(ISBLANK(D492),ISBLANK(C492)),"",((VLOOKUP(D492,Cardápio!$A$2:$C$16,3,0))*E492)+IF(B492="iFood",F492*0.27,(VLOOKUP(VENDAS!C492,Bairros!$A$2:$B$90,2,0))))</f>
        <v/>
      </c>
      <c r="J492" s="7" t="str">
        <f t="shared" si="29"/>
        <v/>
      </c>
      <c r="K492" s="9">
        <f t="shared" ca="1" si="30"/>
        <v>45404.878290046297</v>
      </c>
      <c r="L492" s="10">
        <f t="shared" ca="1" si="31"/>
        <v>45404.878290046297</v>
      </c>
    </row>
    <row r="493" spans="6:12" x14ac:dyDescent="0.25">
      <c r="F493" s="11" t="str">
        <f>IF(ISBLANK(D493),"",(VLOOKUP(D493,Cardápio!$A$2:$B$16,2,0))*E493)</f>
        <v/>
      </c>
      <c r="H493" s="7" t="str">
        <f t="shared" si="28"/>
        <v/>
      </c>
      <c r="I493" s="7" t="str">
        <f>IF(AND(ISBLANK(D493),ISBLANK(C493)),"",((VLOOKUP(D493,Cardápio!$A$2:$C$16,3,0))*E493)+IF(B493="iFood",F493*0.27,(VLOOKUP(VENDAS!C493,Bairros!$A$2:$B$90,2,0))))</f>
        <v/>
      </c>
      <c r="J493" s="7" t="str">
        <f t="shared" si="29"/>
        <v/>
      </c>
      <c r="K493" s="9">
        <f t="shared" ca="1" si="30"/>
        <v>45404.878290162036</v>
      </c>
      <c r="L493" s="10">
        <f t="shared" ca="1" si="31"/>
        <v>45404.878290046297</v>
      </c>
    </row>
    <row r="494" spans="6:12" x14ac:dyDescent="0.25">
      <c r="F494" s="11" t="str">
        <f>IF(ISBLANK(D494),"",(VLOOKUP(D494,Cardápio!$A$2:$B$16,2,0))*E494)</f>
        <v/>
      </c>
      <c r="H494" s="7" t="str">
        <f t="shared" si="28"/>
        <v/>
      </c>
      <c r="I494" s="7" t="str">
        <f>IF(AND(ISBLANK(D494),ISBLANK(C494)),"",((VLOOKUP(D494,Cardápio!$A$2:$C$16,3,0))*E494)+IF(B494="iFood",F494*0.27,(VLOOKUP(VENDAS!C494,Bairros!$A$2:$B$90,2,0))))</f>
        <v/>
      </c>
      <c r="J494" s="7" t="str">
        <f t="shared" si="29"/>
        <v/>
      </c>
      <c r="K494" s="9">
        <f t="shared" ca="1" si="30"/>
        <v>45404.878290046297</v>
      </c>
      <c r="L494" s="10">
        <f t="shared" ca="1" si="31"/>
        <v>45404.878290046297</v>
      </c>
    </row>
    <row r="495" spans="6:12" x14ac:dyDescent="0.25">
      <c r="F495" s="11" t="str">
        <f>IF(ISBLANK(D495),"",(VLOOKUP(D495,Cardápio!$A$2:$B$16,2,0))*E495)</f>
        <v/>
      </c>
      <c r="H495" s="7" t="str">
        <f t="shared" si="28"/>
        <v/>
      </c>
      <c r="I495" s="7" t="str">
        <f>IF(AND(ISBLANK(D495),ISBLANK(C495)),"",((VLOOKUP(D495,Cardápio!$A$2:$C$16,3,0))*E495)+IF(B495="iFood",F495*0.27,(VLOOKUP(VENDAS!C495,Bairros!$A$2:$B$90,2,0))))</f>
        <v/>
      </c>
      <c r="J495" s="7" t="str">
        <f t="shared" si="29"/>
        <v/>
      </c>
      <c r="K495" s="9">
        <f t="shared" ca="1" si="30"/>
        <v>45404.878290046297</v>
      </c>
      <c r="L495" s="10">
        <f t="shared" ca="1" si="31"/>
        <v>45404.878290046297</v>
      </c>
    </row>
    <row r="496" spans="6:12" x14ac:dyDescent="0.25">
      <c r="F496" s="11" t="str">
        <f>IF(ISBLANK(D496),"",(VLOOKUP(D496,Cardápio!$A$2:$B$16,2,0))*E496)</f>
        <v/>
      </c>
      <c r="H496" s="7" t="str">
        <f t="shared" si="28"/>
        <v/>
      </c>
      <c r="I496" s="7" t="str">
        <f>IF(AND(ISBLANK(D496),ISBLANK(C496)),"",((VLOOKUP(D496,Cardápio!$A$2:$C$16,3,0))*E496)+IF(B496="iFood",F496*0.27,(VLOOKUP(VENDAS!C496,Bairros!$A$2:$B$90,2,0))))</f>
        <v/>
      </c>
      <c r="J496" s="7" t="str">
        <f t="shared" si="29"/>
        <v/>
      </c>
      <c r="K496" s="9">
        <f t="shared" ca="1" si="30"/>
        <v>45404.878290046297</v>
      </c>
      <c r="L496" s="10">
        <f t="shared" ca="1" si="31"/>
        <v>45404.878290046297</v>
      </c>
    </row>
    <row r="497" spans="6:12" x14ac:dyDescent="0.25">
      <c r="F497" s="11" t="str">
        <f>IF(ISBLANK(D497),"",(VLOOKUP(D497,Cardápio!$A$2:$B$16,2,0))*E497)</f>
        <v/>
      </c>
      <c r="H497" s="7" t="str">
        <f t="shared" si="28"/>
        <v/>
      </c>
      <c r="I497" s="7" t="str">
        <f>IF(AND(ISBLANK(D497),ISBLANK(C497)),"",((VLOOKUP(D497,Cardápio!$A$2:$C$16,3,0))*E497)+IF(B497="iFood",F497*0.27,(VLOOKUP(VENDAS!C497,Bairros!$A$2:$B$90,2,0))))</f>
        <v/>
      </c>
      <c r="J497" s="7" t="str">
        <f t="shared" si="29"/>
        <v/>
      </c>
      <c r="K497" s="9">
        <f t="shared" ca="1" si="30"/>
        <v>45404.878290162036</v>
      </c>
      <c r="L497" s="10">
        <f t="shared" ca="1" si="31"/>
        <v>45404.878290046297</v>
      </c>
    </row>
    <row r="498" spans="6:12" x14ac:dyDescent="0.25">
      <c r="F498" s="11" t="str">
        <f>IF(ISBLANK(D498),"",(VLOOKUP(D498,Cardápio!$A$2:$B$16,2,0))*E498)</f>
        <v/>
      </c>
      <c r="H498" s="7" t="str">
        <f t="shared" si="28"/>
        <v/>
      </c>
      <c r="I498" s="7" t="str">
        <f>IF(AND(ISBLANK(D498),ISBLANK(C498)),"",((VLOOKUP(D498,Cardápio!$A$2:$C$16,3,0))*E498)+IF(B498="iFood",F498*0.27,(VLOOKUP(VENDAS!C498,Bairros!$A$2:$B$90,2,0))))</f>
        <v/>
      </c>
      <c r="J498" s="7" t="str">
        <f t="shared" si="29"/>
        <v/>
      </c>
      <c r="K498" s="9">
        <f t="shared" ca="1" si="30"/>
        <v>45404.878290046297</v>
      </c>
      <c r="L498" s="10">
        <f t="shared" ca="1" si="31"/>
        <v>45404.878290046297</v>
      </c>
    </row>
    <row r="499" spans="6:12" x14ac:dyDescent="0.25">
      <c r="F499" s="11" t="str">
        <f>IF(ISBLANK(D499),"",(VLOOKUP(D499,Cardápio!$A$2:$B$16,2,0))*E499)</f>
        <v/>
      </c>
      <c r="H499" s="7" t="str">
        <f t="shared" si="28"/>
        <v/>
      </c>
      <c r="I499" s="7" t="str">
        <f>IF(AND(ISBLANK(D499),ISBLANK(C499)),"",((VLOOKUP(D499,Cardápio!$A$2:$C$16,3,0))*E499)+IF(B499="iFood",F499*0.27,(VLOOKUP(VENDAS!C499,Bairros!$A$2:$B$90,2,0))))</f>
        <v/>
      </c>
      <c r="J499" s="7" t="str">
        <f t="shared" si="29"/>
        <v/>
      </c>
      <c r="K499" s="9">
        <f t="shared" ca="1" si="30"/>
        <v>45404.878290046297</v>
      </c>
      <c r="L499" s="10">
        <f t="shared" ca="1" si="31"/>
        <v>45404.878290046297</v>
      </c>
    </row>
    <row r="500" spans="6:12" x14ac:dyDescent="0.25">
      <c r="F500" s="11" t="str">
        <f>IF(ISBLANK(D500),"",(VLOOKUP(D500,Cardápio!$A$2:$B$16,2,0))*E500)</f>
        <v/>
      </c>
      <c r="H500" s="7" t="str">
        <f t="shared" si="28"/>
        <v/>
      </c>
      <c r="I500" s="7" t="str">
        <f>IF(AND(ISBLANK(D500),ISBLANK(C500)),"",((VLOOKUP(D500,Cardápio!$A$2:$C$16,3,0))*E500)+IF(B500="iFood",F500*0.27,(VLOOKUP(VENDAS!C500,Bairros!$A$2:$B$90,2,0))))</f>
        <v/>
      </c>
      <c r="J500" s="7" t="str">
        <f t="shared" si="29"/>
        <v/>
      </c>
      <c r="K500" s="9">
        <f t="shared" ca="1" si="30"/>
        <v>45404.878290046297</v>
      </c>
      <c r="L500" s="10">
        <f t="shared" ca="1" si="31"/>
        <v>45404.878290046297</v>
      </c>
    </row>
    <row r="501" spans="6:12" x14ac:dyDescent="0.25">
      <c r="F501" s="11" t="str">
        <f>IF(ISBLANK(D501),"",(VLOOKUP(D501,Cardápio!$A$2:$B$16,2,0))*E501)</f>
        <v/>
      </c>
      <c r="H501" s="7" t="str">
        <f t="shared" ref="H501:H564" si="32">IF(ISBLANK(D501),"",F501-G501)</f>
        <v/>
      </c>
      <c r="I501" s="7" t="str">
        <f>IF(AND(ISBLANK(D501),ISBLANK(C501)),"",((VLOOKUP(D501,Cardápio!$A$2:$C$16,3,0))*E501)+IF(B501="iFood",F501*0.27,(VLOOKUP(VENDAS!C501,Bairros!$A$2:$B$90,2,0))))</f>
        <v/>
      </c>
      <c r="J501" s="7" t="str">
        <f t="shared" ref="J501:J564" si="33">IF(OR(AND(ISBLANK(H501),ISBLANK(I501)),(AND(H501="",I501=""))),"",H501-I501)</f>
        <v/>
      </c>
      <c r="K501" s="9">
        <f t="shared" ref="K501:K564" ca="1" si="34">IF(D501&lt;&gt;"",K501,NOW())</f>
        <v>45404.878290162036</v>
      </c>
      <c r="L501" s="10">
        <f t="shared" ref="L501:L564" ca="1" si="35">IF(D501&lt;&gt;"",L501,NOW())</f>
        <v>45404.878290046297</v>
      </c>
    </row>
    <row r="502" spans="6:12" x14ac:dyDescent="0.25">
      <c r="F502" s="11" t="str">
        <f>IF(ISBLANK(D502),"",(VLOOKUP(D502,Cardápio!$A$2:$B$16,2,0))*E502)</f>
        <v/>
      </c>
      <c r="H502" s="7" t="str">
        <f t="shared" si="32"/>
        <v/>
      </c>
      <c r="I502" s="7" t="str">
        <f>IF(AND(ISBLANK(D502),ISBLANK(C502)),"",((VLOOKUP(D502,Cardápio!$A$2:$C$16,3,0))*E502)+IF(B502="iFood",F502*0.27,(VLOOKUP(VENDAS!C502,Bairros!$A$2:$B$90,2,0))))</f>
        <v/>
      </c>
      <c r="J502" s="7" t="str">
        <f t="shared" si="33"/>
        <v/>
      </c>
      <c r="K502" s="9">
        <f t="shared" ca="1" si="34"/>
        <v>45404.878290046297</v>
      </c>
      <c r="L502" s="10">
        <f t="shared" ca="1" si="35"/>
        <v>45404.878290046297</v>
      </c>
    </row>
    <row r="503" spans="6:12" x14ac:dyDescent="0.25">
      <c r="F503" s="11" t="str">
        <f>IF(ISBLANK(D503),"",(VLOOKUP(D503,Cardápio!$A$2:$B$16,2,0))*E503)</f>
        <v/>
      </c>
      <c r="H503" s="7" t="str">
        <f t="shared" si="32"/>
        <v/>
      </c>
      <c r="I503" s="7" t="str">
        <f>IF(AND(ISBLANK(D503),ISBLANK(C503)),"",((VLOOKUP(D503,Cardápio!$A$2:$C$16,3,0))*E503)+IF(B503="iFood",F503*0.27,(VLOOKUP(VENDAS!C503,Bairros!$A$2:$B$90,2,0))))</f>
        <v/>
      </c>
      <c r="J503" s="7" t="str">
        <f t="shared" si="33"/>
        <v/>
      </c>
      <c r="K503" s="9">
        <f t="shared" ca="1" si="34"/>
        <v>45404.878290046297</v>
      </c>
      <c r="L503" s="10">
        <f t="shared" ca="1" si="35"/>
        <v>45404.878290046297</v>
      </c>
    </row>
    <row r="504" spans="6:12" x14ac:dyDescent="0.25">
      <c r="F504" s="11" t="str">
        <f>IF(ISBLANK(D504),"",(VLOOKUP(D504,Cardápio!$A$2:$B$16,2,0))*E504)</f>
        <v/>
      </c>
      <c r="H504" s="7" t="str">
        <f t="shared" si="32"/>
        <v/>
      </c>
      <c r="I504" s="7" t="str">
        <f>IF(AND(ISBLANK(D504),ISBLANK(C504)),"",((VLOOKUP(D504,Cardápio!$A$2:$C$16,3,0))*E504)+IF(B504="iFood",F504*0.27,(VLOOKUP(VENDAS!C504,Bairros!$A$2:$B$90,2,0))))</f>
        <v/>
      </c>
      <c r="J504" s="7" t="str">
        <f t="shared" si="33"/>
        <v/>
      </c>
      <c r="K504" s="9">
        <f t="shared" ca="1" si="34"/>
        <v>45404.878290046297</v>
      </c>
      <c r="L504" s="10">
        <f t="shared" ca="1" si="35"/>
        <v>45404.878290046297</v>
      </c>
    </row>
    <row r="505" spans="6:12" x14ac:dyDescent="0.25">
      <c r="F505" s="11" t="str">
        <f>IF(ISBLANK(D505),"",(VLOOKUP(D505,Cardápio!$A$2:$B$16,2,0))*E505)</f>
        <v/>
      </c>
      <c r="H505" s="7" t="str">
        <f t="shared" si="32"/>
        <v/>
      </c>
      <c r="I505" s="7" t="str">
        <f>IF(AND(ISBLANK(D505),ISBLANK(C505)),"",((VLOOKUP(D505,Cardápio!$A$2:$C$16,3,0))*E505)+IF(B505="iFood",F505*0.27,(VLOOKUP(VENDAS!C505,Bairros!$A$2:$B$90,2,0))))</f>
        <v/>
      </c>
      <c r="J505" s="7" t="str">
        <f t="shared" si="33"/>
        <v/>
      </c>
      <c r="K505" s="9">
        <f t="shared" ca="1" si="34"/>
        <v>45404.878290162036</v>
      </c>
      <c r="L505" s="10">
        <f t="shared" ca="1" si="35"/>
        <v>45404.878290046297</v>
      </c>
    </row>
    <row r="506" spans="6:12" x14ac:dyDescent="0.25">
      <c r="F506" s="11" t="str">
        <f>IF(ISBLANK(D506),"",(VLOOKUP(D506,Cardápio!$A$2:$B$16,2,0))*E506)</f>
        <v/>
      </c>
      <c r="H506" s="7" t="str">
        <f t="shared" si="32"/>
        <v/>
      </c>
      <c r="I506" s="7" t="str">
        <f>IF(AND(ISBLANK(D506),ISBLANK(C506)),"",((VLOOKUP(D506,Cardápio!$A$2:$C$16,3,0))*E506)+IF(B506="iFood",F506*0.27,(VLOOKUP(VENDAS!C506,Bairros!$A$2:$B$90,2,0))))</f>
        <v/>
      </c>
      <c r="J506" s="7" t="str">
        <f t="shared" si="33"/>
        <v/>
      </c>
      <c r="K506" s="9">
        <f t="shared" ca="1" si="34"/>
        <v>45404.878290046297</v>
      </c>
      <c r="L506" s="10">
        <f t="shared" ca="1" si="35"/>
        <v>45404.878290046297</v>
      </c>
    </row>
    <row r="507" spans="6:12" x14ac:dyDescent="0.25">
      <c r="F507" s="11" t="str">
        <f>IF(ISBLANK(D507),"",(VLOOKUP(D507,Cardápio!$A$2:$B$16,2,0))*E507)</f>
        <v/>
      </c>
      <c r="H507" s="7" t="str">
        <f t="shared" si="32"/>
        <v/>
      </c>
      <c r="I507" s="7" t="str">
        <f>IF(AND(ISBLANK(D507),ISBLANK(C507)),"",((VLOOKUP(D507,Cardápio!$A$2:$C$16,3,0))*E507)+IF(B507="iFood",F507*0.27,(VLOOKUP(VENDAS!C507,Bairros!$A$2:$B$90,2,0))))</f>
        <v/>
      </c>
      <c r="J507" s="7" t="str">
        <f t="shared" si="33"/>
        <v/>
      </c>
      <c r="K507" s="9">
        <f t="shared" ca="1" si="34"/>
        <v>45404.878290046297</v>
      </c>
      <c r="L507" s="10">
        <f t="shared" ca="1" si="35"/>
        <v>45404.878290046297</v>
      </c>
    </row>
    <row r="508" spans="6:12" x14ac:dyDescent="0.25">
      <c r="F508" s="11" t="str">
        <f>IF(ISBLANK(D508),"",(VLOOKUP(D508,Cardápio!$A$2:$B$16,2,0))*E508)</f>
        <v/>
      </c>
      <c r="H508" s="7" t="str">
        <f t="shared" si="32"/>
        <v/>
      </c>
      <c r="I508" s="7" t="str">
        <f>IF(AND(ISBLANK(D508),ISBLANK(C508)),"",((VLOOKUP(D508,Cardápio!$A$2:$C$16,3,0))*E508)+IF(B508="iFood",F508*0.27,(VLOOKUP(VENDAS!C508,Bairros!$A$2:$B$90,2,0))))</f>
        <v/>
      </c>
      <c r="J508" s="7" t="str">
        <f t="shared" si="33"/>
        <v/>
      </c>
      <c r="K508" s="9">
        <f t="shared" ca="1" si="34"/>
        <v>45404.878290046297</v>
      </c>
      <c r="L508" s="10">
        <f t="shared" ca="1" si="35"/>
        <v>45404.878290046297</v>
      </c>
    </row>
    <row r="509" spans="6:12" x14ac:dyDescent="0.25">
      <c r="F509" s="11" t="str">
        <f>IF(ISBLANK(D509),"",(VLOOKUP(D509,Cardápio!$A$2:$B$16,2,0))*E509)</f>
        <v/>
      </c>
      <c r="H509" s="7" t="str">
        <f t="shared" si="32"/>
        <v/>
      </c>
      <c r="I509" s="7" t="str">
        <f>IF(AND(ISBLANK(D509),ISBLANK(C509)),"",((VLOOKUP(D509,Cardápio!$A$2:$C$16,3,0))*E509)+IF(B509="iFood",F509*0.27,(VLOOKUP(VENDAS!C509,Bairros!$A$2:$B$90,2,0))))</f>
        <v/>
      </c>
      <c r="J509" s="7" t="str">
        <f t="shared" si="33"/>
        <v/>
      </c>
      <c r="K509" s="9">
        <f t="shared" ca="1" si="34"/>
        <v>45404.878290162036</v>
      </c>
      <c r="L509" s="10">
        <f t="shared" ca="1" si="35"/>
        <v>45404.878290046297</v>
      </c>
    </row>
    <row r="510" spans="6:12" x14ac:dyDescent="0.25">
      <c r="F510" s="11" t="str">
        <f>IF(ISBLANK(D510),"",(VLOOKUP(D510,Cardápio!$A$2:$B$16,2,0))*E510)</f>
        <v/>
      </c>
      <c r="H510" s="7" t="str">
        <f t="shared" si="32"/>
        <v/>
      </c>
      <c r="I510" s="7" t="str">
        <f>IF(AND(ISBLANK(D510),ISBLANK(C510)),"",((VLOOKUP(D510,Cardápio!$A$2:$C$16,3,0))*E510)+IF(B510="iFood",F510*0.27,(VLOOKUP(VENDAS!C510,Bairros!$A$2:$B$90,2,0))))</f>
        <v/>
      </c>
      <c r="J510" s="7" t="str">
        <f t="shared" si="33"/>
        <v/>
      </c>
      <c r="K510" s="9">
        <f t="shared" ca="1" si="34"/>
        <v>45404.878290046297</v>
      </c>
      <c r="L510" s="10">
        <f t="shared" ca="1" si="35"/>
        <v>45404.878290046297</v>
      </c>
    </row>
    <row r="511" spans="6:12" x14ac:dyDescent="0.25">
      <c r="F511" s="11" t="str">
        <f>IF(ISBLANK(D511),"",(VLOOKUP(D511,Cardápio!$A$2:$B$16,2,0))*E511)</f>
        <v/>
      </c>
      <c r="H511" s="7" t="str">
        <f t="shared" si="32"/>
        <v/>
      </c>
      <c r="I511" s="7" t="str">
        <f>IF(AND(ISBLANK(D511),ISBLANK(C511)),"",((VLOOKUP(D511,Cardápio!$A$2:$C$16,3,0))*E511)+IF(B511="iFood",F511*0.27,(VLOOKUP(VENDAS!C511,Bairros!$A$2:$B$90,2,0))))</f>
        <v/>
      </c>
      <c r="J511" s="7" t="str">
        <f t="shared" si="33"/>
        <v/>
      </c>
      <c r="K511" s="9">
        <f t="shared" ca="1" si="34"/>
        <v>45404.878290046297</v>
      </c>
      <c r="L511" s="10">
        <f t="shared" ca="1" si="35"/>
        <v>45404.878290046297</v>
      </c>
    </row>
    <row r="512" spans="6:12" x14ac:dyDescent="0.25">
      <c r="F512" s="11" t="str">
        <f>IF(ISBLANK(D512),"",(VLOOKUP(D512,Cardápio!$A$2:$B$16,2,0))*E512)</f>
        <v/>
      </c>
      <c r="H512" s="7" t="str">
        <f t="shared" si="32"/>
        <v/>
      </c>
      <c r="I512" s="7" t="str">
        <f>IF(AND(ISBLANK(D512),ISBLANK(C512)),"",((VLOOKUP(D512,Cardápio!$A$2:$C$16,3,0))*E512)+IF(B512="iFood",F512*0.27,(VLOOKUP(VENDAS!C512,Bairros!$A$2:$B$90,2,0))))</f>
        <v/>
      </c>
      <c r="J512" s="7" t="str">
        <f t="shared" si="33"/>
        <v/>
      </c>
      <c r="K512" s="9">
        <f t="shared" ca="1" si="34"/>
        <v>45404.878290046297</v>
      </c>
      <c r="L512" s="10">
        <f t="shared" ca="1" si="35"/>
        <v>45404.878290046297</v>
      </c>
    </row>
    <row r="513" spans="6:12" x14ac:dyDescent="0.25">
      <c r="F513" s="11" t="str">
        <f>IF(ISBLANK(D513),"",(VLOOKUP(D513,Cardápio!$A$2:$B$16,2,0))*E513)</f>
        <v/>
      </c>
      <c r="H513" s="7" t="str">
        <f t="shared" si="32"/>
        <v/>
      </c>
      <c r="I513" s="7" t="str">
        <f>IF(AND(ISBLANK(D513),ISBLANK(C513)),"",((VLOOKUP(D513,Cardápio!$A$2:$C$16,3,0))*E513)+IF(B513="iFood",F513*0.27,(VLOOKUP(VENDAS!C513,Bairros!$A$2:$B$90,2,0))))</f>
        <v/>
      </c>
      <c r="J513" s="7" t="str">
        <f t="shared" si="33"/>
        <v/>
      </c>
      <c r="K513" s="9">
        <f t="shared" ca="1" si="34"/>
        <v>45404.878290162036</v>
      </c>
      <c r="L513" s="10">
        <f t="shared" ca="1" si="35"/>
        <v>45404.878290046297</v>
      </c>
    </row>
    <row r="514" spans="6:12" x14ac:dyDescent="0.25">
      <c r="F514" s="11" t="str">
        <f>IF(ISBLANK(D514),"",(VLOOKUP(D514,Cardápio!$A$2:$B$16,2,0))*E514)</f>
        <v/>
      </c>
      <c r="H514" s="7" t="str">
        <f t="shared" si="32"/>
        <v/>
      </c>
      <c r="I514" s="7" t="str">
        <f>IF(AND(ISBLANK(D514),ISBLANK(C514)),"",((VLOOKUP(D514,Cardápio!$A$2:$C$16,3,0))*E514)+IF(B514="iFood",F514*0.27,(VLOOKUP(VENDAS!C514,Bairros!$A$2:$B$90,2,0))))</f>
        <v/>
      </c>
      <c r="J514" s="7" t="str">
        <f t="shared" si="33"/>
        <v/>
      </c>
      <c r="K514" s="9">
        <f t="shared" ca="1" si="34"/>
        <v>45404.878290046297</v>
      </c>
      <c r="L514" s="10">
        <f t="shared" ca="1" si="35"/>
        <v>45404.878290046297</v>
      </c>
    </row>
    <row r="515" spans="6:12" x14ac:dyDescent="0.25">
      <c r="F515" s="11" t="str">
        <f>IF(ISBLANK(D515),"",(VLOOKUP(D515,Cardápio!$A$2:$B$16,2,0))*E515)</f>
        <v/>
      </c>
      <c r="H515" s="7" t="str">
        <f t="shared" si="32"/>
        <v/>
      </c>
      <c r="I515" s="7" t="str">
        <f>IF(AND(ISBLANK(D515),ISBLANK(C515)),"",((VLOOKUP(D515,Cardápio!$A$2:$C$16,3,0))*E515)+IF(B515="iFood",F515*0.27,(VLOOKUP(VENDAS!C515,Bairros!$A$2:$B$90,2,0))))</f>
        <v/>
      </c>
      <c r="J515" s="7" t="str">
        <f t="shared" si="33"/>
        <v/>
      </c>
      <c r="K515" s="9">
        <f t="shared" ca="1" si="34"/>
        <v>45404.878290046297</v>
      </c>
      <c r="L515" s="10">
        <f t="shared" ca="1" si="35"/>
        <v>45404.878290046297</v>
      </c>
    </row>
    <row r="516" spans="6:12" x14ac:dyDescent="0.25">
      <c r="F516" s="11" t="str">
        <f>IF(ISBLANK(D516),"",(VLOOKUP(D516,Cardápio!$A$2:$B$16,2,0))*E516)</f>
        <v/>
      </c>
      <c r="H516" s="7" t="str">
        <f t="shared" si="32"/>
        <v/>
      </c>
      <c r="I516" s="7" t="str">
        <f>IF(AND(ISBLANK(D516),ISBLANK(C516)),"",((VLOOKUP(D516,Cardápio!$A$2:$C$16,3,0))*E516)+IF(B516="iFood",F516*0.27,(VLOOKUP(VENDAS!C516,Bairros!$A$2:$B$90,2,0))))</f>
        <v/>
      </c>
      <c r="J516" s="7" t="str">
        <f t="shared" si="33"/>
        <v/>
      </c>
      <c r="K516" s="9">
        <f t="shared" ca="1" si="34"/>
        <v>45404.878290046297</v>
      </c>
      <c r="L516" s="10">
        <f t="shared" ca="1" si="35"/>
        <v>45404.878290046297</v>
      </c>
    </row>
    <row r="517" spans="6:12" x14ac:dyDescent="0.25">
      <c r="F517" s="11" t="str">
        <f>IF(ISBLANK(D517),"",(VLOOKUP(D517,Cardápio!$A$2:$B$16,2,0))*E517)</f>
        <v/>
      </c>
      <c r="H517" s="7" t="str">
        <f t="shared" si="32"/>
        <v/>
      </c>
      <c r="I517" s="7" t="str">
        <f>IF(AND(ISBLANK(D517),ISBLANK(C517)),"",((VLOOKUP(D517,Cardápio!$A$2:$C$16,3,0))*E517)+IF(B517="iFood",F517*0.27,(VLOOKUP(VENDAS!C517,Bairros!$A$2:$B$90,2,0))))</f>
        <v/>
      </c>
      <c r="J517" s="7" t="str">
        <f t="shared" si="33"/>
        <v/>
      </c>
      <c r="K517" s="9">
        <f t="shared" ca="1" si="34"/>
        <v>45404.878290162036</v>
      </c>
      <c r="L517" s="10">
        <f t="shared" ca="1" si="35"/>
        <v>45404.878290046297</v>
      </c>
    </row>
    <row r="518" spans="6:12" x14ac:dyDescent="0.25">
      <c r="F518" s="11" t="str">
        <f>IF(ISBLANK(D518),"",(VLOOKUP(D518,Cardápio!$A$2:$B$16,2,0))*E518)</f>
        <v/>
      </c>
      <c r="H518" s="7" t="str">
        <f t="shared" si="32"/>
        <v/>
      </c>
      <c r="I518" s="7" t="str">
        <f>IF(AND(ISBLANK(D518),ISBLANK(C518)),"",((VLOOKUP(D518,Cardápio!$A$2:$C$16,3,0))*E518)+IF(B518="iFood",F518*0.27,(VLOOKUP(VENDAS!C518,Bairros!$A$2:$B$90,2,0))))</f>
        <v/>
      </c>
      <c r="J518" s="7" t="str">
        <f t="shared" si="33"/>
        <v/>
      </c>
      <c r="K518" s="9">
        <f t="shared" ca="1" si="34"/>
        <v>45404.878290046297</v>
      </c>
      <c r="L518" s="10">
        <f t="shared" ca="1" si="35"/>
        <v>45404.878290046297</v>
      </c>
    </row>
    <row r="519" spans="6:12" x14ac:dyDescent="0.25">
      <c r="F519" s="11" t="str">
        <f>IF(ISBLANK(D519),"",(VLOOKUP(D519,Cardápio!$A$2:$B$16,2,0))*E519)</f>
        <v/>
      </c>
      <c r="H519" s="7" t="str">
        <f t="shared" si="32"/>
        <v/>
      </c>
      <c r="I519" s="7" t="str">
        <f>IF(AND(ISBLANK(D519),ISBLANK(C519)),"",((VLOOKUP(D519,Cardápio!$A$2:$C$16,3,0))*E519)+IF(B519="iFood",F519*0.27,(VLOOKUP(VENDAS!C519,Bairros!$A$2:$B$90,2,0))))</f>
        <v/>
      </c>
      <c r="J519" s="7" t="str">
        <f t="shared" si="33"/>
        <v/>
      </c>
      <c r="K519" s="9">
        <f t="shared" ca="1" si="34"/>
        <v>45404.878290046297</v>
      </c>
      <c r="L519" s="10">
        <f t="shared" ca="1" si="35"/>
        <v>45404.878290046297</v>
      </c>
    </row>
    <row r="520" spans="6:12" x14ac:dyDescent="0.25">
      <c r="F520" s="11" t="str">
        <f>IF(ISBLANK(D520),"",(VLOOKUP(D520,Cardápio!$A$2:$B$16,2,0))*E520)</f>
        <v/>
      </c>
      <c r="H520" s="7" t="str">
        <f t="shared" si="32"/>
        <v/>
      </c>
      <c r="I520" s="7" t="str">
        <f>IF(AND(ISBLANK(D520),ISBLANK(C520)),"",((VLOOKUP(D520,Cardápio!$A$2:$C$16,3,0))*E520)+IF(B520="iFood",F520*0.27,(VLOOKUP(VENDAS!C520,Bairros!$A$2:$B$90,2,0))))</f>
        <v/>
      </c>
      <c r="J520" s="7" t="str">
        <f t="shared" si="33"/>
        <v/>
      </c>
      <c r="K520" s="9">
        <f t="shared" ca="1" si="34"/>
        <v>45404.878290046297</v>
      </c>
      <c r="L520" s="10">
        <f t="shared" ca="1" si="35"/>
        <v>45404.878290046297</v>
      </c>
    </row>
    <row r="521" spans="6:12" x14ac:dyDescent="0.25">
      <c r="F521" s="11" t="str">
        <f>IF(ISBLANK(D521),"",(VLOOKUP(D521,Cardápio!$A$2:$B$16,2,0))*E521)</f>
        <v/>
      </c>
      <c r="H521" s="7" t="str">
        <f t="shared" si="32"/>
        <v/>
      </c>
      <c r="I521" s="7" t="str">
        <f>IF(AND(ISBLANK(D521),ISBLANK(C521)),"",((VLOOKUP(D521,Cardápio!$A$2:$C$16,3,0))*E521)+IF(B521="iFood",F521*0.27,(VLOOKUP(VENDAS!C521,Bairros!$A$2:$B$90,2,0))))</f>
        <v/>
      </c>
      <c r="J521" s="7" t="str">
        <f t="shared" si="33"/>
        <v/>
      </c>
      <c r="K521" s="9">
        <f t="shared" ca="1" si="34"/>
        <v>45404.878290162036</v>
      </c>
      <c r="L521" s="10">
        <f t="shared" ca="1" si="35"/>
        <v>45404.878290046297</v>
      </c>
    </row>
    <row r="522" spans="6:12" x14ac:dyDescent="0.25">
      <c r="F522" s="11" t="str">
        <f>IF(ISBLANK(D522),"",(VLOOKUP(D522,Cardápio!$A$2:$B$16,2,0))*E522)</f>
        <v/>
      </c>
      <c r="H522" s="7" t="str">
        <f t="shared" si="32"/>
        <v/>
      </c>
      <c r="I522" s="7" t="str">
        <f>IF(AND(ISBLANK(D522),ISBLANK(C522)),"",((VLOOKUP(D522,Cardápio!$A$2:$C$16,3,0))*E522)+IF(B522="iFood",F522*0.27,(VLOOKUP(VENDAS!C522,Bairros!$A$2:$B$90,2,0))))</f>
        <v/>
      </c>
      <c r="J522" s="7" t="str">
        <f t="shared" si="33"/>
        <v/>
      </c>
      <c r="K522" s="9">
        <f t="shared" ca="1" si="34"/>
        <v>45404.878290046297</v>
      </c>
      <c r="L522" s="10">
        <f t="shared" ca="1" si="35"/>
        <v>45404.878290046297</v>
      </c>
    </row>
    <row r="523" spans="6:12" x14ac:dyDescent="0.25">
      <c r="F523" s="11" t="str">
        <f>IF(ISBLANK(D523),"",(VLOOKUP(D523,Cardápio!$A$2:$B$16,2,0))*E523)</f>
        <v/>
      </c>
      <c r="H523" s="7" t="str">
        <f t="shared" si="32"/>
        <v/>
      </c>
      <c r="I523" s="7" t="str">
        <f>IF(AND(ISBLANK(D523),ISBLANK(C523)),"",((VLOOKUP(D523,Cardápio!$A$2:$C$16,3,0))*E523)+IF(B523="iFood",F523*0.27,(VLOOKUP(VENDAS!C523,Bairros!$A$2:$B$90,2,0))))</f>
        <v/>
      </c>
      <c r="J523" s="7" t="str">
        <f t="shared" si="33"/>
        <v/>
      </c>
      <c r="K523" s="9">
        <f t="shared" ca="1" si="34"/>
        <v>45404.878290046297</v>
      </c>
      <c r="L523" s="10">
        <f t="shared" ca="1" si="35"/>
        <v>45404.878290046297</v>
      </c>
    </row>
    <row r="524" spans="6:12" x14ac:dyDescent="0.25">
      <c r="F524" s="11" t="str">
        <f>IF(ISBLANK(D524),"",(VLOOKUP(D524,Cardápio!$A$2:$B$16,2,0))*E524)</f>
        <v/>
      </c>
      <c r="H524" s="7" t="str">
        <f t="shared" si="32"/>
        <v/>
      </c>
      <c r="I524" s="7" t="str">
        <f>IF(AND(ISBLANK(D524),ISBLANK(C524)),"",((VLOOKUP(D524,Cardápio!$A$2:$C$16,3,0))*E524)+IF(B524="iFood",F524*0.27,(VLOOKUP(VENDAS!C524,Bairros!$A$2:$B$90,2,0))))</f>
        <v/>
      </c>
      <c r="J524" s="7" t="str">
        <f t="shared" si="33"/>
        <v/>
      </c>
      <c r="K524" s="9">
        <f t="shared" ca="1" si="34"/>
        <v>45404.878290046297</v>
      </c>
      <c r="L524" s="10">
        <f t="shared" ca="1" si="35"/>
        <v>45404.878290046297</v>
      </c>
    </row>
    <row r="525" spans="6:12" x14ac:dyDescent="0.25">
      <c r="F525" s="11" t="str">
        <f>IF(ISBLANK(D525),"",(VLOOKUP(D525,Cardápio!$A$2:$B$16,2,0))*E525)</f>
        <v/>
      </c>
      <c r="H525" s="7" t="str">
        <f t="shared" si="32"/>
        <v/>
      </c>
      <c r="I525" s="7" t="str">
        <f>IF(AND(ISBLANK(D525),ISBLANK(C525)),"",((VLOOKUP(D525,Cardápio!$A$2:$C$16,3,0))*E525)+IF(B525="iFood",F525*0.27,(VLOOKUP(VENDAS!C525,Bairros!$A$2:$B$90,2,0))))</f>
        <v/>
      </c>
      <c r="J525" s="7" t="str">
        <f t="shared" si="33"/>
        <v/>
      </c>
      <c r="K525" s="9">
        <f t="shared" ca="1" si="34"/>
        <v>45404.878290162036</v>
      </c>
      <c r="L525" s="10">
        <f t="shared" ca="1" si="35"/>
        <v>45404.878290046297</v>
      </c>
    </row>
    <row r="526" spans="6:12" x14ac:dyDescent="0.25">
      <c r="F526" s="11" t="str">
        <f>IF(ISBLANK(D526),"",(VLOOKUP(D526,Cardápio!$A$2:$B$16,2,0))*E526)</f>
        <v/>
      </c>
      <c r="H526" s="7" t="str">
        <f t="shared" si="32"/>
        <v/>
      </c>
      <c r="I526" s="7" t="str">
        <f>IF(AND(ISBLANK(D526),ISBLANK(C526)),"",((VLOOKUP(D526,Cardápio!$A$2:$C$16,3,0))*E526)+IF(B526="iFood",F526*0.27,(VLOOKUP(VENDAS!C526,Bairros!$A$2:$B$90,2,0))))</f>
        <v/>
      </c>
      <c r="J526" s="7" t="str">
        <f t="shared" si="33"/>
        <v/>
      </c>
      <c r="K526" s="9">
        <f t="shared" ca="1" si="34"/>
        <v>45404.878290046297</v>
      </c>
      <c r="L526" s="10">
        <f t="shared" ca="1" si="35"/>
        <v>45404.878290046297</v>
      </c>
    </row>
    <row r="527" spans="6:12" x14ac:dyDescent="0.25">
      <c r="F527" s="11" t="str">
        <f>IF(ISBLANK(D527),"",(VLOOKUP(D527,Cardápio!$A$2:$B$16,2,0))*E527)</f>
        <v/>
      </c>
      <c r="H527" s="7" t="str">
        <f t="shared" si="32"/>
        <v/>
      </c>
      <c r="I527" s="7" t="str">
        <f>IF(AND(ISBLANK(D527),ISBLANK(C527)),"",((VLOOKUP(D527,Cardápio!$A$2:$C$16,3,0))*E527)+IF(B527="iFood",F527*0.27,(VLOOKUP(VENDAS!C527,Bairros!$A$2:$B$90,2,0))))</f>
        <v/>
      </c>
      <c r="J527" s="7" t="str">
        <f t="shared" si="33"/>
        <v/>
      </c>
      <c r="K527" s="9">
        <f t="shared" ca="1" si="34"/>
        <v>45404.878290046297</v>
      </c>
      <c r="L527" s="10">
        <f t="shared" ca="1" si="35"/>
        <v>45404.878290046297</v>
      </c>
    </row>
    <row r="528" spans="6:12" x14ac:dyDescent="0.25">
      <c r="F528" s="11" t="str">
        <f>IF(ISBLANK(D528),"",(VLOOKUP(D528,Cardápio!$A$2:$B$16,2,0))*E528)</f>
        <v/>
      </c>
      <c r="H528" s="7" t="str">
        <f t="shared" si="32"/>
        <v/>
      </c>
      <c r="I528" s="7" t="str">
        <f>IF(AND(ISBLANK(D528),ISBLANK(C528)),"",((VLOOKUP(D528,Cardápio!$A$2:$C$16,3,0))*E528)+IF(B528="iFood",F528*0.27,(VLOOKUP(VENDAS!C528,Bairros!$A$2:$B$90,2,0))))</f>
        <v/>
      </c>
      <c r="J528" s="7" t="str">
        <f t="shared" si="33"/>
        <v/>
      </c>
      <c r="K528" s="9">
        <f t="shared" ca="1" si="34"/>
        <v>45404.878290046297</v>
      </c>
      <c r="L528" s="10">
        <f t="shared" ca="1" si="35"/>
        <v>45404.878290046297</v>
      </c>
    </row>
    <row r="529" spans="6:12" x14ac:dyDescent="0.25">
      <c r="F529" s="11" t="str">
        <f>IF(ISBLANK(D529),"",(VLOOKUP(D529,Cardápio!$A$2:$B$16,2,0))*E529)</f>
        <v/>
      </c>
      <c r="H529" s="7" t="str">
        <f t="shared" si="32"/>
        <v/>
      </c>
      <c r="I529" s="7" t="str">
        <f>IF(AND(ISBLANK(D529),ISBLANK(C529)),"",((VLOOKUP(D529,Cardápio!$A$2:$C$16,3,0))*E529)+IF(B529="iFood",F529*0.27,(VLOOKUP(VENDAS!C529,Bairros!$A$2:$B$90,2,0))))</f>
        <v/>
      </c>
      <c r="J529" s="7" t="str">
        <f t="shared" si="33"/>
        <v/>
      </c>
      <c r="K529" s="9">
        <f t="shared" ca="1" si="34"/>
        <v>45404.878290162036</v>
      </c>
      <c r="L529" s="10">
        <f t="shared" ca="1" si="35"/>
        <v>45404.878290046297</v>
      </c>
    </row>
    <row r="530" spans="6:12" x14ac:dyDescent="0.25">
      <c r="F530" s="11" t="str">
        <f>IF(ISBLANK(D530),"",(VLOOKUP(D530,Cardápio!$A$2:$B$16,2,0))*E530)</f>
        <v/>
      </c>
      <c r="H530" s="7" t="str">
        <f t="shared" si="32"/>
        <v/>
      </c>
      <c r="I530" s="7" t="str">
        <f>IF(AND(ISBLANK(D530),ISBLANK(C530)),"",((VLOOKUP(D530,Cardápio!$A$2:$C$16,3,0))*E530)+IF(B530="iFood",F530*0.27,(VLOOKUP(VENDAS!C530,Bairros!$A$2:$B$90,2,0))))</f>
        <v/>
      </c>
      <c r="J530" s="7" t="str">
        <f t="shared" si="33"/>
        <v/>
      </c>
      <c r="K530" s="9">
        <f t="shared" ca="1" si="34"/>
        <v>45404.878290046297</v>
      </c>
      <c r="L530" s="10">
        <f t="shared" ca="1" si="35"/>
        <v>45404.878290046297</v>
      </c>
    </row>
    <row r="531" spans="6:12" x14ac:dyDescent="0.25">
      <c r="F531" s="11" t="str">
        <f>IF(ISBLANK(D531),"",(VLOOKUP(D531,Cardápio!$A$2:$B$16,2,0))*E531)</f>
        <v/>
      </c>
      <c r="H531" s="7" t="str">
        <f t="shared" si="32"/>
        <v/>
      </c>
      <c r="I531" s="7" t="str">
        <f>IF(AND(ISBLANK(D531),ISBLANK(C531)),"",((VLOOKUP(D531,Cardápio!$A$2:$C$16,3,0))*E531)+IF(B531="iFood",F531*0.27,(VLOOKUP(VENDAS!C531,Bairros!$A$2:$B$90,2,0))))</f>
        <v/>
      </c>
      <c r="J531" s="7" t="str">
        <f t="shared" si="33"/>
        <v/>
      </c>
      <c r="K531" s="9">
        <f t="shared" ca="1" si="34"/>
        <v>45404.878290046297</v>
      </c>
      <c r="L531" s="10">
        <f t="shared" ca="1" si="35"/>
        <v>45404.878290046297</v>
      </c>
    </row>
    <row r="532" spans="6:12" x14ac:dyDescent="0.25">
      <c r="F532" s="11" t="str">
        <f>IF(ISBLANK(D532),"",(VLOOKUP(D532,Cardápio!$A$2:$B$16,2,0))*E532)</f>
        <v/>
      </c>
      <c r="H532" s="7" t="str">
        <f t="shared" si="32"/>
        <v/>
      </c>
      <c r="I532" s="7" t="str">
        <f>IF(AND(ISBLANK(D532),ISBLANK(C532)),"",((VLOOKUP(D532,Cardápio!$A$2:$C$16,3,0))*E532)+IF(B532="iFood",F532*0.27,(VLOOKUP(VENDAS!C532,Bairros!$A$2:$B$90,2,0))))</f>
        <v/>
      </c>
      <c r="J532" s="7" t="str">
        <f t="shared" si="33"/>
        <v/>
      </c>
      <c r="K532" s="9">
        <f t="shared" ca="1" si="34"/>
        <v>45404.878290046297</v>
      </c>
      <c r="L532" s="10">
        <f t="shared" ca="1" si="35"/>
        <v>45404.878290046297</v>
      </c>
    </row>
    <row r="533" spans="6:12" x14ac:dyDescent="0.25">
      <c r="F533" s="11" t="str">
        <f>IF(ISBLANK(D533),"",(VLOOKUP(D533,Cardápio!$A$2:$B$16,2,0))*E533)</f>
        <v/>
      </c>
      <c r="H533" s="7" t="str">
        <f t="shared" si="32"/>
        <v/>
      </c>
      <c r="I533" s="7" t="str">
        <f>IF(AND(ISBLANK(D533),ISBLANK(C533)),"",((VLOOKUP(D533,Cardápio!$A$2:$C$16,3,0))*E533)+IF(B533="iFood",F533*0.27,(VLOOKUP(VENDAS!C533,Bairros!$A$2:$B$90,2,0))))</f>
        <v/>
      </c>
      <c r="J533" s="7" t="str">
        <f t="shared" si="33"/>
        <v/>
      </c>
      <c r="K533" s="9">
        <f t="shared" ca="1" si="34"/>
        <v>45404.878290162036</v>
      </c>
      <c r="L533" s="10">
        <f t="shared" ca="1" si="35"/>
        <v>45404.878290046297</v>
      </c>
    </row>
    <row r="534" spans="6:12" x14ac:dyDescent="0.25">
      <c r="F534" s="11" t="str">
        <f>IF(ISBLANK(D534),"",(VLOOKUP(D534,Cardápio!$A$2:$B$16,2,0))*E534)</f>
        <v/>
      </c>
      <c r="H534" s="7" t="str">
        <f t="shared" si="32"/>
        <v/>
      </c>
      <c r="I534" s="7" t="str">
        <f>IF(AND(ISBLANK(D534),ISBLANK(C534)),"",((VLOOKUP(D534,Cardápio!$A$2:$C$16,3,0))*E534)+IF(B534="iFood",F534*0.27,(VLOOKUP(VENDAS!C534,Bairros!$A$2:$B$90,2,0))))</f>
        <v/>
      </c>
      <c r="J534" s="7" t="str">
        <f t="shared" si="33"/>
        <v/>
      </c>
      <c r="K534" s="9">
        <f t="shared" ca="1" si="34"/>
        <v>45404.878290046297</v>
      </c>
      <c r="L534" s="10">
        <f t="shared" ca="1" si="35"/>
        <v>45404.878290046297</v>
      </c>
    </row>
    <row r="535" spans="6:12" x14ac:dyDescent="0.25">
      <c r="F535" s="11" t="str">
        <f>IF(ISBLANK(D535),"",(VLOOKUP(D535,Cardápio!$A$2:$B$16,2,0))*E535)</f>
        <v/>
      </c>
      <c r="H535" s="7" t="str">
        <f t="shared" si="32"/>
        <v/>
      </c>
      <c r="I535" s="7" t="str">
        <f>IF(AND(ISBLANK(D535),ISBLANK(C535)),"",((VLOOKUP(D535,Cardápio!$A$2:$C$16,3,0))*E535)+IF(B535="iFood",F535*0.27,(VLOOKUP(VENDAS!C535,Bairros!$A$2:$B$90,2,0))))</f>
        <v/>
      </c>
      <c r="J535" s="7" t="str">
        <f t="shared" si="33"/>
        <v/>
      </c>
      <c r="K535" s="9">
        <f t="shared" ca="1" si="34"/>
        <v>45404.878290046297</v>
      </c>
      <c r="L535" s="10">
        <f t="shared" ca="1" si="35"/>
        <v>45404.878290046297</v>
      </c>
    </row>
    <row r="536" spans="6:12" x14ac:dyDescent="0.25">
      <c r="F536" s="11" t="str">
        <f>IF(ISBLANK(D536),"",(VLOOKUP(D536,Cardápio!$A$2:$B$16,2,0))*E536)</f>
        <v/>
      </c>
      <c r="H536" s="7" t="str">
        <f t="shared" si="32"/>
        <v/>
      </c>
      <c r="I536" s="7" t="str">
        <f>IF(AND(ISBLANK(D536),ISBLANK(C536)),"",((VLOOKUP(D536,Cardápio!$A$2:$C$16,3,0))*E536)+IF(B536="iFood",F536*0.27,(VLOOKUP(VENDAS!C536,Bairros!$A$2:$B$90,2,0))))</f>
        <v/>
      </c>
      <c r="J536" s="7" t="str">
        <f t="shared" si="33"/>
        <v/>
      </c>
      <c r="K536" s="9">
        <f t="shared" ca="1" si="34"/>
        <v>45404.878290046297</v>
      </c>
      <c r="L536" s="10">
        <f t="shared" ca="1" si="35"/>
        <v>45404.878290046297</v>
      </c>
    </row>
    <row r="537" spans="6:12" x14ac:dyDescent="0.25">
      <c r="F537" s="11" t="str">
        <f>IF(ISBLANK(D537),"",(VLOOKUP(D537,Cardápio!$A$2:$B$16,2,0))*E537)</f>
        <v/>
      </c>
      <c r="H537" s="7" t="str">
        <f t="shared" si="32"/>
        <v/>
      </c>
      <c r="I537" s="7" t="str">
        <f>IF(AND(ISBLANK(D537),ISBLANK(C537)),"",((VLOOKUP(D537,Cardápio!$A$2:$C$16,3,0))*E537)+IF(B537="iFood",F537*0.27,(VLOOKUP(VENDAS!C537,Bairros!$A$2:$B$90,2,0))))</f>
        <v/>
      </c>
      <c r="J537" s="7" t="str">
        <f t="shared" si="33"/>
        <v/>
      </c>
      <c r="K537" s="9">
        <f t="shared" ca="1" si="34"/>
        <v>45404.878290162036</v>
      </c>
      <c r="L537" s="10">
        <f t="shared" ca="1" si="35"/>
        <v>45404.878290046297</v>
      </c>
    </row>
    <row r="538" spans="6:12" x14ac:dyDescent="0.25">
      <c r="F538" s="11" t="str">
        <f>IF(ISBLANK(D538),"",(VLOOKUP(D538,Cardápio!$A$2:$B$16,2,0))*E538)</f>
        <v/>
      </c>
      <c r="H538" s="7" t="str">
        <f t="shared" si="32"/>
        <v/>
      </c>
      <c r="I538" s="7" t="str">
        <f>IF(AND(ISBLANK(D538),ISBLANK(C538)),"",((VLOOKUP(D538,Cardápio!$A$2:$C$16,3,0))*E538)+IF(B538="iFood",F538*0.27,(VLOOKUP(VENDAS!C538,Bairros!$A$2:$B$90,2,0))))</f>
        <v/>
      </c>
      <c r="J538" s="7" t="str">
        <f t="shared" si="33"/>
        <v/>
      </c>
      <c r="K538" s="9">
        <f t="shared" ca="1" si="34"/>
        <v>45404.878290046297</v>
      </c>
      <c r="L538" s="10">
        <f t="shared" ca="1" si="35"/>
        <v>45404.878290046297</v>
      </c>
    </row>
    <row r="539" spans="6:12" x14ac:dyDescent="0.25">
      <c r="F539" s="11" t="str">
        <f>IF(ISBLANK(D539),"",(VLOOKUP(D539,Cardápio!$A$2:$B$16,2,0))*E539)</f>
        <v/>
      </c>
      <c r="H539" s="7" t="str">
        <f t="shared" si="32"/>
        <v/>
      </c>
      <c r="I539" s="7" t="str">
        <f>IF(AND(ISBLANK(D539),ISBLANK(C539)),"",((VLOOKUP(D539,Cardápio!$A$2:$C$16,3,0))*E539)+IF(B539="iFood",F539*0.27,(VLOOKUP(VENDAS!C539,Bairros!$A$2:$B$90,2,0))))</f>
        <v/>
      </c>
      <c r="J539" s="7" t="str">
        <f t="shared" si="33"/>
        <v/>
      </c>
      <c r="K539" s="9">
        <f t="shared" ca="1" si="34"/>
        <v>45404.878290046297</v>
      </c>
      <c r="L539" s="10">
        <f t="shared" ca="1" si="35"/>
        <v>45404.878290046297</v>
      </c>
    </row>
    <row r="540" spans="6:12" x14ac:dyDescent="0.25">
      <c r="F540" s="11" t="str">
        <f>IF(ISBLANK(D540),"",(VLOOKUP(D540,Cardápio!$A$2:$B$16,2,0))*E540)</f>
        <v/>
      </c>
      <c r="H540" s="7" t="str">
        <f t="shared" si="32"/>
        <v/>
      </c>
      <c r="I540" s="7" t="str">
        <f>IF(AND(ISBLANK(D540),ISBLANK(C540)),"",((VLOOKUP(D540,Cardápio!$A$2:$C$16,3,0))*E540)+IF(B540="iFood",F540*0.27,(VLOOKUP(VENDAS!C540,Bairros!$A$2:$B$90,2,0))))</f>
        <v/>
      </c>
      <c r="J540" s="7" t="str">
        <f t="shared" si="33"/>
        <v/>
      </c>
      <c r="K540" s="9">
        <f t="shared" ca="1" si="34"/>
        <v>45404.878290046297</v>
      </c>
      <c r="L540" s="10">
        <f t="shared" ca="1" si="35"/>
        <v>45404.878290046297</v>
      </c>
    </row>
    <row r="541" spans="6:12" x14ac:dyDescent="0.25">
      <c r="F541" s="11" t="str">
        <f>IF(ISBLANK(D541),"",(VLOOKUP(D541,Cardápio!$A$2:$B$16,2,0))*E541)</f>
        <v/>
      </c>
      <c r="H541" s="7" t="str">
        <f t="shared" si="32"/>
        <v/>
      </c>
      <c r="I541" s="7" t="str">
        <f>IF(AND(ISBLANK(D541),ISBLANK(C541)),"",((VLOOKUP(D541,Cardápio!$A$2:$C$16,3,0))*E541)+IF(B541="iFood",F541*0.27,(VLOOKUP(VENDAS!C541,Bairros!$A$2:$B$90,2,0))))</f>
        <v/>
      </c>
      <c r="J541" s="7" t="str">
        <f t="shared" si="33"/>
        <v/>
      </c>
      <c r="K541" s="9">
        <f t="shared" ca="1" si="34"/>
        <v>45404.878290162036</v>
      </c>
      <c r="L541" s="10">
        <f t="shared" ca="1" si="35"/>
        <v>45404.878290046297</v>
      </c>
    </row>
    <row r="542" spans="6:12" x14ac:dyDescent="0.25">
      <c r="F542" s="11" t="str">
        <f>IF(ISBLANK(D542),"",(VLOOKUP(D542,Cardápio!$A$2:$B$16,2,0))*E542)</f>
        <v/>
      </c>
      <c r="H542" s="7" t="str">
        <f t="shared" si="32"/>
        <v/>
      </c>
      <c r="I542" s="7" t="str">
        <f>IF(AND(ISBLANK(D542),ISBLANK(C542)),"",((VLOOKUP(D542,Cardápio!$A$2:$C$16,3,0))*E542)+IF(B542="iFood",F542*0.27,(VLOOKUP(VENDAS!C542,Bairros!$A$2:$B$90,2,0))))</f>
        <v/>
      </c>
      <c r="J542" s="7" t="str">
        <f t="shared" si="33"/>
        <v/>
      </c>
      <c r="K542" s="9">
        <f t="shared" ca="1" si="34"/>
        <v>45404.878290046297</v>
      </c>
      <c r="L542" s="10">
        <f t="shared" ca="1" si="35"/>
        <v>45404.878290046297</v>
      </c>
    </row>
    <row r="543" spans="6:12" x14ac:dyDescent="0.25">
      <c r="F543" s="11" t="str">
        <f>IF(ISBLANK(D543),"",(VLOOKUP(D543,Cardápio!$A$2:$B$16,2,0))*E543)</f>
        <v/>
      </c>
      <c r="H543" s="7" t="str">
        <f t="shared" si="32"/>
        <v/>
      </c>
      <c r="I543" s="7" t="str">
        <f>IF(AND(ISBLANK(D543),ISBLANK(C543)),"",((VLOOKUP(D543,Cardápio!$A$2:$C$16,3,0))*E543)+IF(B543="iFood",F543*0.27,(VLOOKUP(VENDAS!C543,Bairros!$A$2:$B$90,2,0))))</f>
        <v/>
      </c>
      <c r="J543" s="7" t="str">
        <f t="shared" si="33"/>
        <v/>
      </c>
      <c r="K543" s="9">
        <f t="shared" ca="1" si="34"/>
        <v>45404.878290046297</v>
      </c>
      <c r="L543" s="10">
        <f t="shared" ca="1" si="35"/>
        <v>45404.878290046297</v>
      </c>
    </row>
    <row r="544" spans="6:12" x14ac:dyDescent="0.25">
      <c r="F544" s="11" t="str">
        <f>IF(ISBLANK(D544),"",(VLOOKUP(D544,Cardápio!$A$2:$B$16,2,0))*E544)</f>
        <v/>
      </c>
      <c r="H544" s="7" t="str">
        <f t="shared" si="32"/>
        <v/>
      </c>
      <c r="I544" s="7" t="str">
        <f>IF(AND(ISBLANK(D544),ISBLANK(C544)),"",((VLOOKUP(D544,Cardápio!$A$2:$C$16,3,0))*E544)+IF(B544="iFood",F544*0.27,(VLOOKUP(VENDAS!C544,Bairros!$A$2:$B$90,2,0))))</f>
        <v/>
      </c>
      <c r="J544" s="7" t="str">
        <f t="shared" si="33"/>
        <v/>
      </c>
      <c r="K544" s="9">
        <f t="shared" ca="1" si="34"/>
        <v>45404.878290046297</v>
      </c>
      <c r="L544" s="10">
        <f t="shared" ca="1" si="35"/>
        <v>45404.878290046297</v>
      </c>
    </row>
    <row r="545" spans="6:12" x14ac:dyDescent="0.25">
      <c r="F545" s="11" t="str">
        <f>IF(ISBLANK(D545),"",(VLOOKUP(D545,Cardápio!$A$2:$B$16,2,0))*E545)</f>
        <v/>
      </c>
      <c r="H545" s="7" t="str">
        <f t="shared" si="32"/>
        <v/>
      </c>
      <c r="I545" s="7" t="str">
        <f>IF(AND(ISBLANK(D545),ISBLANK(C545)),"",((VLOOKUP(D545,Cardápio!$A$2:$C$16,3,0))*E545)+IF(B545="iFood",F545*0.27,(VLOOKUP(VENDAS!C545,Bairros!$A$2:$B$90,2,0))))</f>
        <v/>
      </c>
      <c r="J545" s="7" t="str">
        <f t="shared" si="33"/>
        <v/>
      </c>
      <c r="K545" s="9">
        <f t="shared" ca="1" si="34"/>
        <v>45404.878290162036</v>
      </c>
      <c r="L545" s="10">
        <f t="shared" ca="1" si="35"/>
        <v>45404.878290046297</v>
      </c>
    </row>
    <row r="546" spans="6:12" x14ac:dyDescent="0.25">
      <c r="F546" s="11" t="str">
        <f>IF(ISBLANK(D546),"",(VLOOKUP(D546,Cardápio!$A$2:$B$16,2,0))*E546)</f>
        <v/>
      </c>
      <c r="H546" s="7" t="str">
        <f t="shared" si="32"/>
        <v/>
      </c>
      <c r="I546" s="7" t="str">
        <f>IF(AND(ISBLANK(D546),ISBLANK(C546)),"",((VLOOKUP(D546,Cardápio!$A$2:$C$16,3,0))*E546)+IF(B546="iFood",F546*0.27,(VLOOKUP(VENDAS!C546,Bairros!$A$2:$B$90,2,0))))</f>
        <v/>
      </c>
      <c r="J546" s="7" t="str">
        <f t="shared" si="33"/>
        <v/>
      </c>
      <c r="K546" s="9">
        <f t="shared" ca="1" si="34"/>
        <v>45404.878290046297</v>
      </c>
      <c r="L546" s="10">
        <f t="shared" ca="1" si="35"/>
        <v>45404.878290046297</v>
      </c>
    </row>
    <row r="547" spans="6:12" x14ac:dyDescent="0.25">
      <c r="F547" s="11" t="str">
        <f>IF(ISBLANK(D547),"",(VLOOKUP(D547,Cardápio!$A$2:$B$16,2,0))*E547)</f>
        <v/>
      </c>
      <c r="H547" s="7" t="str">
        <f t="shared" si="32"/>
        <v/>
      </c>
      <c r="I547" s="7" t="str">
        <f>IF(AND(ISBLANK(D547),ISBLANK(C547)),"",((VLOOKUP(D547,Cardápio!$A$2:$C$16,3,0))*E547)+IF(B547="iFood",F547*0.27,(VLOOKUP(VENDAS!C547,Bairros!$A$2:$B$90,2,0))))</f>
        <v/>
      </c>
      <c r="J547" s="7" t="str">
        <f t="shared" si="33"/>
        <v/>
      </c>
      <c r="K547" s="9">
        <f t="shared" ca="1" si="34"/>
        <v>45404.878290046297</v>
      </c>
      <c r="L547" s="10">
        <f t="shared" ca="1" si="35"/>
        <v>45404.878290046297</v>
      </c>
    </row>
    <row r="548" spans="6:12" x14ac:dyDescent="0.25">
      <c r="F548" s="11" t="str">
        <f>IF(ISBLANK(D548),"",(VLOOKUP(D548,Cardápio!$A$2:$B$16,2,0))*E548)</f>
        <v/>
      </c>
      <c r="H548" s="7" t="str">
        <f t="shared" si="32"/>
        <v/>
      </c>
      <c r="I548" s="7" t="str">
        <f>IF(AND(ISBLANK(D548),ISBLANK(C548)),"",((VLOOKUP(D548,Cardápio!$A$2:$C$16,3,0))*E548)+IF(B548="iFood",F548*0.27,(VLOOKUP(VENDAS!C548,Bairros!$A$2:$B$90,2,0))))</f>
        <v/>
      </c>
      <c r="J548" s="7" t="str">
        <f t="shared" si="33"/>
        <v/>
      </c>
      <c r="K548" s="9">
        <f t="shared" ca="1" si="34"/>
        <v>45404.878290046297</v>
      </c>
      <c r="L548" s="10">
        <f t="shared" ca="1" si="35"/>
        <v>45404.878290046297</v>
      </c>
    </row>
    <row r="549" spans="6:12" x14ac:dyDescent="0.25">
      <c r="F549" s="11" t="str">
        <f>IF(ISBLANK(D549),"",(VLOOKUP(D549,Cardápio!$A$2:$B$16,2,0))*E549)</f>
        <v/>
      </c>
      <c r="H549" s="7" t="str">
        <f t="shared" si="32"/>
        <v/>
      </c>
      <c r="I549" s="7" t="str">
        <f>IF(AND(ISBLANK(D549),ISBLANK(C549)),"",((VLOOKUP(D549,Cardápio!$A$2:$C$16,3,0))*E549)+IF(B549="iFood",F549*0.27,(VLOOKUP(VENDAS!C549,Bairros!$A$2:$B$90,2,0))))</f>
        <v/>
      </c>
      <c r="J549" s="7" t="str">
        <f t="shared" si="33"/>
        <v/>
      </c>
      <c r="K549" s="9">
        <f t="shared" ca="1" si="34"/>
        <v>45404.878290162036</v>
      </c>
      <c r="L549" s="10">
        <f t="shared" ca="1" si="35"/>
        <v>45404.878290046297</v>
      </c>
    </row>
    <row r="550" spans="6:12" x14ac:dyDescent="0.25">
      <c r="F550" s="11" t="str">
        <f>IF(ISBLANK(D550),"",(VLOOKUP(D550,Cardápio!$A$2:$B$16,2,0))*E550)</f>
        <v/>
      </c>
      <c r="H550" s="7" t="str">
        <f t="shared" si="32"/>
        <v/>
      </c>
      <c r="I550" s="7" t="str">
        <f>IF(AND(ISBLANK(D550),ISBLANK(C550)),"",((VLOOKUP(D550,Cardápio!$A$2:$C$16,3,0))*E550)+IF(B550="iFood",F550*0.27,(VLOOKUP(VENDAS!C550,Bairros!$A$2:$B$90,2,0))))</f>
        <v/>
      </c>
      <c r="J550" s="7" t="str">
        <f t="shared" si="33"/>
        <v/>
      </c>
      <c r="K550" s="9">
        <f t="shared" ca="1" si="34"/>
        <v>45404.878290046297</v>
      </c>
      <c r="L550" s="10">
        <f t="shared" ca="1" si="35"/>
        <v>45404.878290046297</v>
      </c>
    </row>
    <row r="551" spans="6:12" x14ac:dyDescent="0.25">
      <c r="F551" s="11" t="str">
        <f>IF(ISBLANK(D551),"",(VLOOKUP(D551,Cardápio!$A$2:$B$16,2,0))*E551)</f>
        <v/>
      </c>
      <c r="H551" s="7" t="str">
        <f t="shared" si="32"/>
        <v/>
      </c>
      <c r="I551" s="7" t="str">
        <f>IF(AND(ISBLANK(D551),ISBLANK(C551)),"",((VLOOKUP(D551,Cardápio!$A$2:$C$16,3,0))*E551)+IF(B551="iFood",F551*0.27,(VLOOKUP(VENDAS!C551,Bairros!$A$2:$B$90,2,0))))</f>
        <v/>
      </c>
      <c r="J551" s="7" t="str">
        <f t="shared" si="33"/>
        <v/>
      </c>
      <c r="K551" s="9">
        <f t="shared" ca="1" si="34"/>
        <v>45404.878290046297</v>
      </c>
      <c r="L551" s="10">
        <f t="shared" ca="1" si="35"/>
        <v>45404.878290046297</v>
      </c>
    </row>
    <row r="552" spans="6:12" x14ac:dyDescent="0.25">
      <c r="F552" s="11" t="str">
        <f>IF(ISBLANK(D552),"",(VLOOKUP(D552,Cardápio!$A$2:$B$16,2,0))*E552)</f>
        <v/>
      </c>
      <c r="H552" s="7" t="str">
        <f t="shared" si="32"/>
        <v/>
      </c>
      <c r="I552" s="7" t="str">
        <f>IF(AND(ISBLANK(D552),ISBLANK(C552)),"",((VLOOKUP(D552,Cardápio!$A$2:$C$16,3,0))*E552)+IF(B552="iFood",F552*0.27,(VLOOKUP(VENDAS!C552,Bairros!$A$2:$B$90,2,0))))</f>
        <v/>
      </c>
      <c r="J552" s="7" t="str">
        <f t="shared" si="33"/>
        <v/>
      </c>
      <c r="K552" s="9">
        <f t="shared" ca="1" si="34"/>
        <v>45404.878290046297</v>
      </c>
      <c r="L552" s="10">
        <f t="shared" ca="1" si="35"/>
        <v>45404.878290046297</v>
      </c>
    </row>
    <row r="553" spans="6:12" x14ac:dyDescent="0.25">
      <c r="F553" s="11" t="str">
        <f>IF(ISBLANK(D553),"",(VLOOKUP(D553,Cardápio!$A$2:$B$16,2,0))*E553)</f>
        <v/>
      </c>
      <c r="H553" s="7" t="str">
        <f t="shared" si="32"/>
        <v/>
      </c>
      <c r="I553" s="7" t="str">
        <f>IF(AND(ISBLANK(D553),ISBLANK(C553)),"",((VLOOKUP(D553,Cardápio!$A$2:$C$16,3,0))*E553)+IF(B553="iFood",F553*0.27,(VLOOKUP(VENDAS!C553,Bairros!$A$2:$B$90,2,0))))</f>
        <v/>
      </c>
      <c r="J553" s="7" t="str">
        <f t="shared" si="33"/>
        <v/>
      </c>
      <c r="K553" s="9">
        <f t="shared" ca="1" si="34"/>
        <v>45404.878290162036</v>
      </c>
      <c r="L553" s="10">
        <f t="shared" ca="1" si="35"/>
        <v>45404.878290046297</v>
      </c>
    </row>
    <row r="554" spans="6:12" x14ac:dyDescent="0.25">
      <c r="F554" s="11" t="str">
        <f>IF(ISBLANK(D554),"",(VLOOKUP(D554,Cardápio!$A$2:$B$16,2,0))*E554)</f>
        <v/>
      </c>
      <c r="H554" s="7" t="str">
        <f t="shared" si="32"/>
        <v/>
      </c>
      <c r="I554" s="7" t="str">
        <f>IF(AND(ISBLANK(D554),ISBLANK(C554)),"",((VLOOKUP(D554,Cardápio!$A$2:$C$16,3,0))*E554)+IF(B554="iFood",F554*0.27,(VLOOKUP(VENDAS!C554,Bairros!$A$2:$B$90,2,0))))</f>
        <v/>
      </c>
      <c r="J554" s="7" t="str">
        <f t="shared" si="33"/>
        <v/>
      </c>
      <c r="K554" s="9">
        <f t="shared" ca="1" si="34"/>
        <v>45404.878290046297</v>
      </c>
      <c r="L554" s="10">
        <f t="shared" ca="1" si="35"/>
        <v>45404.878290046297</v>
      </c>
    </row>
    <row r="555" spans="6:12" x14ac:dyDescent="0.25">
      <c r="F555" s="11" t="str">
        <f>IF(ISBLANK(D555),"",(VLOOKUP(D555,Cardápio!$A$2:$B$16,2,0))*E555)</f>
        <v/>
      </c>
      <c r="H555" s="7" t="str">
        <f t="shared" si="32"/>
        <v/>
      </c>
      <c r="I555" s="7" t="str">
        <f>IF(AND(ISBLANK(D555),ISBLANK(C555)),"",((VLOOKUP(D555,Cardápio!$A$2:$C$16,3,0))*E555)+IF(B555="iFood",F555*0.27,(VLOOKUP(VENDAS!C555,Bairros!$A$2:$B$90,2,0))))</f>
        <v/>
      </c>
      <c r="J555" s="7" t="str">
        <f t="shared" si="33"/>
        <v/>
      </c>
      <c r="K555" s="9">
        <f t="shared" ca="1" si="34"/>
        <v>45404.878290046297</v>
      </c>
      <c r="L555" s="10">
        <f t="shared" ca="1" si="35"/>
        <v>45404.878290046297</v>
      </c>
    </row>
    <row r="556" spans="6:12" x14ac:dyDescent="0.25">
      <c r="F556" s="11" t="str">
        <f>IF(ISBLANK(D556),"",(VLOOKUP(D556,Cardápio!$A$2:$B$16,2,0))*E556)</f>
        <v/>
      </c>
      <c r="H556" s="7" t="str">
        <f t="shared" si="32"/>
        <v/>
      </c>
      <c r="I556" s="7" t="str">
        <f>IF(AND(ISBLANK(D556),ISBLANK(C556)),"",((VLOOKUP(D556,Cardápio!$A$2:$C$16,3,0))*E556)+IF(B556="iFood",F556*0.27,(VLOOKUP(VENDAS!C556,Bairros!$A$2:$B$90,2,0))))</f>
        <v/>
      </c>
      <c r="J556" s="7" t="str">
        <f t="shared" si="33"/>
        <v/>
      </c>
      <c r="K556" s="9">
        <f t="shared" ca="1" si="34"/>
        <v>45404.878290046297</v>
      </c>
      <c r="L556" s="10">
        <f t="shared" ca="1" si="35"/>
        <v>45404.878290046297</v>
      </c>
    </row>
    <row r="557" spans="6:12" x14ac:dyDescent="0.25">
      <c r="F557" s="11" t="str">
        <f>IF(ISBLANK(D557),"",(VLOOKUP(D557,Cardápio!$A$2:$B$16,2,0))*E557)</f>
        <v/>
      </c>
      <c r="H557" s="7" t="str">
        <f t="shared" si="32"/>
        <v/>
      </c>
      <c r="I557" s="7" t="str">
        <f>IF(AND(ISBLANK(D557),ISBLANK(C557)),"",((VLOOKUP(D557,Cardápio!$A$2:$C$16,3,0))*E557)+IF(B557="iFood",F557*0.27,(VLOOKUP(VENDAS!C557,Bairros!$A$2:$B$90,2,0))))</f>
        <v/>
      </c>
      <c r="J557" s="7" t="str">
        <f t="shared" si="33"/>
        <v/>
      </c>
      <c r="K557" s="9">
        <f t="shared" ca="1" si="34"/>
        <v>45404.878290162036</v>
      </c>
      <c r="L557" s="10">
        <f t="shared" ca="1" si="35"/>
        <v>45404.878290046297</v>
      </c>
    </row>
    <row r="558" spans="6:12" x14ac:dyDescent="0.25">
      <c r="F558" s="11" t="str">
        <f>IF(ISBLANK(D558),"",(VLOOKUP(D558,Cardápio!$A$2:$B$16,2,0))*E558)</f>
        <v/>
      </c>
      <c r="H558" s="7" t="str">
        <f t="shared" si="32"/>
        <v/>
      </c>
      <c r="I558" s="7" t="str">
        <f>IF(AND(ISBLANK(D558),ISBLANK(C558)),"",((VLOOKUP(D558,Cardápio!$A$2:$C$16,3,0))*E558)+IF(B558="iFood",F558*0.27,(VLOOKUP(VENDAS!C558,Bairros!$A$2:$B$90,2,0))))</f>
        <v/>
      </c>
      <c r="J558" s="7" t="str">
        <f t="shared" si="33"/>
        <v/>
      </c>
      <c r="K558" s="9">
        <f t="shared" ca="1" si="34"/>
        <v>45404.878290046297</v>
      </c>
      <c r="L558" s="10">
        <f t="shared" ca="1" si="35"/>
        <v>45404.878290046297</v>
      </c>
    </row>
    <row r="559" spans="6:12" x14ac:dyDescent="0.25">
      <c r="F559" s="11" t="str">
        <f>IF(ISBLANK(D559),"",(VLOOKUP(D559,Cardápio!$A$2:$B$16,2,0))*E559)</f>
        <v/>
      </c>
      <c r="H559" s="7" t="str">
        <f t="shared" si="32"/>
        <v/>
      </c>
      <c r="I559" s="7" t="str">
        <f>IF(AND(ISBLANK(D559),ISBLANK(C559)),"",((VLOOKUP(D559,Cardápio!$A$2:$C$16,3,0))*E559)+IF(B559="iFood",F559*0.27,(VLOOKUP(VENDAS!C559,Bairros!$A$2:$B$90,2,0))))</f>
        <v/>
      </c>
      <c r="J559" s="7" t="str">
        <f t="shared" si="33"/>
        <v/>
      </c>
      <c r="K559" s="9">
        <f t="shared" ca="1" si="34"/>
        <v>45404.878290046297</v>
      </c>
      <c r="L559" s="10">
        <f t="shared" ca="1" si="35"/>
        <v>45404.878290046297</v>
      </c>
    </row>
    <row r="560" spans="6:12" x14ac:dyDescent="0.25">
      <c r="F560" s="11" t="str">
        <f>IF(ISBLANK(D560),"",(VLOOKUP(D560,Cardápio!$A$2:$B$16,2,0))*E560)</f>
        <v/>
      </c>
      <c r="H560" s="7" t="str">
        <f t="shared" si="32"/>
        <v/>
      </c>
      <c r="I560" s="7" t="str">
        <f>IF(AND(ISBLANK(D560),ISBLANK(C560)),"",((VLOOKUP(D560,Cardápio!$A$2:$C$16,3,0))*E560)+IF(B560="iFood",F560*0.27,(VLOOKUP(VENDAS!C560,Bairros!$A$2:$B$90,2,0))))</f>
        <v/>
      </c>
      <c r="J560" s="7" t="str">
        <f t="shared" si="33"/>
        <v/>
      </c>
      <c r="K560" s="9">
        <f t="shared" ca="1" si="34"/>
        <v>45404.878290046297</v>
      </c>
      <c r="L560" s="10">
        <f t="shared" ca="1" si="35"/>
        <v>45404.878290046297</v>
      </c>
    </row>
    <row r="561" spans="6:12" x14ac:dyDescent="0.25">
      <c r="F561" s="11" t="str">
        <f>IF(ISBLANK(D561),"",(VLOOKUP(D561,Cardápio!$A$2:$B$16,2,0))*E561)</f>
        <v/>
      </c>
      <c r="H561" s="7" t="str">
        <f t="shared" si="32"/>
        <v/>
      </c>
      <c r="I561" s="7" t="str">
        <f>IF(AND(ISBLANK(D561),ISBLANK(C561)),"",((VLOOKUP(D561,Cardápio!$A$2:$C$16,3,0))*E561)+IF(B561="iFood",F561*0.27,(VLOOKUP(VENDAS!C561,Bairros!$A$2:$B$90,2,0))))</f>
        <v/>
      </c>
      <c r="J561" s="7" t="str">
        <f t="shared" si="33"/>
        <v/>
      </c>
      <c r="K561" s="9">
        <f t="shared" ca="1" si="34"/>
        <v>45404.878290162036</v>
      </c>
      <c r="L561" s="10">
        <f t="shared" ca="1" si="35"/>
        <v>45404.878290046297</v>
      </c>
    </row>
    <row r="562" spans="6:12" x14ac:dyDescent="0.25">
      <c r="F562" s="11" t="str">
        <f>IF(ISBLANK(D562),"",(VLOOKUP(D562,Cardápio!$A$2:$B$16,2,0))*E562)</f>
        <v/>
      </c>
      <c r="H562" s="7" t="str">
        <f t="shared" si="32"/>
        <v/>
      </c>
      <c r="I562" s="7" t="str">
        <f>IF(AND(ISBLANK(D562),ISBLANK(C562)),"",((VLOOKUP(D562,Cardápio!$A$2:$C$16,3,0))*E562)+IF(B562="iFood",F562*0.27,(VLOOKUP(VENDAS!C562,Bairros!$A$2:$B$90,2,0))))</f>
        <v/>
      </c>
      <c r="J562" s="7" t="str">
        <f t="shared" si="33"/>
        <v/>
      </c>
      <c r="K562" s="9">
        <f t="shared" ca="1" si="34"/>
        <v>45404.878290046297</v>
      </c>
      <c r="L562" s="10">
        <f t="shared" ca="1" si="35"/>
        <v>45404.878290046297</v>
      </c>
    </row>
    <row r="563" spans="6:12" x14ac:dyDescent="0.25">
      <c r="F563" s="11" t="str">
        <f>IF(ISBLANK(D563),"",(VLOOKUP(D563,Cardápio!$A$2:$B$16,2,0))*E563)</f>
        <v/>
      </c>
      <c r="H563" s="7" t="str">
        <f t="shared" si="32"/>
        <v/>
      </c>
      <c r="I563" s="7" t="str">
        <f>IF(AND(ISBLANK(D563),ISBLANK(C563)),"",((VLOOKUP(D563,Cardápio!$A$2:$C$16,3,0))*E563)+IF(B563="iFood",F563*0.27,(VLOOKUP(VENDAS!C563,Bairros!$A$2:$B$90,2,0))))</f>
        <v/>
      </c>
      <c r="J563" s="7" t="str">
        <f t="shared" si="33"/>
        <v/>
      </c>
      <c r="K563" s="9">
        <f t="shared" ca="1" si="34"/>
        <v>45404.878290046297</v>
      </c>
      <c r="L563" s="10">
        <f t="shared" ca="1" si="35"/>
        <v>45404.878290046297</v>
      </c>
    </row>
    <row r="564" spans="6:12" x14ac:dyDescent="0.25">
      <c r="F564" s="11" t="str">
        <f>IF(ISBLANK(D564),"",(VLOOKUP(D564,Cardápio!$A$2:$B$16,2,0))*E564)</f>
        <v/>
      </c>
      <c r="H564" s="7" t="str">
        <f t="shared" si="32"/>
        <v/>
      </c>
      <c r="I564" s="7" t="str">
        <f>IF(AND(ISBLANK(D564),ISBLANK(C564)),"",((VLOOKUP(D564,Cardápio!$A$2:$C$16,3,0))*E564)+IF(B564="iFood",F564*0.27,(VLOOKUP(VENDAS!C564,Bairros!$A$2:$B$90,2,0))))</f>
        <v/>
      </c>
      <c r="J564" s="7" t="str">
        <f t="shared" si="33"/>
        <v/>
      </c>
      <c r="K564" s="9">
        <f t="shared" ca="1" si="34"/>
        <v>45404.878290046297</v>
      </c>
      <c r="L564" s="10">
        <f t="shared" ca="1" si="35"/>
        <v>45404.878290046297</v>
      </c>
    </row>
    <row r="565" spans="6:12" x14ac:dyDescent="0.25">
      <c r="F565" s="11" t="str">
        <f>IF(ISBLANK(D565),"",(VLOOKUP(D565,Cardápio!$A$2:$B$16,2,0))*E565)</f>
        <v/>
      </c>
      <c r="H565" s="7" t="str">
        <f t="shared" ref="H565:H628" si="36">IF(ISBLANK(D565),"",F565-G565)</f>
        <v/>
      </c>
      <c r="I565" s="7" t="str">
        <f>IF(AND(ISBLANK(D565),ISBLANK(C565)),"",((VLOOKUP(D565,Cardápio!$A$2:$C$16,3,0))*E565)+IF(B565="iFood",F565*0.27,(VLOOKUP(VENDAS!C565,Bairros!$A$2:$B$90,2,0))))</f>
        <v/>
      </c>
      <c r="J565" s="7" t="str">
        <f t="shared" ref="J565:J628" si="37">IF(OR(AND(ISBLANK(H565),ISBLANK(I565)),(AND(H565="",I565=""))),"",H565-I565)</f>
        <v/>
      </c>
      <c r="K565" s="9">
        <f t="shared" ref="K565:K628" ca="1" si="38">IF(D565&lt;&gt;"",K565,NOW())</f>
        <v>45404.878290162036</v>
      </c>
      <c r="L565" s="10">
        <f t="shared" ref="L565:L628" ca="1" si="39">IF(D565&lt;&gt;"",L565,NOW())</f>
        <v>45404.878290046297</v>
      </c>
    </row>
    <row r="566" spans="6:12" x14ac:dyDescent="0.25">
      <c r="F566" s="11" t="str">
        <f>IF(ISBLANK(D566),"",(VLOOKUP(D566,Cardápio!$A$2:$B$16,2,0))*E566)</f>
        <v/>
      </c>
      <c r="H566" s="7" t="str">
        <f t="shared" si="36"/>
        <v/>
      </c>
      <c r="I566" s="7" t="str">
        <f>IF(AND(ISBLANK(D566),ISBLANK(C566)),"",((VLOOKUP(D566,Cardápio!$A$2:$C$16,3,0))*E566)+IF(B566="iFood",F566*0.27,(VLOOKUP(VENDAS!C566,Bairros!$A$2:$B$90,2,0))))</f>
        <v/>
      </c>
      <c r="J566" s="7" t="str">
        <f t="shared" si="37"/>
        <v/>
      </c>
      <c r="K566" s="9">
        <f t="shared" ca="1" si="38"/>
        <v>45404.878290046297</v>
      </c>
      <c r="L566" s="10">
        <f t="shared" ca="1" si="39"/>
        <v>45404.878290046297</v>
      </c>
    </row>
    <row r="567" spans="6:12" x14ac:dyDescent="0.25">
      <c r="F567" s="11" t="str">
        <f>IF(ISBLANK(D567),"",(VLOOKUP(D567,Cardápio!$A$2:$B$16,2,0))*E567)</f>
        <v/>
      </c>
      <c r="H567" s="7" t="str">
        <f t="shared" si="36"/>
        <v/>
      </c>
      <c r="I567" s="7" t="str">
        <f>IF(AND(ISBLANK(D567),ISBLANK(C567)),"",((VLOOKUP(D567,Cardápio!$A$2:$C$16,3,0))*E567)+IF(B567="iFood",F567*0.27,(VLOOKUP(VENDAS!C567,Bairros!$A$2:$B$90,2,0))))</f>
        <v/>
      </c>
      <c r="J567" s="7" t="str">
        <f t="shared" si="37"/>
        <v/>
      </c>
      <c r="K567" s="9">
        <f t="shared" ca="1" si="38"/>
        <v>45404.878290046297</v>
      </c>
      <c r="L567" s="10">
        <f t="shared" ca="1" si="39"/>
        <v>45404.878290046297</v>
      </c>
    </row>
    <row r="568" spans="6:12" x14ac:dyDescent="0.25">
      <c r="F568" s="11" t="str">
        <f>IF(ISBLANK(D568),"",(VLOOKUP(D568,Cardápio!$A$2:$B$16,2,0))*E568)</f>
        <v/>
      </c>
      <c r="H568" s="7" t="str">
        <f t="shared" si="36"/>
        <v/>
      </c>
      <c r="I568" s="7" t="str">
        <f>IF(AND(ISBLANK(D568),ISBLANK(C568)),"",((VLOOKUP(D568,Cardápio!$A$2:$C$16,3,0))*E568)+IF(B568="iFood",F568*0.27,(VLOOKUP(VENDAS!C568,Bairros!$A$2:$B$90,2,0))))</f>
        <v/>
      </c>
      <c r="J568" s="7" t="str">
        <f t="shared" si="37"/>
        <v/>
      </c>
      <c r="K568" s="9">
        <f t="shared" ca="1" si="38"/>
        <v>45404.878290046297</v>
      </c>
      <c r="L568" s="10">
        <f t="shared" ca="1" si="39"/>
        <v>45404.878290046297</v>
      </c>
    </row>
    <row r="569" spans="6:12" x14ac:dyDescent="0.25">
      <c r="F569" s="11" t="str">
        <f>IF(ISBLANK(D569),"",(VLOOKUP(D569,Cardápio!$A$2:$B$16,2,0))*E569)</f>
        <v/>
      </c>
      <c r="H569" s="7" t="str">
        <f t="shared" si="36"/>
        <v/>
      </c>
      <c r="I569" s="7" t="str">
        <f>IF(AND(ISBLANK(D569),ISBLANK(C569)),"",((VLOOKUP(D569,Cardápio!$A$2:$C$16,3,0))*E569)+IF(B569="iFood",F569*0.27,(VLOOKUP(VENDAS!C569,Bairros!$A$2:$B$90,2,0))))</f>
        <v/>
      </c>
      <c r="J569" s="7" t="str">
        <f t="shared" si="37"/>
        <v/>
      </c>
      <c r="K569" s="9">
        <f t="shared" ca="1" si="38"/>
        <v>45404.878290162036</v>
      </c>
      <c r="L569" s="10">
        <f t="shared" ca="1" si="39"/>
        <v>45404.878290046297</v>
      </c>
    </row>
    <row r="570" spans="6:12" x14ac:dyDescent="0.25">
      <c r="F570" s="11" t="str">
        <f>IF(ISBLANK(D570),"",(VLOOKUP(D570,Cardápio!$A$2:$B$16,2,0))*E570)</f>
        <v/>
      </c>
      <c r="H570" s="7" t="str">
        <f t="shared" si="36"/>
        <v/>
      </c>
      <c r="I570" s="7" t="str">
        <f>IF(AND(ISBLANK(D570),ISBLANK(C570)),"",((VLOOKUP(D570,Cardápio!$A$2:$C$16,3,0))*E570)+IF(B570="iFood",F570*0.27,(VLOOKUP(VENDAS!C570,Bairros!$A$2:$B$90,2,0))))</f>
        <v/>
      </c>
      <c r="J570" s="7" t="str">
        <f t="shared" si="37"/>
        <v/>
      </c>
      <c r="K570" s="9">
        <f t="shared" ca="1" si="38"/>
        <v>45404.878290046297</v>
      </c>
      <c r="L570" s="10">
        <f t="shared" ca="1" si="39"/>
        <v>45404.878290046297</v>
      </c>
    </row>
    <row r="571" spans="6:12" x14ac:dyDescent="0.25">
      <c r="F571" s="11" t="str">
        <f>IF(ISBLANK(D571),"",(VLOOKUP(D571,Cardápio!$A$2:$B$16,2,0))*E571)</f>
        <v/>
      </c>
      <c r="H571" s="7" t="str">
        <f t="shared" si="36"/>
        <v/>
      </c>
      <c r="I571" s="7" t="str">
        <f>IF(AND(ISBLANK(D571),ISBLANK(C571)),"",((VLOOKUP(D571,Cardápio!$A$2:$C$16,3,0))*E571)+IF(B571="iFood",F571*0.27,(VLOOKUP(VENDAS!C571,Bairros!$A$2:$B$90,2,0))))</f>
        <v/>
      </c>
      <c r="J571" s="7" t="str">
        <f t="shared" si="37"/>
        <v/>
      </c>
      <c r="K571" s="9">
        <f t="shared" ca="1" si="38"/>
        <v>45404.878290046297</v>
      </c>
      <c r="L571" s="10">
        <f t="shared" ca="1" si="39"/>
        <v>45404.878290046297</v>
      </c>
    </row>
    <row r="572" spans="6:12" x14ac:dyDescent="0.25">
      <c r="F572" s="11" t="str">
        <f>IF(ISBLANK(D572),"",(VLOOKUP(D572,Cardápio!$A$2:$B$16,2,0))*E572)</f>
        <v/>
      </c>
      <c r="H572" s="7" t="str">
        <f t="shared" si="36"/>
        <v/>
      </c>
      <c r="I572" s="7" t="str">
        <f>IF(AND(ISBLANK(D572),ISBLANK(C572)),"",((VLOOKUP(D572,Cardápio!$A$2:$C$16,3,0))*E572)+IF(B572="iFood",F572*0.27,(VLOOKUP(VENDAS!C572,Bairros!$A$2:$B$90,2,0))))</f>
        <v/>
      </c>
      <c r="J572" s="7" t="str">
        <f t="shared" si="37"/>
        <v/>
      </c>
      <c r="K572" s="9">
        <f t="shared" ca="1" si="38"/>
        <v>45404.878290046297</v>
      </c>
      <c r="L572" s="10">
        <f t="shared" ca="1" si="39"/>
        <v>45404.878290046297</v>
      </c>
    </row>
    <row r="573" spans="6:12" x14ac:dyDescent="0.25">
      <c r="F573" s="11" t="str">
        <f>IF(ISBLANK(D573),"",(VLOOKUP(D573,Cardápio!$A$2:$B$16,2,0))*E573)</f>
        <v/>
      </c>
      <c r="H573" s="7" t="str">
        <f t="shared" si="36"/>
        <v/>
      </c>
      <c r="I573" s="7" t="str">
        <f>IF(AND(ISBLANK(D573),ISBLANK(C573)),"",((VLOOKUP(D573,Cardápio!$A$2:$C$16,3,0))*E573)+IF(B573="iFood",F573*0.27,(VLOOKUP(VENDAS!C573,Bairros!$A$2:$B$90,2,0))))</f>
        <v/>
      </c>
      <c r="J573" s="7" t="str">
        <f t="shared" si="37"/>
        <v/>
      </c>
      <c r="K573" s="9">
        <f t="shared" ca="1" si="38"/>
        <v>45404.878290162036</v>
      </c>
      <c r="L573" s="10">
        <f t="shared" ca="1" si="39"/>
        <v>45404.878290046297</v>
      </c>
    </row>
    <row r="574" spans="6:12" x14ac:dyDescent="0.25">
      <c r="F574" s="11" t="str">
        <f>IF(ISBLANK(D574),"",(VLOOKUP(D574,Cardápio!$A$2:$B$16,2,0))*E574)</f>
        <v/>
      </c>
      <c r="H574" s="7" t="str">
        <f t="shared" si="36"/>
        <v/>
      </c>
      <c r="I574" s="7" t="str">
        <f>IF(AND(ISBLANK(D574),ISBLANK(C574)),"",((VLOOKUP(D574,Cardápio!$A$2:$C$16,3,0))*E574)+IF(B574="iFood",F574*0.27,(VLOOKUP(VENDAS!C574,Bairros!$A$2:$B$90,2,0))))</f>
        <v/>
      </c>
      <c r="J574" s="7" t="str">
        <f t="shared" si="37"/>
        <v/>
      </c>
      <c r="K574" s="9">
        <f t="shared" ca="1" si="38"/>
        <v>45404.878290046297</v>
      </c>
      <c r="L574" s="10">
        <f t="shared" ca="1" si="39"/>
        <v>45404.878290046297</v>
      </c>
    </row>
    <row r="575" spans="6:12" x14ac:dyDescent="0.25">
      <c r="F575" s="11" t="str">
        <f>IF(ISBLANK(D575),"",(VLOOKUP(D575,Cardápio!$A$2:$B$16,2,0))*E575)</f>
        <v/>
      </c>
      <c r="H575" s="7" t="str">
        <f t="shared" si="36"/>
        <v/>
      </c>
      <c r="I575" s="7" t="str">
        <f>IF(AND(ISBLANK(D575),ISBLANK(C575)),"",((VLOOKUP(D575,Cardápio!$A$2:$C$16,3,0))*E575)+IF(B575="iFood",F575*0.27,(VLOOKUP(VENDAS!C575,Bairros!$A$2:$B$90,2,0))))</f>
        <v/>
      </c>
      <c r="J575" s="7" t="str">
        <f t="shared" si="37"/>
        <v/>
      </c>
      <c r="K575" s="9">
        <f t="shared" ca="1" si="38"/>
        <v>45404.878290046297</v>
      </c>
      <c r="L575" s="10">
        <f t="shared" ca="1" si="39"/>
        <v>45404.878290046297</v>
      </c>
    </row>
    <row r="576" spans="6:12" x14ac:dyDescent="0.25">
      <c r="F576" s="11" t="str">
        <f>IF(ISBLANK(D576),"",(VLOOKUP(D576,Cardápio!$A$2:$B$16,2,0))*E576)</f>
        <v/>
      </c>
      <c r="H576" s="7" t="str">
        <f t="shared" si="36"/>
        <v/>
      </c>
      <c r="I576" s="7" t="str">
        <f>IF(AND(ISBLANK(D576),ISBLANK(C576)),"",((VLOOKUP(D576,Cardápio!$A$2:$C$16,3,0))*E576)+IF(B576="iFood",F576*0.27,(VLOOKUP(VENDAS!C576,Bairros!$A$2:$B$90,2,0))))</f>
        <v/>
      </c>
      <c r="J576" s="7" t="str">
        <f t="shared" si="37"/>
        <v/>
      </c>
      <c r="K576" s="9">
        <f t="shared" ca="1" si="38"/>
        <v>45404.878290046297</v>
      </c>
      <c r="L576" s="10">
        <f t="shared" ca="1" si="39"/>
        <v>45404.878290046297</v>
      </c>
    </row>
    <row r="577" spans="6:12" x14ac:dyDescent="0.25">
      <c r="F577" s="11" t="str">
        <f>IF(ISBLANK(D577),"",(VLOOKUP(D577,Cardápio!$A$2:$B$16,2,0))*E577)</f>
        <v/>
      </c>
      <c r="H577" s="7" t="str">
        <f t="shared" si="36"/>
        <v/>
      </c>
      <c r="I577" s="7" t="str">
        <f>IF(AND(ISBLANK(D577),ISBLANK(C577)),"",((VLOOKUP(D577,Cardápio!$A$2:$C$16,3,0))*E577)+IF(B577="iFood",F577*0.27,(VLOOKUP(VENDAS!C577,Bairros!$A$2:$B$90,2,0))))</f>
        <v/>
      </c>
      <c r="J577" s="7" t="str">
        <f t="shared" si="37"/>
        <v/>
      </c>
      <c r="K577" s="9">
        <f t="shared" ca="1" si="38"/>
        <v>45404.878290162036</v>
      </c>
      <c r="L577" s="10">
        <f t="shared" ca="1" si="39"/>
        <v>45404.878290046297</v>
      </c>
    </row>
    <row r="578" spans="6:12" x14ac:dyDescent="0.25">
      <c r="F578" s="11" t="str">
        <f>IF(ISBLANK(D578),"",(VLOOKUP(D578,Cardápio!$A$2:$B$16,2,0))*E578)</f>
        <v/>
      </c>
      <c r="H578" s="7" t="str">
        <f t="shared" si="36"/>
        <v/>
      </c>
      <c r="I578" s="7" t="str">
        <f>IF(AND(ISBLANK(D578),ISBLANK(C578)),"",((VLOOKUP(D578,Cardápio!$A$2:$C$16,3,0))*E578)+IF(B578="iFood",F578*0.27,(VLOOKUP(VENDAS!C578,Bairros!$A$2:$B$90,2,0))))</f>
        <v/>
      </c>
      <c r="J578" s="7" t="str">
        <f t="shared" si="37"/>
        <v/>
      </c>
      <c r="K578" s="9">
        <f t="shared" ca="1" si="38"/>
        <v>45404.878290046297</v>
      </c>
      <c r="L578" s="10">
        <f t="shared" ca="1" si="39"/>
        <v>45404.878290046297</v>
      </c>
    </row>
    <row r="579" spans="6:12" x14ac:dyDescent="0.25">
      <c r="F579" s="11" t="str">
        <f>IF(ISBLANK(D579),"",(VLOOKUP(D579,Cardápio!$A$2:$B$16,2,0))*E579)</f>
        <v/>
      </c>
      <c r="H579" s="7" t="str">
        <f t="shared" si="36"/>
        <v/>
      </c>
      <c r="I579" s="7" t="str">
        <f>IF(AND(ISBLANK(D579),ISBLANK(C579)),"",((VLOOKUP(D579,Cardápio!$A$2:$C$16,3,0))*E579)+IF(B579="iFood",F579*0.27,(VLOOKUP(VENDAS!C579,Bairros!$A$2:$B$90,2,0))))</f>
        <v/>
      </c>
      <c r="J579" s="7" t="str">
        <f t="shared" si="37"/>
        <v/>
      </c>
      <c r="K579" s="9">
        <f t="shared" ca="1" si="38"/>
        <v>45404.878290046297</v>
      </c>
      <c r="L579" s="10">
        <f t="shared" ca="1" si="39"/>
        <v>45404.878290046297</v>
      </c>
    </row>
    <row r="580" spans="6:12" x14ac:dyDescent="0.25">
      <c r="F580" s="11" t="str">
        <f>IF(ISBLANK(D580),"",(VLOOKUP(D580,Cardápio!$A$2:$B$16,2,0))*E580)</f>
        <v/>
      </c>
      <c r="H580" s="7" t="str">
        <f t="shared" si="36"/>
        <v/>
      </c>
      <c r="I580" s="7" t="str">
        <f>IF(AND(ISBLANK(D580),ISBLANK(C580)),"",((VLOOKUP(D580,Cardápio!$A$2:$C$16,3,0))*E580)+IF(B580="iFood",F580*0.27,(VLOOKUP(VENDAS!C580,Bairros!$A$2:$B$90,2,0))))</f>
        <v/>
      </c>
      <c r="J580" s="7" t="str">
        <f t="shared" si="37"/>
        <v/>
      </c>
      <c r="K580" s="9">
        <f t="shared" ca="1" si="38"/>
        <v>45404.878290046297</v>
      </c>
      <c r="L580" s="10">
        <f t="shared" ca="1" si="39"/>
        <v>45404.878290046297</v>
      </c>
    </row>
    <row r="581" spans="6:12" x14ac:dyDescent="0.25">
      <c r="F581" s="11" t="str">
        <f>IF(ISBLANK(D581),"",(VLOOKUP(D581,Cardápio!$A$2:$B$16,2,0))*E581)</f>
        <v/>
      </c>
      <c r="H581" s="7" t="str">
        <f t="shared" si="36"/>
        <v/>
      </c>
      <c r="I581" s="7" t="str">
        <f>IF(AND(ISBLANK(D581),ISBLANK(C581)),"",((VLOOKUP(D581,Cardápio!$A$2:$C$16,3,0))*E581)+IF(B581="iFood",F581*0.27,(VLOOKUP(VENDAS!C581,Bairros!$A$2:$B$90,2,0))))</f>
        <v/>
      </c>
      <c r="J581" s="7" t="str">
        <f t="shared" si="37"/>
        <v/>
      </c>
      <c r="K581" s="9">
        <f t="shared" ca="1" si="38"/>
        <v>45404.878290162036</v>
      </c>
      <c r="L581" s="10">
        <f t="shared" ca="1" si="39"/>
        <v>45404.878290046297</v>
      </c>
    </row>
    <row r="582" spans="6:12" x14ac:dyDescent="0.25">
      <c r="F582" s="11" t="str">
        <f>IF(ISBLANK(D582),"",(VLOOKUP(D582,Cardápio!$A$2:$B$16,2,0))*E582)</f>
        <v/>
      </c>
      <c r="H582" s="7" t="str">
        <f t="shared" si="36"/>
        <v/>
      </c>
      <c r="I582" s="7" t="str">
        <f>IF(AND(ISBLANK(D582),ISBLANK(C582)),"",((VLOOKUP(D582,Cardápio!$A$2:$C$16,3,0))*E582)+IF(B582="iFood",F582*0.27,(VLOOKUP(VENDAS!C582,Bairros!$A$2:$B$90,2,0))))</f>
        <v/>
      </c>
      <c r="J582" s="7" t="str">
        <f t="shared" si="37"/>
        <v/>
      </c>
      <c r="K582" s="9">
        <f t="shared" ca="1" si="38"/>
        <v>45404.878290046297</v>
      </c>
      <c r="L582" s="10">
        <f t="shared" ca="1" si="39"/>
        <v>45404.878290046297</v>
      </c>
    </row>
    <row r="583" spans="6:12" x14ac:dyDescent="0.25">
      <c r="F583" s="11" t="str">
        <f>IF(ISBLANK(D583),"",(VLOOKUP(D583,Cardápio!$A$2:$B$16,2,0))*E583)</f>
        <v/>
      </c>
      <c r="H583" s="7" t="str">
        <f t="shared" si="36"/>
        <v/>
      </c>
      <c r="I583" s="7" t="str">
        <f>IF(AND(ISBLANK(D583),ISBLANK(C583)),"",((VLOOKUP(D583,Cardápio!$A$2:$C$16,3,0))*E583)+IF(B583="iFood",F583*0.27,(VLOOKUP(VENDAS!C583,Bairros!$A$2:$B$90,2,0))))</f>
        <v/>
      </c>
      <c r="J583" s="7" t="str">
        <f t="shared" si="37"/>
        <v/>
      </c>
      <c r="K583" s="9">
        <f t="shared" ca="1" si="38"/>
        <v>45404.878290046297</v>
      </c>
      <c r="L583" s="10">
        <f t="shared" ca="1" si="39"/>
        <v>45404.878290046297</v>
      </c>
    </row>
    <row r="584" spans="6:12" x14ac:dyDescent="0.25">
      <c r="F584" s="11" t="str">
        <f>IF(ISBLANK(D584),"",(VLOOKUP(D584,Cardápio!$A$2:$B$16,2,0))*E584)</f>
        <v/>
      </c>
      <c r="H584" s="7" t="str">
        <f t="shared" si="36"/>
        <v/>
      </c>
      <c r="I584" s="7" t="str">
        <f>IF(AND(ISBLANK(D584),ISBLANK(C584)),"",((VLOOKUP(D584,Cardápio!$A$2:$C$16,3,0))*E584)+IF(B584="iFood",F584*0.27,(VLOOKUP(VENDAS!C584,Bairros!$A$2:$B$90,2,0))))</f>
        <v/>
      </c>
      <c r="J584" s="7" t="str">
        <f t="shared" si="37"/>
        <v/>
      </c>
      <c r="K584" s="9">
        <f t="shared" ca="1" si="38"/>
        <v>45404.878290046297</v>
      </c>
      <c r="L584" s="10">
        <f t="shared" ca="1" si="39"/>
        <v>45404.878290046297</v>
      </c>
    </row>
    <row r="585" spans="6:12" x14ac:dyDescent="0.25">
      <c r="F585" s="11" t="str">
        <f>IF(ISBLANK(D585),"",(VLOOKUP(D585,Cardápio!$A$2:$B$16,2,0))*E585)</f>
        <v/>
      </c>
      <c r="H585" s="7" t="str">
        <f t="shared" si="36"/>
        <v/>
      </c>
      <c r="I585" s="7" t="str">
        <f>IF(AND(ISBLANK(D585),ISBLANK(C585)),"",((VLOOKUP(D585,Cardápio!$A$2:$C$16,3,0))*E585)+IF(B585="iFood",F585*0.27,(VLOOKUP(VENDAS!C585,Bairros!$A$2:$B$90,2,0))))</f>
        <v/>
      </c>
      <c r="J585" s="7" t="str">
        <f t="shared" si="37"/>
        <v/>
      </c>
      <c r="K585" s="9">
        <f t="shared" ca="1" si="38"/>
        <v>45404.878290162036</v>
      </c>
      <c r="L585" s="10">
        <f t="shared" ca="1" si="39"/>
        <v>45404.878290046297</v>
      </c>
    </row>
    <row r="586" spans="6:12" x14ac:dyDescent="0.25">
      <c r="F586" s="11" t="str">
        <f>IF(ISBLANK(D586),"",(VLOOKUP(D586,Cardápio!$A$2:$B$16,2,0))*E586)</f>
        <v/>
      </c>
      <c r="H586" s="7" t="str">
        <f t="shared" si="36"/>
        <v/>
      </c>
      <c r="I586" s="7" t="str">
        <f>IF(AND(ISBLANK(D586),ISBLANK(C586)),"",((VLOOKUP(D586,Cardápio!$A$2:$C$16,3,0))*E586)+IF(B586="iFood",F586*0.27,(VLOOKUP(VENDAS!C586,Bairros!$A$2:$B$90,2,0))))</f>
        <v/>
      </c>
      <c r="J586" s="7" t="str">
        <f t="shared" si="37"/>
        <v/>
      </c>
      <c r="K586" s="9">
        <f t="shared" ca="1" si="38"/>
        <v>45404.878290046297</v>
      </c>
      <c r="L586" s="10">
        <f t="shared" ca="1" si="39"/>
        <v>45404.878290046297</v>
      </c>
    </row>
    <row r="587" spans="6:12" x14ac:dyDescent="0.25">
      <c r="F587" s="11" t="str">
        <f>IF(ISBLANK(D587),"",(VLOOKUP(D587,Cardápio!$A$2:$B$16,2,0))*E587)</f>
        <v/>
      </c>
      <c r="H587" s="7" t="str">
        <f t="shared" si="36"/>
        <v/>
      </c>
      <c r="I587" s="7" t="str">
        <f>IF(AND(ISBLANK(D587),ISBLANK(C587)),"",((VLOOKUP(D587,Cardápio!$A$2:$C$16,3,0))*E587)+IF(B587="iFood",F587*0.27,(VLOOKUP(VENDAS!C587,Bairros!$A$2:$B$90,2,0))))</f>
        <v/>
      </c>
      <c r="J587" s="7" t="str">
        <f t="shared" si="37"/>
        <v/>
      </c>
      <c r="K587" s="9">
        <f t="shared" ca="1" si="38"/>
        <v>45404.878290046297</v>
      </c>
      <c r="L587" s="10">
        <f t="shared" ca="1" si="39"/>
        <v>45404.878290046297</v>
      </c>
    </row>
    <row r="588" spans="6:12" x14ac:dyDescent="0.25">
      <c r="F588" s="11" t="str">
        <f>IF(ISBLANK(D588),"",(VLOOKUP(D588,Cardápio!$A$2:$B$16,2,0))*E588)</f>
        <v/>
      </c>
      <c r="H588" s="7" t="str">
        <f t="shared" si="36"/>
        <v/>
      </c>
      <c r="I588" s="7" t="str">
        <f>IF(AND(ISBLANK(D588),ISBLANK(C588)),"",((VLOOKUP(D588,Cardápio!$A$2:$C$16,3,0))*E588)+IF(B588="iFood",F588*0.27,(VLOOKUP(VENDAS!C588,Bairros!$A$2:$B$90,2,0))))</f>
        <v/>
      </c>
      <c r="J588" s="7" t="str">
        <f t="shared" si="37"/>
        <v/>
      </c>
      <c r="K588" s="9">
        <f t="shared" ca="1" si="38"/>
        <v>45404.878290046297</v>
      </c>
      <c r="L588" s="10">
        <f t="shared" ca="1" si="39"/>
        <v>45404.878290046297</v>
      </c>
    </row>
    <row r="589" spans="6:12" x14ac:dyDescent="0.25">
      <c r="F589" s="11" t="str">
        <f>IF(ISBLANK(D589),"",(VLOOKUP(D589,Cardápio!$A$2:$B$16,2,0))*E589)</f>
        <v/>
      </c>
      <c r="H589" s="7" t="str">
        <f t="shared" si="36"/>
        <v/>
      </c>
      <c r="I589" s="7" t="str">
        <f>IF(AND(ISBLANK(D589),ISBLANK(C589)),"",((VLOOKUP(D589,Cardápio!$A$2:$C$16,3,0))*E589)+IF(B589="iFood",F589*0.27,(VLOOKUP(VENDAS!C589,Bairros!$A$2:$B$90,2,0))))</f>
        <v/>
      </c>
      <c r="J589" s="7" t="str">
        <f t="shared" si="37"/>
        <v/>
      </c>
      <c r="K589" s="9">
        <f t="shared" ca="1" si="38"/>
        <v>45404.878290162036</v>
      </c>
      <c r="L589" s="10">
        <f t="shared" ca="1" si="39"/>
        <v>45404.878290046297</v>
      </c>
    </row>
    <row r="590" spans="6:12" x14ac:dyDescent="0.25">
      <c r="F590" s="11" t="str">
        <f>IF(ISBLANK(D590),"",(VLOOKUP(D590,Cardápio!$A$2:$B$16,2,0))*E590)</f>
        <v/>
      </c>
      <c r="H590" s="7" t="str">
        <f t="shared" si="36"/>
        <v/>
      </c>
      <c r="I590" s="7" t="str">
        <f>IF(AND(ISBLANK(D590),ISBLANK(C590)),"",((VLOOKUP(D590,Cardápio!$A$2:$C$16,3,0))*E590)+IF(B590="iFood",F590*0.27,(VLOOKUP(VENDAS!C590,Bairros!$A$2:$B$90,2,0))))</f>
        <v/>
      </c>
      <c r="J590" s="7" t="str">
        <f t="shared" si="37"/>
        <v/>
      </c>
      <c r="K590" s="9">
        <f t="shared" ca="1" si="38"/>
        <v>45404.878290046297</v>
      </c>
      <c r="L590" s="10">
        <f t="shared" ca="1" si="39"/>
        <v>45404.878290046297</v>
      </c>
    </row>
    <row r="591" spans="6:12" x14ac:dyDescent="0.25">
      <c r="F591" s="11" t="str">
        <f>IF(ISBLANK(D591),"",(VLOOKUP(D591,Cardápio!$A$2:$B$16,2,0))*E591)</f>
        <v/>
      </c>
      <c r="H591" s="7" t="str">
        <f t="shared" si="36"/>
        <v/>
      </c>
      <c r="I591" s="7" t="str">
        <f>IF(AND(ISBLANK(D591),ISBLANK(C591)),"",((VLOOKUP(D591,Cardápio!$A$2:$C$16,3,0))*E591)+IF(B591="iFood",F591*0.27,(VLOOKUP(VENDAS!C591,Bairros!$A$2:$B$90,2,0))))</f>
        <v/>
      </c>
      <c r="J591" s="7" t="str">
        <f t="shared" si="37"/>
        <v/>
      </c>
      <c r="K591" s="9">
        <f t="shared" ca="1" si="38"/>
        <v>45404.878290046297</v>
      </c>
      <c r="L591" s="10">
        <f t="shared" ca="1" si="39"/>
        <v>45404.878290046297</v>
      </c>
    </row>
    <row r="592" spans="6:12" x14ac:dyDescent="0.25">
      <c r="F592" s="11" t="str">
        <f>IF(ISBLANK(D592),"",(VLOOKUP(D592,Cardápio!$A$2:$B$16,2,0))*E592)</f>
        <v/>
      </c>
      <c r="H592" s="7" t="str">
        <f t="shared" si="36"/>
        <v/>
      </c>
      <c r="I592" s="7" t="str">
        <f>IF(AND(ISBLANK(D592),ISBLANK(C592)),"",((VLOOKUP(D592,Cardápio!$A$2:$C$16,3,0))*E592)+IF(B592="iFood",F592*0.27,(VLOOKUP(VENDAS!C592,Bairros!$A$2:$B$90,2,0))))</f>
        <v/>
      </c>
      <c r="J592" s="7" t="str">
        <f t="shared" si="37"/>
        <v/>
      </c>
      <c r="K592" s="9">
        <f t="shared" ca="1" si="38"/>
        <v>45404.878290046297</v>
      </c>
      <c r="L592" s="10">
        <f t="shared" ca="1" si="39"/>
        <v>45404.878290046297</v>
      </c>
    </row>
    <row r="593" spans="6:12" x14ac:dyDescent="0.25">
      <c r="F593" s="11" t="str">
        <f>IF(ISBLANK(D593),"",(VLOOKUP(D593,Cardápio!$A$2:$B$16,2,0))*E593)</f>
        <v/>
      </c>
      <c r="H593" s="7" t="str">
        <f t="shared" si="36"/>
        <v/>
      </c>
      <c r="I593" s="7" t="str">
        <f>IF(AND(ISBLANK(D593),ISBLANK(C593)),"",((VLOOKUP(D593,Cardápio!$A$2:$C$16,3,0))*E593)+IF(B593="iFood",F593*0.27,(VLOOKUP(VENDAS!C593,Bairros!$A$2:$B$90,2,0))))</f>
        <v/>
      </c>
      <c r="J593" s="7" t="str">
        <f t="shared" si="37"/>
        <v/>
      </c>
      <c r="K593" s="9">
        <f t="shared" ca="1" si="38"/>
        <v>45404.878290162036</v>
      </c>
      <c r="L593" s="10">
        <f t="shared" ca="1" si="39"/>
        <v>45404.878290046297</v>
      </c>
    </row>
    <row r="594" spans="6:12" x14ac:dyDescent="0.25">
      <c r="F594" s="11" t="str">
        <f>IF(ISBLANK(D594),"",(VLOOKUP(D594,Cardápio!$A$2:$B$16,2,0))*E594)</f>
        <v/>
      </c>
      <c r="H594" s="7" t="str">
        <f t="shared" si="36"/>
        <v/>
      </c>
      <c r="I594" s="7" t="str">
        <f>IF(AND(ISBLANK(D594),ISBLANK(C594)),"",((VLOOKUP(D594,Cardápio!$A$2:$C$16,3,0))*E594)+IF(B594="iFood",F594*0.27,(VLOOKUP(VENDAS!C594,Bairros!$A$2:$B$90,2,0))))</f>
        <v/>
      </c>
      <c r="J594" s="7" t="str">
        <f t="shared" si="37"/>
        <v/>
      </c>
      <c r="K594" s="9">
        <f t="shared" ca="1" si="38"/>
        <v>45404.878290046297</v>
      </c>
      <c r="L594" s="10">
        <f t="shared" ca="1" si="39"/>
        <v>45404.878290046297</v>
      </c>
    </row>
    <row r="595" spans="6:12" x14ac:dyDescent="0.25">
      <c r="F595" s="11" t="str">
        <f>IF(ISBLANK(D595),"",(VLOOKUP(D595,Cardápio!$A$2:$B$16,2,0))*E595)</f>
        <v/>
      </c>
      <c r="H595" s="7" t="str">
        <f t="shared" si="36"/>
        <v/>
      </c>
      <c r="I595" s="7" t="str">
        <f>IF(AND(ISBLANK(D595),ISBLANK(C595)),"",((VLOOKUP(D595,Cardápio!$A$2:$C$16,3,0))*E595)+IF(B595="iFood",F595*0.27,(VLOOKUP(VENDAS!C595,Bairros!$A$2:$B$90,2,0))))</f>
        <v/>
      </c>
      <c r="J595" s="7" t="str">
        <f t="shared" si="37"/>
        <v/>
      </c>
      <c r="K595" s="9">
        <f t="shared" ca="1" si="38"/>
        <v>45404.878290046297</v>
      </c>
      <c r="L595" s="10">
        <f t="shared" ca="1" si="39"/>
        <v>45404.878290046297</v>
      </c>
    </row>
    <row r="596" spans="6:12" x14ac:dyDescent="0.25">
      <c r="F596" s="11" t="str">
        <f>IF(ISBLANK(D596),"",(VLOOKUP(D596,Cardápio!$A$2:$B$16,2,0))*E596)</f>
        <v/>
      </c>
      <c r="H596" s="7" t="str">
        <f t="shared" si="36"/>
        <v/>
      </c>
      <c r="I596" s="7" t="str">
        <f>IF(AND(ISBLANK(D596),ISBLANK(C596)),"",((VLOOKUP(D596,Cardápio!$A$2:$C$16,3,0))*E596)+IF(B596="iFood",F596*0.27,(VLOOKUP(VENDAS!C596,Bairros!$A$2:$B$90,2,0))))</f>
        <v/>
      </c>
      <c r="J596" s="7" t="str">
        <f t="shared" si="37"/>
        <v/>
      </c>
      <c r="K596" s="9">
        <f t="shared" ca="1" si="38"/>
        <v>45404.878290046297</v>
      </c>
      <c r="L596" s="10">
        <f t="shared" ca="1" si="39"/>
        <v>45404.878290046297</v>
      </c>
    </row>
    <row r="597" spans="6:12" x14ac:dyDescent="0.25">
      <c r="F597" s="11" t="str">
        <f>IF(ISBLANK(D597),"",(VLOOKUP(D597,Cardápio!$A$2:$B$16,2,0))*E597)</f>
        <v/>
      </c>
      <c r="H597" s="7" t="str">
        <f t="shared" si="36"/>
        <v/>
      </c>
      <c r="I597" s="7" t="str">
        <f>IF(AND(ISBLANK(D597),ISBLANK(C597)),"",((VLOOKUP(D597,Cardápio!$A$2:$C$16,3,0))*E597)+IF(B597="iFood",F597*0.27,(VLOOKUP(VENDAS!C597,Bairros!$A$2:$B$90,2,0))))</f>
        <v/>
      </c>
      <c r="J597" s="7" t="str">
        <f t="shared" si="37"/>
        <v/>
      </c>
      <c r="K597" s="9">
        <f t="shared" ca="1" si="38"/>
        <v>45404.878290162036</v>
      </c>
      <c r="L597" s="10">
        <f t="shared" ca="1" si="39"/>
        <v>45404.878290046297</v>
      </c>
    </row>
    <row r="598" spans="6:12" x14ac:dyDescent="0.25">
      <c r="F598" s="11" t="str">
        <f>IF(ISBLANK(D598),"",(VLOOKUP(D598,Cardápio!$A$2:$B$16,2,0))*E598)</f>
        <v/>
      </c>
      <c r="H598" s="7" t="str">
        <f t="shared" si="36"/>
        <v/>
      </c>
      <c r="I598" s="7" t="str">
        <f>IF(AND(ISBLANK(D598),ISBLANK(C598)),"",((VLOOKUP(D598,Cardápio!$A$2:$C$16,3,0))*E598)+IF(B598="iFood",F598*0.27,(VLOOKUP(VENDAS!C598,Bairros!$A$2:$B$90,2,0))))</f>
        <v/>
      </c>
      <c r="J598" s="7" t="str">
        <f t="shared" si="37"/>
        <v/>
      </c>
      <c r="K598" s="9">
        <f t="shared" ca="1" si="38"/>
        <v>45404.878290046297</v>
      </c>
      <c r="L598" s="10">
        <f t="shared" ca="1" si="39"/>
        <v>45404.878290046297</v>
      </c>
    </row>
    <row r="599" spans="6:12" x14ac:dyDescent="0.25">
      <c r="F599" s="11" t="str">
        <f>IF(ISBLANK(D599),"",(VLOOKUP(D599,Cardápio!$A$2:$B$16,2,0))*E599)</f>
        <v/>
      </c>
      <c r="H599" s="7" t="str">
        <f t="shared" si="36"/>
        <v/>
      </c>
      <c r="I599" s="7" t="str">
        <f>IF(AND(ISBLANK(D599),ISBLANK(C599)),"",((VLOOKUP(D599,Cardápio!$A$2:$C$16,3,0))*E599)+IF(B599="iFood",F599*0.27,(VLOOKUP(VENDAS!C599,Bairros!$A$2:$B$90,2,0))))</f>
        <v/>
      </c>
      <c r="J599" s="7" t="str">
        <f t="shared" si="37"/>
        <v/>
      </c>
      <c r="K599" s="9">
        <f t="shared" ca="1" si="38"/>
        <v>45404.878290046297</v>
      </c>
      <c r="L599" s="10">
        <f t="shared" ca="1" si="39"/>
        <v>45404.878290046297</v>
      </c>
    </row>
    <row r="600" spans="6:12" x14ac:dyDescent="0.25">
      <c r="F600" s="11" t="str">
        <f>IF(ISBLANK(D600),"",(VLOOKUP(D600,Cardápio!$A$2:$B$16,2,0))*E600)</f>
        <v/>
      </c>
      <c r="H600" s="7" t="str">
        <f t="shared" si="36"/>
        <v/>
      </c>
      <c r="I600" s="7" t="str">
        <f>IF(AND(ISBLANK(D600),ISBLANK(C600)),"",((VLOOKUP(D600,Cardápio!$A$2:$C$16,3,0))*E600)+IF(B600="iFood",F600*0.27,(VLOOKUP(VENDAS!C600,Bairros!$A$2:$B$90,2,0))))</f>
        <v/>
      </c>
      <c r="J600" s="7" t="str">
        <f t="shared" si="37"/>
        <v/>
      </c>
      <c r="K600" s="9">
        <f t="shared" ca="1" si="38"/>
        <v>45404.878290046297</v>
      </c>
      <c r="L600" s="10">
        <f t="shared" ca="1" si="39"/>
        <v>45404.878290046297</v>
      </c>
    </row>
    <row r="601" spans="6:12" x14ac:dyDescent="0.25">
      <c r="F601" s="11" t="str">
        <f>IF(ISBLANK(D601),"",(VLOOKUP(D601,Cardápio!$A$2:$B$16,2,0))*E601)</f>
        <v/>
      </c>
      <c r="H601" s="7" t="str">
        <f t="shared" si="36"/>
        <v/>
      </c>
      <c r="I601" s="7" t="str">
        <f>IF(AND(ISBLANK(D601),ISBLANK(C601)),"",((VLOOKUP(D601,Cardápio!$A$2:$C$16,3,0))*E601)+IF(B601="iFood",F601*0.27,(VLOOKUP(VENDAS!C601,Bairros!$A$2:$B$90,2,0))))</f>
        <v/>
      </c>
      <c r="J601" s="7" t="str">
        <f t="shared" si="37"/>
        <v/>
      </c>
      <c r="K601" s="9">
        <f t="shared" ca="1" si="38"/>
        <v>45404.878290162036</v>
      </c>
      <c r="L601" s="10">
        <f t="shared" ca="1" si="39"/>
        <v>45404.878290046297</v>
      </c>
    </row>
    <row r="602" spans="6:12" x14ac:dyDescent="0.25">
      <c r="F602" s="11" t="str">
        <f>IF(ISBLANK(D602),"",(VLOOKUP(D602,Cardápio!$A$2:$B$16,2,0))*E602)</f>
        <v/>
      </c>
      <c r="H602" s="7" t="str">
        <f t="shared" si="36"/>
        <v/>
      </c>
      <c r="I602" s="7" t="str">
        <f>IF(AND(ISBLANK(D602),ISBLANK(C602)),"",((VLOOKUP(D602,Cardápio!$A$2:$C$16,3,0))*E602)+IF(B602="iFood",F602*0.27,(VLOOKUP(VENDAS!C602,Bairros!$A$2:$B$90,2,0))))</f>
        <v/>
      </c>
      <c r="J602" s="7" t="str">
        <f t="shared" si="37"/>
        <v/>
      </c>
      <c r="K602" s="9">
        <f t="shared" ca="1" si="38"/>
        <v>45404.878290046297</v>
      </c>
      <c r="L602" s="10">
        <f t="shared" ca="1" si="39"/>
        <v>45404.878290046297</v>
      </c>
    </row>
    <row r="603" spans="6:12" x14ac:dyDescent="0.25">
      <c r="F603" s="11" t="str">
        <f>IF(ISBLANK(D603),"",(VLOOKUP(D603,Cardápio!$A$2:$B$16,2,0))*E603)</f>
        <v/>
      </c>
      <c r="H603" s="7" t="str">
        <f t="shared" si="36"/>
        <v/>
      </c>
      <c r="I603" s="7" t="str">
        <f>IF(AND(ISBLANK(D603),ISBLANK(C603)),"",((VLOOKUP(D603,Cardápio!$A$2:$C$16,3,0))*E603)+IF(B603="iFood",F603*0.27,(VLOOKUP(VENDAS!C603,Bairros!$A$2:$B$90,2,0))))</f>
        <v/>
      </c>
      <c r="J603" s="7" t="str">
        <f t="shared" si="37"/>
        <v/>
      </c>
      <c r="K603" s="9">
        <f t="shared" ca="1" si="38"/>
        <v>45404.878290046297</v>
      </c>
      <c r="L603" s="10">
        <f t="shared" ca="1" si="39"/>
        <v>45404.878290046297</v>
      </c>
    </row>
    <row r="604" spans="6:12" x14ac:dyDescent="0.25">
      <c r="F604" s="11" t="str">
        <f>IF(ISBLANK(D604),"",(VLOOKUP(D604,Cardápio!$A$2:$B$16,2,0))*E604)</f>
        <v/>
      </c>
      <c r="H604" s="7" t="str">
        <f t="shared" si="36"/>
        <v/>
      </c>
      <c r="I604" s="7" t="str">
        <f>IF(AND(ISBLANK(D604),ISBLANK(C604)),"",((VLOOKUP(D604,Cardápio!$A$2:$C$16,3,0))*E604)+IF(B604="iFood",F604*0.27,(VLOOKUP(VENDAS!C604,Bairros!$A$2:$B$90,2,0))))</f>
        <v/>
      </c>
      <c r="J604" s="7" t="str">
        <f t="shared" si="37"/>
        <v/>
      </c>
      <c r="K604" s="9">
        <f t="shared" ca="1" si="38"/>
        <v>45404.878290046297</v>
      </c>
      <c r="L604" s="10">
        <f t="shared" ca="1" si="39"/>
        <v>45404.878290046297</v>
      </c>
    </row>
    <row r="605" spans="6:12" x14ac:dyDescent="0.25">
      <c r="F605" s="11" t="str">
        <f>IF(ISBLANK(D605),"",(VLOOKUP(D605,Cardápio!$A$2:$B$16,2,0))*E605)</f>
        <v/>
      </c>
      <c r="H605" s="7" t="str">
        <f t="shared" si="36"/>
        <v/>
      </c>
      <c r="I605" s="7" t="str">
        <f>IF(AND(ISBLANK(D605),ISBLANK(C605)),"",((VLOOKUP(D605,Cardápio!$A$2:$C$16,3,0))*E605)+IF(B605="iFood",F605*0.27,(VLOOKUP(VENDAS!C605,Bairros!$A$2:$B$90,2,0))))</f>
        <v/>
      </c>
      <c r="J605" s="7" t="str">
        <f t="shared" si="37"/>
        <v/>
      </c>
      <c r="K605" s="9">
        <f t="shared" ca="1" si="38"/>
        <v>45404.878290162036</v>
      </c>
      <c r="L605" s="10">
        <f t="shared" ca="1" si="39"/>
        <v>45404.878290046297</v>
      </c>
    </row>
    <row r="606" spans="6:12" x14ac:dyDescent="0.25">
      <c r="F606" s="11" t="str">
        <f>IF(ISBLANK(D606),"",(VLOOKUP(D606,Cardápio!$A$2:$B$16,2,0))*E606)</f>
        <v/>
      </c>
      <c r="H606" s="7" t="str">
        <f t="shared" si="36"/>
        <v/>
      </c>
      <c r="I606" s="7" t="str">
        <f>IF(AND(ISBLANK(D606),ISBLANK(C606)),"",((VLOOKUP(D606,Cardápio!$A$2:$C$16,3,0))*E606)+IF(B606="iFood",F606*0.27,(VLOOKUP(VENDAS!C606,Bairros!$A$2:$B$90,2,0))))</f>
        <v/>
      </c>
      <c r="J606" s="7" t="str">
        <f t="shared" si="37"/>
        <v/>
      </c>
      <c r="K606" s="9">
        <f t="shared" ca="1" si="38"/>
        <v>45404.878290046297</v>
      </c>
      <c r="L606" s="10">
        <f t="shared" ca="1" si="39"/>
        <v>45404.878290046297</v>
      </c>
    </row>
    <row r="607" spans="6:12" x14ac:dyDescent="0.25">
      <c r="F607" s="11" t="str">
        <f>IF(ISBLANK(D607),"",(VLOOKUP(D607,Cardápio!$A$2:$B$16,2,0))*E607)</f>
        <v/>
      </c>
      <c r="H607" s="7" t="str">
        <f t="shared" si="36"/>
        <v/>
      </c>
      <c r="I607" s="7" t="str">
        <f>IF(AND(ISBLANK(D607),ISBLANK(C607)),"",((VLOOKUP(D607,Cardápio!$A$2:$C$16,3,0))*E607)+IF(B607="iFood",F607*0.27,(VLOOKUP(VENDAS!C607,Bairros!$A$2:$B$90,2,0))))</f>
        <v/>
      </c>
      <c r="J607" s="7" t="str">
        <f t="shared" si="37"/>
        <v/>
      </c>
      <c r="K607" s="9">
        <f t="shared" ca="1" si="38"/>
        <v>45404.878290046297</v>
      </c>
      <c r="L607" s="10">
        <f t="shared" ca="1" si="39"/>
        <v>45404.878290046297</v>
      </c>
    </row>
    <row r="608" spans="6:12" x14ac:dyDescent="0.25">
      <c r="F608" s="11" t="str">
        <f>IF(ISBLANK(D608),"",(VLOOKUP(D608,Cardápio!$A$2:$B$16,2,0))*E608)</f>
        <v/>
      </c>
      <c r="H608" s="7" t="str">
        <f t="shared" si="36"/>
        <v/>
      </c>
      <c r="I608" s="7" t="str">
        <f>IF(AND(ISBLANK(D608),ISBLANK(C608)),"",((VLOOKUP(D608,Cardápio!$A$2:$C$16,3,0))*E608)+IF(B608="iFood",F608*0.27,(VLOOKUP(VENDAS!C608,Bairros!$A$2:$B$90,2,0))))</f>
        <v/>
      </c>
      <c r="J608" s="7" t="str">
        <f t="shared" si="37"/>
        <v/>
      </c>
      <c r="K608" s="9">
        <f t="shared" ca="1" si="38"/>
        <v>45404.878290046297</v>
      </c>
      <c r="L608" s="10">
        <f t="shared" ca="1" si="39"/>
        <v>45404.878290046297</v>
      </c>
    </row>
    <row r="609" spans="6:12" x14ac:dyDescent="0.25">
      <c r="F609" s="11" t="str">
        <f>IF(ISBLANK(D609),"",(VLOOKUP(D609,Cardápio!$A$2:$B$16,2,0))*E609)</f>
        <v/>
      </c>
      <c r="H609" s="7" t="str">
        <f t="shared" si="36"/>
        <v/>
      </c>
      <c r="I609" s="7" t="str">
        <f>IF(AND(ISBLANK(D609),ISBLANK(C609)),"",((VLOOKUP(D609,Cardápio!$A$2:$C$16,3,0))*E609)+IF(B609="iFood",F609*0.27,(VLOOKUP(VENDAS!C609,Bairros!$A$2:$B$90,2,0))))</f>
        <v/>
      </c>
      <c r="J609" s="7" t="str">
        <f t="shared" si="37"/>
        <v/>
      </c>
      <c r="K609" s="9">
        <f t="shared" ca="1" si="38"/>
        <v>45404.878290162036</v>
      </c>
      <c r="L609" s="10">
        <f t="shared" ca="1" si="39"/>
        <v>45404.878290046297</v>
      </c>
    </row>
    <row r="610" spans="6:12" x14ac:dyDescent="0.25">
      <c r="F610" s="11" t="str">
        <f>IF(ISBLANK(D610),"",(VLOOKUP(D610,Cardápio!$A$2:$B$16,2,0))*E610)</f>
        <v/>
      </c>
      <c r="H610" s="7" t="str">
        <f t="shared" si="36"/>
        <v/>
      </c>
      <c r="I610" s="7" t="str">
        <f>IF(AND(ISBLANK(D610),ISBLANK(C610)),"",((VLOOKUP(D610,Cardápio!$A$2:$C$16,3,0))*E610)+IF(B610="iFood",F610*0.27,(VLOOKUP(VENDAS!C610,Bairros!$A$2:$B$90,2,0))))</f>
        <v/>
      </c>
      <c r="J610" s="7" t="str">
        <f t="shared" si="37"/>
        <v/>
      </c>
      <c r="K610" s="9">
        <f t="shared" ca="1" si="38"/>
        <v>45404.878290046297</v>
      </c>
      <c r="L610" s="10">
        <f t="shared" ca="1" si="39"/>
        <v>45404.878290046297</v>
      </c>
    </row>
    <row r="611" spans="6:12" x14ac:dyDescent="0.25">
      <c r="F611" s="11" t="str">
        <f>IF(ISBLANK(D611),"",(VLOOKUP(D611,Cardápio!$A$2:$B$16,2,0))*E611)</f>
        <v/>
      </c>
      <c r="H611" s="7" t="str">
        <f t="shared" si="36"/>
        <v/>
      </c>
      <c r="I611" s="7" t="str">
        <f>IF(AND(ISBLANK(D611),ISBLANK(C611)),"",((VLOOKUP(D611,Cardápio!$A$2:$C$16,3,0))*E611)+IF(B611="iFood",F611*0.27,(VLOOKUP(VENDAS!C611,Bairros!$A$2:$B$90,2,0))))</f>
        <v/>
      </c>
      <c r="J611" s="7" t="str">
        <f t="shared" si="37"/>
        <v/>
      </c>
      <c r="K611" s="9">
        <f t="shared" ca="1" si="38"/>
        <v>45404.878290046297</v>
      </c>
      <c r="L611" s="10">
        <f t="shared" ca="1" si="39"/>
        <v>45404.878290046297</v>
      </c>
    </row>
    <row r="612" spans="6:12" x14ac:dyDescent="0.25">
      <c r="F612" s="11" t="str">
        <f>IF(ISBLANK(D612),"",(VLOOKUP(D612,Cardápio!$A$2:$B$16,2,0))*E612)</f>
        <v/>
      </c>
      <c r="H612" s="7" t="str">
        <f t="shared" si="36"/>
        <v/>
      </c>
      <c r="I612" s="7" t="str">
        <f>IF(AND(ISBLANK(D612),ISBLANK(C612)),"",((VLOOKUP(D612,Cardápio!$A$2:$C$16,3,0))*E612)+IF(B612="iFood",F612*0.27,(VLOOKUP(VENDAS!C612,Bairros!$A$2:$B$90,2,0))))</f>
        <v/>
      </c>
      <c r="J612" s="7" t="str">
        <f t="shared" si="37"/>
        <v/>
      </c>
      <c r="K612" s="9">
        <f t="shared" ca="1" si="38"/>
        <v>45404.878290046297</v>
      </c>
      <c r="L612" s="10">
        <f t="shared" ca="1" si="39"/>
        <v>45404.878290046297</v>
      </c>
    </row>
    <row r="613" spans="6:12" x14ac:dyDescent="0.25">
      <c r="F613" s="11" t="str">
        <f>IF(ISBLANK(D613),"",(VLOOKUP(D613,Cardápio!$A$2:$B$16,2,0))*E613)</f>
        <v/>
      </c>
      <c r="H613" s="7" t="str">
        <f t="shared" si="36"/>
        <v/>
      </c>
      <c r="I613" s="7" t="str">
        <f>IF(AND(ISBLANK(D613),ISBLANK(C613)),"",((VLOOKUP(D613,Cardápio!$A$2:$C$16,3,0))*E613)+IF(B613="iFood",F613*0.27,(VLOOKUP(VENDAS!C613,Bairros!$A$2:$B$90,2,0))))</f>
        <v/>
      </c>
      <c r="J613" s="7" t="str">
        <f t="shared" si="37"/>
        <v/>
      </c>
      <c r="K613" s="9">
        <f t="shared" ca="1" si="38"/>
        <v>45404.878290162036</v>
      </c>
      <c r="L613" s="10">
        <f t="shared" ca="1" si="39"/>
        <v>45404.878290046297</v>
      </c>
    </row>
    <row r="614" spans="6:12" x14ac:dyDescent="0.25">
      <c r="F614" s="11" t="str">
        <f>IF(ISBLANK(D614),"",(VLOOKUP(D614,Cardápio!$A$2:$B$16,2,0))*E614)</f>
        <v/>
      </c>
      <c r="H614" s="7" t="str">
        <f t="shared" si="36"/>
        <v/>
      </c>
      <c r="I614" s="7" t="str">
        <f>IF(AND(ISBLANK(D614),ISBLANK(C614)),"",((VLOOKUP(D614,Cardápio!$A$2:$C$16,3,0))*E614)+IF(B614="iFood",F614*0.27,(VLOOKUP(VENDAS!C614,Bairros!$A$2:$B$90,2,0))))</f>
        <v/>
      </c>
      <c r="J614" s="7" t="str">
        <f t="shared" si="37"/>
        <v/>
      </c>
      <c r="K614" s="9">
        <f t="shared" ca="1" si="38"/>
        <v>45404.878290046297</v>
      </c>
      <c r="L614" s="10">
        <f t="shared" ca="1" si="39"/>
        <v>45404.878290046297</v>
      </c>
    </row>
    <row r="615" spans="6:12" x14ac:dyDescent="0.25">
      <c r="F615" s="11" t="str">
        <f>IF(ISBLANK(D615),"",(VLOOKUP(D615,Cardápio!$A$2:$B$16,2,0))*E615)</f>
        <v/>
      </c>
      <c r="H615" s="7" t="str">
        <f t="shared" si="36"/>
        <v/>
      </c>
      <c r="I615" s="7" t="str">
        <f>IF(AND(ISBLANK(D615),ISBLANK(C615)),"",((VLOOKUP(D615,Cardápio!$A$2:$C$16,3,0))*E615)+IF(B615="iFood",F615*0.27,(VLOOKUP(VENDAS!C615,Bairros!$A$2:$B$90,2,0))))</f>
        <v/>
      </c>
      <c r="J615" s="7" t="str">
        <f t="shared" si="37"/>
        <v/>
      </c>
      <c r="K615" s="9">
        <f t="shared" ca="1" si="38"/>
        <v>45404.878290046297</v>
      </c>
      <c r="L615" s="10">
        <f t="shared" ca="1" si="39"/>
        <v>45404.878290046297</v>
      </c>
    </row>
    <row r="616" spans="6:12" x14ac:dyDescent="0.25">
      <c r="F616" s="11" t="str">
        <f>IF(ISBLANK(D616),"",(VLOOKUP(D616,Cardápio!$A$2:$B$16,2,0))*E616)</f>
        <v/>
      </c>
      <c r="H616" s="7" t="str">
        <f t="shared" si="36"/>
        <v/>
      </c>
      <c r="I616" s="7" t="str">
        <f>IF(AND(ISBLANK(D616),ISBLANK(C616)),"",((VLOOKUP(D616,Cardápio!$A$2:$C$16,3,0))*E616)+IF(B616="iFood",F616*0.27,(VLOOKUP(VENDAS!C616,Bairros!$A$2:$B$90,2,0))))</f>
        <v/>
      </c>
      <c r="J616" s="7" t="str">
        <f t="shared" si="37"/>
        <v/>
      </c>
      <c r="K616" s="9">
        <f t="shared" ca="1" si="38"/>
        <v>45404.878290046297</v>
      </c>
      <c r="L616" s="10">
        <f t="shared" ca="1" si="39"/>
        <v>45404.878290046297</v>
      </c>
    </row>
    <row r="617" spans="6:12" x14ac:dyDescent="0.25">
      <c r="F617" s="11" t="str">
        <f>IF(ISBLANK(D617),"",(VLOOKUP(D617,Cardápio!$A$2:$B$16,2,0))*E617)</f>
        <v/>
      </c>
      <c r="H617" s="7" t="str">
        <f t="shared" si="36"/>
        <v/>
      </c>
      <c r="I617" s="7" t="str">
        <f>IF(AND(ISBLANK(D617),ISBLANK(C617)),"",((VLOOKUP(D617,Cardápio!$A$2:$C$16,3,0))*E617)+IF(B617="iFood",F617*0.27,(VLOOKUP(VENDAS!C617,Bairros!$A$2:$B$90,2,0))))</f>
        <v/>
      </c>
      <c r="J617" s="7" t="str">
        <f t="shared" si="37"/>
        <v/>
      </c>
      <c r="K617" s="9">
        <f t="shared" ca="1" si="38"/>
        <v>45404.878290162036</v>
      </c>
      <c r="L617" s="10">
        <f t="shared" ca="1" si="39"/>
        <v>45404.878290046297</v>
      </c>
    </row>
    <row r="618" spans="6:12" x14ac:dyDescent="0.25">
      <c r="F618" s="11" t="str">
        <f>IF(ISBLANK(D618),"",(VLOOKUP(D618,Cardápio!$A$2:$B$16,2,0))*E618)</f>
        <v/>
      </c>
      <c r="H618" s="7" t="str">
        <f t="shared" si="36"/>
        <v/>
      </c>
      <c r="I618" s="7" t="str">
        <f>IF(AND(ISBLANK(D618),ISBLANK(C618)),"",((VLOOKUP(D618,Cardápio!$A$2:$C$16,3,0))*E618)+IF(B618="iFood",F618*0.27,(VLOOKUP(VENDAS!C618,Bairros!$A$2:$B$90,2,0))))</f>
        <v/>
      </c>
      <c r="J618" s="7" t="str">
        <f t="shared" si="37"/>
        <v/>
      </c>
      <c r="K618" s="9">
        <f t="shared" ca="1" si="38"/>
        <v>45404.878290046297</v>
      </c>
      <c r="L618" s="10">
        <f t="shared" ca="1" si="39"/>
        <v>45404.878290046297</v>
      </c>
    </row>
    <row r="619" spans="6:12" x14ac:dyDescent="0.25">
      <c r="F619" s="11" t="str">
        <f>IF(ISBLANK(D619),"",(VLOOKUP(D619,Cardápio!$A$2:$B$16,2,0))*E619)</f>
        <v/>
      </c>
      <c r="H619" s="7" t="str">
        <f t="shared" si="36"/>
        <v/>
      </c>
      <c r="I619" s="7" t="str">
        <f>IF(AND(ISBLANK(D619),ISBLANK(C619)),"",((VLOOKUP(D619,Cardápio!$A$2:$C$16,3,0))*E619)+IF(B619="iFood",F619*0.27,(VLOOKUP(VENDAS!C619,Bairros!$A$2:$B$90,2,0))))</f>
        <v/>
      </c>
      <c r="J619" s="7" t="str">
        <f t="shared" si="37"/>
        <v/>
      </c>
      <c r="K619" s="9">
        <f t="shared" ca="1" si="38"/>
        <v>45404.878290046297</v>
      </c>
      <c r="L619" s="10">
        <f t="shared" ca="1" si="39"/>
        <v>45404.878290046297</v>
      </c>
    </row>
    <row r="620" spans="6:12" x14ac:dyDescent="0.25">
      <c r="F620" s="11" t="str">
        <f>IF(ISBLANK(D620),"",(VLOOKUP(D620,Cardápio!$A$2:$B$16,2,0))*E620)</f>
        <v/>
      </c>
      <c r="H620" s="7" t="str">
        <f t="shared" si="36"/>
        <v/>
      </c>
      <c r="I620" s="7" t="str">
        <f>IF(AND(ISBLANK(D620),ISBLANK(C620)),"",((VLOOKUP(D620,Cardápio!$A$2:$C$16,3,0))*E620)+IF(B620="iFood",F620*0.27,(VLOOKUP(VENDAS!C620,Bairros!$A$2:$B$90,2,0))))</f>
        <v/>
      </c>
      <c r="J620" s="7" t="str">
        <f t="shared" si="37"/>
        <v/>
      </c>
      <c r="K620" s="9">
        <f t="shared" ca="1" si="38"/>
        <v>45404.878290046297</v>
      </c>
      <c r="L620" s="10">
        <f t="shared" ca="1" si="39"/>
        <v>45404.878290046297</v>
      </c>
    </row>
    <row r="621" spans="6:12" x14ac:dyDescent="0.25">
      <c r="F621" s="11" t="str">
        <f>IF(ISBLANK(D621),"",(VLOOKUP(D621,Cardápio!$A$2:$B$16,2,0))*E621)</f>
        <v/>
      </c>
      <c r="H621" s="7" t="str">
        <f t="shared" si="36"/>
        <v/>
      </c>
      <c r="I621" s="7" t="str">
        <f>IF(AND(ISBLANK(D621),ISBLANK(C621)),"",((VLOOKUP(D621,Cardápio!$A$2:$C$16,3,0))*E621)+IF(B621="iFood",F621*0.27,(VLOOKUP(VENDAS!C621,Bairros!$A$2:$B$90,2,0))))</f>
        <v/>
      </c>
      <c r="J621" s="7" t="str">
        <f t="shared" si="37"/>
        <v/>
      </c>
      <c r="K621" s="9">
        <f t="shared" ca="1" si="38"/>
        <v>45404.878290162036</v>
      </c>
      <c r="L621" s="10">
        <f t="shared" ca="1" si="39"/>
        <v>45404.878290046297</v>
      </c>
    </row>
    <row r="622" spans="6:12" x14ac:dyDescent="0.25">
      <c r="F622" s="11" t="str">
        <f>IF(ISBLANK(D622),"",(VLOOKUP(D622,Cardápio!$A$2:$B$16,2,0))*E622)</f>
        <v/>
      </c>
      <c r="H622" s="7" t="str">
        <f t="shared" si="36"/>
        <v/>
      </c>
      <c r="I622" s="7" t="str">
        <f>IF(AND(ISBLANK(D622),ISBLANK(C622)),"",((VLOOKUP(D622,Cardápio!$A$2:$C$16,3,0))*E622)+IF(B622="iFood",F622*0.27,(VLOOKUP(VENDAS!C622,Bairros!$A$2:$B$90,2,0))))</f>
        <v/>
      </c>
      <c r="J622" s="7" t="str">
        <f t="shared" si="37"/>
        <v/>
      </c>
      <c r="K622" s="9">
        <f t="shared" ca="1" si="38"/>
        <v>45404.878290046297</v>
      </c>
      <c r="L622" s="10">
        <f t="shared" ca="1" si="39"/>
        <v>45404.878290046297</v>
      </c>
    </row>
    <row r="623" spans="6:12" x14ac:dyDescent="0.25">
      <c r="F623" s="11" t="str">
        <f>IF(ISBLANK(D623),"",(VLOOKUP(D623,Cardápio!$A$2:$B$16,2,0))*E623)</f>
        <v/>
      </c>
      <c r="H623" s="7" t="str">
        <f t="shared" si="36"/>
        <v/>
      </c>
      <c r="I623" s="7" t="str">
        <f>IF(AND(ISBLANK(D623),ISBLANK(C623)),"",((VLOOKUP(D623,Cardápio!$A$2:$C$16,3,0))*E623)+IF(B623="iFood",F623*0.27,(VLOOKUP(VENDAS!C623,Bairros!$A$2:$B$90,2,0))))</f>
        <v/>
      </c>
      <c r="J623" s="7" t="str">
        <f t="shared" si="37"/>
        <v/>
      </c>
      <c r="K623" s="9">
        <f t="shared" ca="1" si="38"/>
        <v>45404.878290046297</v>
      </c>
      <c r="L623" s="10">
        <f t="shared" ca="1" si="39"/>
        <v>45404.878290046297</v>
      </c>
    </row>
    <row r="624" spans="6:12" x14ac:dyDescent="0.25">
      <c r="F624" s="11" t="str">
        <f>IF(ISBLANK(D624),"",(VLOOKUP(D624,Cardápio!$A$2:$B$16,2,0))*E624)</f>
        <v/>
      </c>
      <c r="H624" s="7" t="str">
        <f t="shared" si="36"/>
        <v/>
      </c>
      <c r="I624" s="7" t="str">
        <f>IF(AND(ISBLANK(D624),ISBLANK(C624)),"",((VLOOKUP(D624,Cardápio!$A$2:$C$16,3,0))*E624)+IF(B624="iFood",F624*0.27,(VLOOKUP(VENDAS!C624,Bairros!$A$2:$B$90,2,0))))</f>
        <v/>
      </c>
      <c r="J624" s="7" t="str">
        <f t="shared" si="37"/>
        <v/>
      </c>
      <c r="K624" s="9">
        <f t="shared" ca="1" si="38"/>
        <v>45404.878290046297</v>
      </c>
      <c r="L624" s="10">
        <f t="shared" ca="1" si="39"/>
        <v>45404.878290046297</v>
      </c>
    </row>
    <row r="625" spans="6:12" x14ac:dyDescent="0.25">
      <c r="F625" s="11" t="str">
        <f>IF(ISBLANK(D625),"",(VLOOKUP(D625,Cardápio!$A$2:$B$16,2,0))*E625)</f>
        <v/>
      </c>
      <c r="H625" s="7" t="str">
        <f t="shared" si="36"/>
        <v/>
      </c>
      <c r="I625" s="7" t="str">
        <f>IF(AND(ISBLANK(D625),ISBLANK(C625)),"",((VLOOKUP(D625,Cardápio!$A$2:$C$16,3,0))*E625)+IF(B625="iFood",F625*0.27,(VLOOKUP(VENDAS!C625,Bairros!$A$2:$B$90,2,0))))</f>
        <v/>
      </c>
      <c r="J625" s="7" t="str">
        <f t="shared" si="37"/>
        <v/>
      </c>
      <c r="K625" s="9">
        <f t="shared" ca="1" si="38"/>
        <v>45404.878290162036</v>
      </c>
      <c r="L625" s="10">
        <f t="shared" ca="1" si="39"/>
        <v>45404.878290046297</v>
      </c>
    </row>
    <row r="626" spans="6:12" x14ac:dyDescent="0.25">
      <c r="F626" s="11" t="str">
        <f>IF(ISBLANK(D626),"",(VLOOKUP(D626,Cardápio!$A$2:$B$16,2,0))*E626)</f>
        <v/>
      </c>
      <c r="H626" s="7" t="str">
        <f t="shared" si="36"/>
        <v/>
      </c>
      <c r="I626" s="7" t="str">
        <f>IF(AND(ISBLANK(D626),ISBLANK(C626)),"",((VLOOKUP(D626,Cardápio!$A$2:$C$16,3,0))*E626)+IF(B626="iFood",F626*0.27,(VLOOKUP(VENDAS!C626,Bairros!$A$2:$B$90,2,0))))</f>
        <v/>
      </c>
      <c r="J626" s="7" t="str">
        <f t="shared" si="37"/>
        <v/>
      </c>
      <c r="K626" s="9">
        <f t="shared" ca="1" si="38"/>
        <v>45404.878290046297</v>
      </c>
      <c r="L626" s="10">
        <f t="shared" ca="1" si="39"/>
        <v>45404.878290046297</v>
      </c>
    </row>
    <row r="627" spans="6:12" x14ac:dyDescent="0.25">
      <c r="F627" s="11" t="str">
        <f>IF(ISBLANK(D627),"",(VLOOKUP(D627,Cardápio!$A$2:$B$16,2,0))*E627)</f>
        <v/>
      </c>
      <c r="H627" s="7" t="str">
        <f t="shared" si="36"/>
        <v/>
      </c>
      <c r="I627" s="7" t="str">
        <f>IF(AND(ISBLANK(D627),ISBLANK(C627)),"",((VLOOKUP(D627,Cardápio!$A$2:$C$16,3,0))*E627)+IF(B627="iFood",F627*0.27,(VLOOKUP(VENDAS!C627,Bairros!$A$2:$B$90,2,0))))</f>
        <v/>
      </c>
      <c r="J627" s="7" t="str">
        <f t="shared" si="37"/>
        <v/>
      </c>
      <c r="K627" s="9">
        <f t="shared" ca="1" si="38"/>
        <v>45404.878290046297</v>
      </c>
      <c r="L627" s="10">
        <f t="shared" ca="1" si="39"/>
        <v>45404.878290046297</v>
      </c>
    </row>
    <row r="628" spans="6:12" x14ac:dyDescent="0.25">
      <c r="F628" s="11" t="str">
        <f>IF(ISBLANK(D628),"",(VLOOKUP(D628,Cardápio!$A$2:$B$16,2,0))*E628)</f>
        <v/>
      </c>
      <c r="H628" s="7" t="str">
        <f t="shared" si="36"/>
        <v/>
      </c>
      <c r="I628" s="7" t="str">
        <f>IF(AND(ISBLANK(D628),ISBLANK(C628)),"",((VLOOKUP(D628,Cardápio!$A$2:$C$16,3,0))*E628)+IF(B628="iFood",F628*0.27,(VLOOKUP(VENDAS!C628,Bairros!$A$2:$B$90,2,0))))</f>
        <v/>
      </c>
      <c r="J628" s="7" t="str">
        <f t="shared" si="37"/>
        <v/>
      </c>
      <c r="K628" s="9">
        <f t="shared" ca="1" si="38"/>
        <v>45404.878290046297</v>
      </c>
      <c r="L628" s="10">
        <f t="shared" ca="1" si="39"/>
        <v>45404.878290046297</v>
      </c>
    </row>
    <row r="629" spans="6:12" x14ac:dyDescent="0.25">
      <c r="F629" s="11" t="str">
        <f>IF(ISBLANK(D629),"",(VLOOKUP(D629,Cardápio!$A$2:$B$16,2,0))*E629)</f>
        <v/>
      </c>
      <c r="H629" s="7" t="str">
        <f t="shared" ref="H629:H692" si="40">IF(ISBLANK(D629),"",F629-G629)</f>
        <v/>
      </c>
      <c r="I629" s="7" t="str">
        <f>IF(AND(ISBLANK(D629),ISBLANK(C629)),"",((VLOOKUP(D629,Cardápio!$A$2:$C$16,3,0))*E629)+IF(B629="iFood",F629*0.27,(VLOOKUP(VENDAS!C629,Bairros!$A$2:$B$90,2,0))))</f>
        <v/>
      </c>
      <c r="J629" s="7" t="str">
        <f t="shared" ref="J629:J692" si="41">IF(OR(AND(ISBLANK(H629),ISBLANK(I629)),(AND(H629="",I629=""))),"",H629-I629)</f>
        <v/>
      </c>
      <c r="K629" s="9">
        <f t="shared" ref="K629:K692" ca="1" si="42">IF(D629&lt;&gt;"",K629,NOW())</f>
        <v>45404.878290162036</v>
      </c>
      <c r="L629" s="10">
        <f t="shared" ref="L629:L692" ca="1" si="43">IF(D629&lt;&gt;"",L629,NOW())</f>
        <v>45404.878290046297</v>
      </c>
    </row>
    <row r="630" spans="6:12" x14ac:dyDescent="0.25">
      <c r="F630" s="11" t="str">
        <f>IF(ISBLANK(D630),"",(VLOOKUP(D630,Cardápio!$A$2:$B$16,2,0))*E630)</f>
        <v/>
      </c>
      <c r="H630" s="7" t="str">
        <f t="shared" si="40"/>
        <v/>
      </c>
      <c r="I630" s="7" t="str">
        <f>IF(AND(ISBLANK(D630),ISBLANK(C630)),"",((VLOOKUP(D630,Cardápio!$A$2:$C$16,3,0))*E630)+IF(B630="iFood",F630*0.27,(VLOOKUP(VENDAS!C630,Bairros!$A$2:$B$90,2,0))))</f>
        <v/>
      </c>
      <c r="J630" s="7" t="str">
        <f t="shared" si="41"/>
        <v/>
      </c>
      <c r="K630" s="9">
        <f t="shared" ca="1" si="42"/>
        <v>45404.878290046297</v>
      </c>
      <c r="L630" s="10">
        <f t="shared" ca="1" si="43"/>
        <v>45404.878290046297</v>
      </c>
    </row>
    <row r="631" spans="6:12" x14ac:dyDescent="0.25">
      <c r="F631" s="11" t="str">
        <f>IF(ISBLANK(D631),"",(VLOOKUP(D631,Cardápio!$A$2:$B$16,2,0))*E631)</f>
        <v/>
      </c>
      <c r="H631" s="7" t="str">
        <f t="shared" si="40"/>
        <v/>
      </c>
      <c r="I631" s="7" t="str">
        <f>IF(AND(ISBLANK(D631),ISBLANK(C631)),"",((VLOOKUP(D631,Cardápio!$A$2:$C$16,3,0))*E631)+IF(B631="iFood",F631*0.27,(VLOOKUP(VENDAS!C631,Bairros!$A$2:$B$90,2,0))))</f>
        <v/>
      </c>
      <c r="J631" s="7" t="str">
        <f t="shared" si="41"/>
        <v/>
      </c>
      <c r="K631" s="9">
        <f t="shared" ca="1" si="42"/>
        <v>45404.878290046297</v>
      </c>
      <c r="L631" s="10">
        <f t="shared" ca="1" si="43"/>
        <v>45404.878290046297</v>
      </c>
    </row>
    <row r="632" spans="6:12" x14ac:dyDescent="0.25">
      <c r="F632" s="11" t="str">
        <f>IF(ISBLANK(D632),"",(VLOOKUP(D632,Cardápio!$A$2:$B$16,2,0))*E632)</f>
        <v/>
      </c>
      <c r="H632" s="7" t="str">
        <f t="shared" si="40"/>
        <v/>
      </c>
      <c r="I632" s="7" t="str">
        <f>IF(AND(ISBLANK(D632),ISBLANK(C632)),"",((VLOOKUP(D632,Cardápio!$A$2:$C$16,3,0))*E632)+IF(B632="iFood",F632*0.27,(VLOOKUP(VENDAS!C632,Bairros!$A$2:$B$90,2,0))))</f>
        <v/>
      </c>
      <c r="J632" s="7" t="str">
        <f t="shared" si="41"/>
        <v/>
      </c>
      <c r="K632" s="9">
        <f t="shared" ca="1" si="42"/>
        <v>45404.878290046297</v>
      </c>
      <c r="L632" s="10">
        <f t="shared" ca="1" si="43"/>
        <v>45404.878290046297</v>
      </c>
    </row>
    <row r="633" spans="6:12" x14ac:dyDescent="0.25">
      <c r="F633" s="11" t="str">
        <f>IF(ISBLANK(D633),"",(VLOOKUP(D633,Cardápio!$A$2:$B$16,2,0))*E633)</f>
        <v/>
      </c>
      <c r="H633" s="7" t="str">
        <f t="shared" si="40"/>
        <v/>
      </c>
      <c r="I633" s="7" t="str">
        <f>IF(AND(ISBLANK(D633),ISBLANK(C633)),"",((VLOOKUP(D633,Cardápio!$A$2:$C$16,3,0))*E633)+IF(B633="iFood",F633*0.27,(VLOOKUP(VENDAS!C633,Bairros!$A$2:$B$90,2,0))))</f>
        <v/>
      </c>
      <c r="J633" s="7" t="str">
        <f t="shared" si="41"/>
        <v/>
      </c>
      <c r="K633" s="9">
        <f t="shared" ca="1" si="42"/>
        <v>45404.878290162036</v>
      </c>
      <c r="L633" s="10">
        <f t="shared" ca="1" si="43"/>
        <v>45404.878290046297</v>
      </c>
    </row>
    <row r="634" spans="6:12" x14ac:dyDescent="0.25">
      <c r="F634" s="11" t="str">
        <f>IF(ISBLANK(D634),"",(VLOOKUP(D634,Cardápio!$A$2:$B$16,2,0))*E634)</f>
        <v/>
      </c>
      <c r="H634" s="7" t="str">
        <f t="shared" si="40"/>
        <v/>
      </c>
      <c r="I634" s="7" t="str">
        <f>IF(AND(ISBLANK(D634),ISBLANK(C634)),"",((VLOOKUP(D634,Cardápio!$A$2:$C$16,3,0))*E634)+IF(B634="iFood",F634*0.27,(VLOOKUP(VENDAS!C634,Bairros!$A$2:$B$90,2,0))))</f>
        <v/>
      </c>
      <c r="J634" s="7" t="str">
        <f t="shared" si="41"/>
        <v/>
      </c>
      <c r="K634" s="9">
        <f t="shared" ca="1" si="42"/>
        <v>45404.878290046297</v>
      </c>
      <c r="L634" s="10">
        <f t="shared" ca="1" si="43"/>
        <v>45404.878290046297</v>
      </c>
    </row>
    <row r="635" spans="6:12" x14ac:dyDescent="0.25">
      <c r="F635" s="11" t="str">
        <f>IF(ISBLANK(D635),"",(VLOOKUP(D635,Cardápio!$A$2:$B$16,2,0))*E635)</f>
        <v/>
      </c>
      <c r="H635" s="7" t="str">
        <f t="shared" si="40"/>
        <v/>
      </c>
      <c r="I635" s="7" t="str">
        <f>IF(AND(ISBLANK(D635),ISBLANK(C635)),"",((VLOOKUP(D635,Cardápio!$A$2:$C$16,3,0))*E635)+IF(B635="iFood",F635*0.27,(VLOOKUP(VENDAS!C635,Bairros!$A$2:$B$90,2,0))))</f>
        <v/>
      </c>
      <c r="J635" s="7" t="str">
        <f t="shared" si="41"/>
        <v/>
      </c>
      <c r="K635" s="9">
        <f t="shared" ca="1" si="42"/>
        <v>45404.878290046297</v>
      </c>
      <c r="L635" s="10">
        <f t="shared" ca="1" si="43"/>
        <v>45404.878290046297</v>
      </c>
    </row>
    <row r="636" spans="6:12" x14ac:dyDescent="0.25">
      <c r="F636" s="11" t="str">
        <f>IF(ISBLANK(D636),"",(VLOOKUP(D636,Cardápio!$A$2:$B$16,2,0))*E636)</f>
        <v/>
      </c>
      <c r="H636" s="7" t="str">
        <f t="shared" si="40"/>
        <v/>
      </c>
      <c r="I636" s="7" t="str">
        <f>IF(AND(ISBLANK(D636),ISBLANK(C636)),"",((VLOOKUP(D636,Cardápio!$A$2:$C$16,3,0))*E636)+IF(B636="iFood",F636*0.27,(VLOOKUP(VENDAS!C636,Bairros!$A$2:$B$90,2,0))))</f>
        <v/>
      </c>
      <c r="J636" s="7" t="str">
        <f t="shared" si="41"/>
        <v/>
      </c>
      <c r="K636" s="9">
        <f t="shared" ca="1" si="42"/>
        <v>45404.878290046297</v>
      </c>
      <c r="L636" s="10">
        <f t="shared" ca="1" si="43"/>
        <v>45404.878290046297</v>
      </c>
    </row>
    <row r="637" spans="6:12" x14ac:dyDescent="0.25">
      <c r="F637" s="11" t="str">
        <f>IF(ISBLANK(D637),"",(VLOOKUP(D637,Cardápio!$A$2:$B$16,2,0))*E637)</f>
        <v/>
      </c>
      <c r="H637" s="7" t="str">
        <f t="shared" si="40"/>
        <v/>
      </c>
      <c r="I637" s="7" t="str">
        <f>IF(AND(ISBLANK(D637),ISBLANK(C637)),"",((VLOOKUP(D637,Cardápio!$A$2:$C$16,3,0))*E637)+IF(B637="iFood",F637*0.27,(VLOOKUP(VENDAS!C637,Bairros!$A$2:$B$90,2,0))))</f>
        <v/>
      </c>
      <c r="J637" s="7" t="str">
        <f t="shared" si="41"/>
        <v/>
      </c>
      <c r="K637" s="9">
        <f t="shared" ca="1" si="42"/>
        <v>45404.878290162036</v>
      </c>
      <c r="L637" s="10">
        <f t="shared" ca="1" si="43"/>
        <v>45404.878290046297</v>
      </c>
    </row>
    <row r="638" spans="6:12" x14ac:dyDescent="0.25">
      <c r="F638" s="11" t="str">
        <f>IF(ISBLANK(D638),"",(VLOOKUP(D638,Cardápio!$A$2:$B$16,2,0))*E638)</f>
        <v/>
      </c>
      <c r="H638" s="7" t="str">
        <f t="shared" si="40"/>
        <v/>
      </c>
      <c r="I638" s="7" t="str">
        <f>IF(AND(ISBLANK(D638),ISBLANK(C638)),"",((VLOOKUP(D638,Cardápio!$A$2:$C$16,3,0))*E638)+IF(B638="iFood",F638*0.27,(VLOOKUP(VENDAS!C638,Bairros!$A$2:$B$90,2,0))))</f>
        <v/>
      </c>
      <c r="J638" s="7" t="str">
        <f t="shared" si="41"/>
        <v/>
      </c>
      <c r="K638" s="9">
        <f t="shared" ca="1" si="42"/>
        <v>45404.878290046297</v>
      </c>
      <c r="L638" s="10">
        <f t="shared" ca="1" si="43"/>
        <v>45404.878290046297</v>
      </c>
    </row>
    <row r="639" spans="6:12" x14ac:dyDescent="0.25">
      <c r="F639" s="11" t="str">
        <f>IF(ISBLANK(D639),"",(VLOOKUP(D639,Cardápio!$A$2:$B$16,2,0))*E639)</f>
        <v/>
      </c>
      <c r="H639" s="7" t="str">
        <f t="shared" si="40"/>
        <v/>
      </c>
      <c r="I639" s="7" t="str">
        <f>IF(AND(ISBLANK(D639),ISBLANK(C639)),"",((VLOOKUP(D639,Cardápio!$A$2:$C$16,3,0))*E639)+IF(B639="iFood",F639*0.27,(VLOOKUP(VENDAS!C639,Bairros!$A$2:$B$90,2,0))))</f>
        <v/>
      </c>
      <c r="J639" s="7" t="str">
        <f t="shared" si="41"/>
        <v/>
      </c>
      <c r="K639" s="9">
        <f t="shared" ca="1" si="42"/>
        <v>45404.878290046297</v>
      </c>
      <c r="L639" s="10">
        <f t="shared" ca="1" si="43"/>
        <v>45404.878290046297</v>
      </c>
    </row>
    <row r="640" spans="6:12" x14ac:dyDescent="0.25">
      <c r="F640" s="11" t="str">
        <f>IF(ISBLANK(D640),"",(VLOOKUP(D640,Cardápio!$A$2:$B$16,2,0))*E640)</f>
        <v/>
      </c>
      <c r="H640" s="7" t="str">
        <f t="shared" si="40"/>
        <v/>
      </c>
      <c r="I640" s="7" t="str">
        <f>IF(AND(ISBLANK(D640),ISBLANK(C640)),"",((VLOOKUP(D640,Cardápio!$A$2:$C$16,3,0))*E640)+IF(B640="iFood",F640*0.27,(VLOOKUP(VENDAS!C640,Bairros!$A$2:$B$90,2,0))))</f>
        <v/>
      </c>
      <c r="J640" s="7" t="str">
        <f t="shared" si="41"/>
        <v/>
      </c>
      <c r="K640" s="9">
        <f t="shared" ca="1" si="42"/>
        <v>45404.878290046297</v>
      </c>
      <c r="L640" s="10">
        <f t="shared" ca="1" si="43"/>
        <v>45404.878290046297</v>
      </c>
    </row>
    <row r="641" spans="6:12" x14ac:dyDescent="0.25">
      <c r="F641" s="11" t="str">
        <f>IF(ISBLANK(D641),"",(VLOOKUP(D641,Cardápio!$A$2:$B$16,2,0))*E641)</f>
        <v/>
      </c>
      <c r="H641" s="7" t="str">
        <f t="shared" si="40"/>
        <v/>
      </c>
      <c r="I641" s="7" t="str">
        <f>IF(AND(ISBLANK(D641),ISBLANK(C641)),"",((VLOOKUP(D641,Cardápio!$A$2:$C$16,3,0))*E641)+IF(B641="iFood",F641*0.27,(VLOOKUP(VENDAS!C641,Bairros!$A$2:$B$90,2,0))))</f>
        <v/>
      </c>
      <c r="J641" s="7" t="str">
        <f t="shared" si="41"/>
        <v/>
      </c>
      <c r="K641" s="9">
        <f t="shared" ca="1" si="42"/>
        <v>45404.878290162036</v>
      </c>
      <c r="L641" s="10">
        <f t="shared" ca="1" si="43"/>
        <v>45404.878290046297</v>
      </c>
    </row>
    <row r="642" spans="6:12" x14ac:dyDescent="0.25">
      <c r="F642" s="11" t="str">
        <f>IF(ISBLANK(D642),"",(VLOOKUP(D642,Cardápio!$A$2:$B$16,2,0))*E642)</f>
        <v/>
      </c>
      <c r="H642" s="7" t="str">
        <f t="shared" si="40"/>
        <v/>
      </c>
      <c r="I642" s="7" t="str">
        <f>IF(AND(ISBLANK(D642),ISBLANK(C642)),"",((VLOOKUP(D642,Cardápio!$A$2:$C$16,3,0))*E642)+IF(B642="iFood",F642*0.27,(VLOOKUP(VENDAS!C642,Bairros!$A$2:$B$90,2,0))))</f>
        <v/>
      </c>
      <c r="J642" s="7" t="str">
        <f t="shared" si="41"/>
        <v/>
      </c>
      <c r="K642" s="9">
        <f t="shared" ca="1" si="42"/>
        <v>45404.878290046297</v>
      </c>
      <c r="L642" s="10">
        <f t="shared" ca="1" si="43"/>
        <v>45404.878290046297</v>
      </c>
    </row>
    <row r="643" spans="6:12" x14ac:dyDescent="0.25">
      <c r="F643" s="11" t="str">
        <f>IF(ISBLANK(D643),"",(VLOOKUP(D643,Cardápio!$A$2:$B$16,2,0))*E643)</f>
        <v/>
      </c>
      <c r="H643" s="7" t="str">
        <f t="shared" si="40"/>
        <v/>
      </c>
      <c r="I643" s="7" t="str">
        <f>IF(AND(ISBLANK(D643),ISBLANK(C643)),"",((VLOOKUP(D643,Cardápio!$A$2:$C$16,3,0))*E643)+IF(B643="iFood",F643*0.27,(VLOOKUP(VENDAS!C643,Bairros!$A$2:$B$90,2,0))))</f>
        <v/>
      </c>
      <c r="J643" s="7" t="str">
        <f t="shared" si="41"/>
        <v/>
      </c>
      <c r="K643" s="9">
        <f t="shared" ca="1" si="42"/>
        <v>45404.878290046297</v>
      </c>
      <c r="L643" s="10">
        <f t="shared" ca="1" si="43"/>
        <v>45404.878290046297</v>
      </c>
    </row>
    <row r="644" spans="6:12" x14ac:dyDescent="0.25">
      <c r="F644" s="11" t="str">
        <f>IF(ISBLANK(D644),"",(VLOOKUP(D644,Cardápio!$A$2:$B$16,2,0))*E644)</f>
        <v/>
      </c>
      <c r="H644" s="7" t="str">
        <f t="shared" si="40"/>
        <v/>
      </c>
      <c r="I644" s="7" t="str">
        <f>IF(AND(ISBLANK(D644),ISBLANK(C644)),"",((VLOOKUP(D644,Cardápio!$A$2:$C$16,3,0))*E644)+IF(B644="iFood",F644*0.27,(VLOOKUP(VENDAS!C644,Bairros!$A$2:$B$90,2,0))))</f>
        <v/>
      </c>
      <c r="J644" s="7" t="str">
        <f t="shared" si="41"/>
        <v/>
      </c>
      <c r="K644" s="9">
        <f t="shared" ca="1" si="42"/>
        <v>45404.878290046297</v>
      </c>
      <c r="L644" s="10">
        <f t="shared" ca="1" si="43"/>
        <v>45404.878290046297</v>
      </c>
    </row>
    <row r="645" spans="6:12" x14ac:dyDescent="0.25">
      <c r="F645" s="11" t="str">
        <f>IF(ISBLANK(D645),"",(VLOOKUP(D645,Cardápio!$A$2:$B$16,2,0))*E645)</f>
        <v/>
      </c>
      <c r="H645" s="7" t="str">
        <f t="shared" si="40"/>
        <v/>
      </c>
      <c r="I645" s="7" t="str">
        <f>IF(AND(ISBLANK(D645),ISBLANK(C645)),"",((VLOOKUP(D645,Cardápio!$A$2:$C$16,3,0))*E645)+IF(B645="iFood",F645*0.27,(VLOOKUP(VENDAS!C645,Bairros!$A$2:$B$90,2,0))))</f>
        <v/>
      </c>
      <c r="J645" s="7" t="str">
        <f t="shared" si="41"/>
        <v/>
      </c>
      <c r="K645" s="9">
        <f t="shared" ca="1" si="42"/>
        <v>45404.878290162036</v>
      </c>
      <c r="L645" s="10">
        <f t="shared" ca="1" si="43"/>
        <v>45404.878290046297</v>
      </c>
    </row>
    <row r="646" spans="6:12" x14ac:dyDescent="0.25">
      <c r="F646" s="11" t="str">
        <f>IF(ISBLANK(D646),"",(VLOOKUP(D646,Cardápio!$A$2:$B$16,2,0))*E646)</f>
        <v/>
      </c>
      <c r="H646" s="7" t="str">
        <f t="shared" si="40"/>
        <v/>
      </c>
      <c r="I646" s="7" t="str">
        <f>IF(AND(ISBLANK(D646),ISBLANK(C646)),"",((VLOOKUP(D646,Cardápio!$A$2:$C$16,3,0))*E646)+IF(B646="iFood",F646*0.27,(VLOOKUP(VENDAS!C646,Bairros!$A$2:$B$90,2,0))))</f>
        <v/>
      </c>
      <c r="J646" s="7" t="str">
        <f t="shared" si="41"/>
        <v/>
      </c>
      <c r="K646" s="9">
        <f t="shared" ca="1" si="42"/>
        <v>45404.878290046297</v>
      </c>
      <c r="L646" s="10">
        <f t="shared" ca="1" si="43"/>
        <v>45404.878290046297</v>
      </c>
    </row>
    <row r="647" spans="6:12" x14ac:dyDescent="0.25">
      <c r="F647" s="11" t="str">
        <f>IF(ISBLANK(D647),"",(VLOOKUP(D647,Cardápio!$A$2:$B$16,2,0))*E647)</f>
        <v/>
      </c>
      <c r="H647" s="7" t="str">
        <f t="shared" si="40"/>
        <v/>
      </c>
      <c r="I647" s="7" t="str">
        <f>IF(AND(ISBLANK(D647),ISBLANK(C647)),"",((VLOOKUP(D647,Cardápio!$A$2:$C$16,3,0))*E647)+IF(B647="iFood",F647*0.27,(VLOOKUP(VENDAS!C647,Bairros!$A$2:$B$90,2,0))))</f>
        <v/>
      </c>
      <c r="J647" s="7" t="str">
        <f t="shared" si="41"/>
        <v/>
      </c>
      <c r="K647" s="9">
        <f t="shared" ca="1" si="42"/>
        <v>45404.878290046297</v>
      </c>
      <c r="L647" s="10">
        <f t="shared" ca="1" si="43"/>
        <v>45404.878290046297</v>
      </c>
    </row>
    <row r="648" spans="6:12" x14ac:dyDescent="0.25">
      <c r="F648" s="11" t="str">
        <f>IF(ISBLANK(D648),"",(VLOOKUP(D648,Cardápio!$A$2:$B$16,2,0))*E648)</f>
        <v/>
      </c>
      <c r="H648" s="7" t="str">
        <f t="shared" si="40"/>
        <v/>
      </c>
      <c r="I648" s="7" t="str">
        <f>IF(AND(ISBLANK(D648),ISBLANK(C648)),"",((VLOOKUP(D648,Cardápio!$A$2:$C$16,3,0))*E648)+IF(B648="iFood",F648*0.27,(VLOOKUP(VENDAS!C648,Bairros!$A$2:$B$90,2,0))))</f>
        <v/>
      </c>
      <c r="J648" s="7" t="str">
        <f t="shared" si="41"/>
        <v/>
      </c>
      <c r="K648" s="9">
        <f t="shared" ca="1" si="42"/>
        <v>45404.878290046297</v>
      </c>
      <c r="L648" s="10">
        <f t="shared" ca="1" si="43"/>
        <v>45404.878290046297</v>
      </c>
    </row>
    <row r="649" spans="6:12" x14ac:dyDescent="0.25">
      <c r="F649" s="11" t="str">
        <f>IF(ISBLANK(D649),"",(VLOOKUP(D649,Cardápio!$A$2:$B$16,2,0))*E649)</f>
        <v/>
      </c>
      <c r="H649" s="7" t="str">
        <f t="shared" si="40"/>
        <v/>
      </c>
      <c r="I649" s="7" t="str">
        <f>IF(AND(ISBLANK(D649),ISBLANK(C649)),"",((VLOOKUP(D649,Cardápio!$A$2:$C$16,3,0))*E649)+IF(B649="iFood",F649*0.27,(VLOOKUP(VENDAS!C649,Bairros!$A$2:$B$90,2,0))))</f>
        <v/>
      </c>
      <c r="J649" s="7" t="str">
        <f t="shared" si="41"/>
        <v/>
      </c>
      <c r="K649" s="9">
        <f t="shared" ca="1" si="42"/>
        <v>45404.878290162036</v>
      </c>
      <c r="L649" s="10">
        <f t="shared" ca="1" si="43"/>
        <v>45404.878290046297</v>
      </c>
    </row>
    <row r="650" spans="6:12" x14ac:dyDescent="0.25">
      <c r="F650" s="11" t="str">
        <f>IF(ISBLANK(D650),"",(VLOOKUP(D650,Cardápio!$A$2:$B$16,2,0))*E650)</f>
        <v/>
      </c>
      <c r="H650" s="7" t="str">
        <f t="shared" si="40"/>
        <v/>
      </c>
      <c r="I650" s="7" t="str">
        <f>IF(AND(ISBLANK(D650),ISBLANK(C650)),"",((VLOOKUP(D650,Cardápio!$A$2:$C$16,3,0))*E650)+IF(B650="iFood",F650*0.27,(VLOOKUP(VENDAS!C650,Bairros!$A$2:$B$90,2,0))))</f>
        <v/>
      </c>
      <c r="J650" s="7" t="str">
        <f t="shared" si="41"/>
        <v/>
      </c>
      <c r="K650" s="9">
        <f t="shared" ca="1" si="42"/>
        <v>45404.878290046297</v>
      </c>
      <c r="L650" s="10">
        <f t="shared" ca="1" si="43"/>
        <v>45404.878290046297</v>
      </c>
    </row>
    <row r="651" spans="6:12" x14ac:dyDescent="0.25">
      <c r="F651" s="11" t="str">
        <f>IF(ISBLANK(D651),"",(VLOOKUP(D651,Cardápio!$A$2:$B$16,2,0))*E651)</f>
        <v/>
      </c>
      <c r="H651" s="7" t="str">
        <f t="shared" si="40"/>
        <v/>
      </c>
      <c r="I651" s="7" t="str">
        <f>IF(AND(ISBLANK(D651),ISBLANK(C651)),"",((VLOOKUP(D651,Cardápio!$A$2:$C$16,3,0))*E651)+IF(B651="iFood",F651*0.27,(VLOOKUP(VENDAS!C651,Bairros!$A$2:$B$90,2,0))))</f>
        <v/>
      </c>
      <c r="J651" s="7" t="str">
        <f t="shared" si="41"/>
        <v/>
      </c>
      <c r="K651" s="9">
        <f t="shared" ca="1" si="42"/>
        <v>45404.878290046297</v>
      </c>
      <c r="L651" s="10">
        <f t="shared" ca="1" si="43"/>
        <v>45404.878290046297</v>
      </c>
    </row>
    <row r="652" spans="6:12" x14ac:dyDescent="0.25">
      <c r="F652" s="11" t="str">
        <f>IF(ISBLANK(D652),"",(VLOOKUP(D652,Cardápio!$A$2:$B$16,2,0))*E652)</f>
        <v/>
      </c>
      <c r="H652" s="7" t="str">
        <f t="shared" si="40"/>
        <v/>
      </c>
      <c r="I652" s="7" t="str">
        <f>IF(AND(ISBLANK(D652),ISBLANK(C652)),"",((VLOOKUP(D652,Cardápio!$A$2:$C$16,3,0))*E652)+IF(B652="iFood",F652*0.27,(VLOOKUP(VENDAS!C652,Bairros!$A$2:$B$90,2,0))))</f>
        <v/>
      </c>
      <c r="J652" s="7" t="str">
        <f t="shared" si="41"/>
        <v/>
      </c>
      <c r="K652" s="9">
        <f t="shared" ca="1" si="42"/>
        <v>45404.878290046297</v>
      </c>
      <c r="L652" s="10">
        <f t="shared" ca="1" si="43"/>
        <v>45404.878290046297</v>
      </c>
    </row>
    <row r="653" spans="6:12" x14ac:dyDescent="0.25">
      <c r="F653" s="11" t="str">
        <f>IF(ISBLANK(D653),"",(VLOOKUP(D653,Cardápio!$A$2:$B$16,2,0))*E653)</f>
        <v/>
      </c>
      <c r="H653" s="7" t="str">
        <f t="shared" si="40"/>
        <v/>
      </c>
      <c r="I653" s="7" t="str">
        <f>IF(AND(ISBLANK(D653),ISBLANK(C653)),"",((VLOOKUP(D653,Cardápio!$A$2:$C$16,3,0))*E653)+IF(B653="iFood",F653*0.27,(VLOOKUP(VENDAS!C653,Bairros!$A$2:$B$90,2,0))))</f>
        <v/>
      </c>
      <c r="J653" s="7" t="str">
        <f t="shared" si="41"/>
        <v/>
      </c>
      <c r="K653" s="9">
        <f t="shared" ca="1" si="42"/>
        <v>45404.878290162036</v>
      </c>
      <c r="L653" s="10">
        <f t="shared" ca="1" si="43"/>
        <v>45404.878290046297</v>
      </c>
    </row>
    <row r="654" spans="6:12" x14ac:dyDescent="0.25">
      <c r="F654" s="11" t="str">
        <f>IF(ISBLANK(D654),"",(VLOOKUP(D654,Cardápio!$A$2:$B$16,2,0))*E654)</f>
        <v/>
      </c>
      <c r="H654" s="7" t="str">
        <f t="shared" si="40"/>
        <v/>
      </c>
      <c r="I654" s="7" t="str">
        <f>IF(AND(ISBLANK(D654),ISBLANK(C654)),"",((VLOOKUP(D654,Cardápio!$A$2:$C$16,3,0))*E654)+IF(B654="iFood",F654*0.27,(VLOOKUP(VENDAS!C654,Bairros!$A$2:$B$90,2,0))))</f>
        <v/>
      </c>
      <c r="J654" s="7" t="str">
        <f t="shared" si="41"/>
        <v/>
      </c>
      <c r="K654" s="9">
        <f t="shared" ca="1" si="42"/>
        <v>45404.878290046297</v>
      </c>
      <c r="L654" s="10">
        <f t="shared" ca="1" si="43"/>
        <v>45404.878290046297</v>
      </c>
    </row>
    <row r="655" spans="6:12" x14ac:dyDescent="0.25">
      <c r="F655" s="11" t="str">
        <f>IF(ISBLANK(D655),"",(VLOOKUP(D655,Cardápio!$A$2:$B$16,2,0))*E655)</f>
        <v/>
      </c>
      <c r="H655" s="7" t="str">
        <f t="shared" si="40"/>
        <v/>
      </c>
      <c r="I655" s="7" t="str">
        <f>IF(AND(ISBLANK(D655),ISBLANK(C655)),"",((VLOOKUP(D655,Cardápio!$A$2:$C$16,3,0))*E655)+IF(B655="iFood",F655*0.27,(VLOOKUP(VENDAS!C655,Bairros!$A$2:$B$90,2,0))))</f>
        <v/>
      </c>
      <c r="J655" s="7" t="str">
        <f t="shared" si="41"/>
        <v/>
      </c>
      <c r="K655" s="9">
        <f t="shared" ca="1" si="42"/>
        <v>45404.878290046297</v>
      </c>
      <c r="L655" s="10">
        <f t="shared" ca="1" si="43"/>
        <v>45404.878290046297</v>
      </c>
    </row>
    <row r="656" spans="6:12" x14ac:dyDescent="0.25">
      <c r="F656" s="11" t="str">
        <f>IF(ISBLANK(D656),"",(VLOOKUP(D656,Cardápio!$A$2:$B$16,2,0))*E656)</f>
        <v/>
      </c>
      <c r="H656" s="7" t="str">
        <f t="shared" si="40"/>
        <v/>
      </c>
      <c r="I656" s="7" t="str">
        <f>IF(AND(ISBLANK(D656),ISBLANK(C656)),"",((VLOOKUP(D656,Cardápio!$A$2:$C$16,3,0))*E656)+IF(B656="iFood",F656*0.27,(VLOOKUP(VENDAS!C656,Bairros!$A$2:$B$90,2,0))))</f>
        <v/>
      </c>
      <c r="J656" s="7" t="str">
        <f t="shared" si="41"/>
        <v/>
      </c>
      <c r="K656" s="9">
        <f t="shared" ca="1" si="42"/>
        <v>45404.878290046297</v>
      </c>
      <c r="L656" s="10">
        <f t="shared" ca="1" si="43"/>
        <v>45404.878290046297</v>
      </c>
    </row>
    <row r="657" spans="6:12" x14ac:dyDescent="0.25">
      <c r="F657" s="11" t="str">
        <f>IF(ISBLANK(D657),"",(VLOOKUP(D657,Cardápio!$A$2:$B$16,2,0))*E657)</f>
        <v/>
      </c>
      <c r="H657" s="7" t="str">
        <f t="shared" si="40"/>
        <v/>
      </c>
      <c r="I657" s="7" t="str">
        <f>IF(AND(ISBLANK(D657),ISBLANK(C657)),"",((VLOOKUP(D657,Cardápio!$A$2:$C$16,3,0))*E657)+IF(B657="iFood",F657*0.27,(VLOOKUP(VENDAS!C657,Bairros!$A$2:$B$90,2,0))))</f>
        <v/>
      </c>
      <c r="J657" s="7" t="str">
        <f t="shared" si="41"/>
        <v/>
      </c>
      <c r="K657" s="9">
        <f t="shared" ca="1" si="42"/>
        <v>45404.878290162036</v>
      </c>
      <c r="L657" s="10">
        <f t="shared" ca="1" si="43"/>
        <v>45404.878290046297</v>
      </c>
    </row>
    <row r="658" spans="6:12" x14ac:dyDescent="0.25">
      <c r="F658" s="11" t="str">
        <f>IF(ISBLANK(D658),"",(VLOOKUP(D658,Cardápio!$A$2:$B$16,2,0))*E658)</f>
        <v/>
      </c>
      <c r="H658" s="7" t="str">
        <f t="shared" si="40"/>
        <v/>
      </c>
      <c r="I658" s="7" t="str">
        <f>IF(AND(ISBLANK(D658),ISBLANK(C658)),"",((VLOOKUP(D658,Cardápio!$A$2:$C$16,3,0))*E658)+IF(B658="iFood",F658*0.27,(VLOOKUP(VENDAS!C658,Bairros!$A$2:$B$90,2,0))))</f>
        <v/>
      </c>
      <c r="J658" s="7" t="str">
        <f t="shared" si="41"/>
        <v/>
      </c>
      <c r="K658" s="9">
        <f t="shared" ca="1" si="42"/>
        <v>45404.878290046297</v>
      </c>
      <c r="L658" s="10">
        <f t="shared" ca="1" si="43"/>
        <v>45404.878290046297</v>
      </c>
    </row>
    <row r="659" spans="6:12" x14ac:dyDescent="0.25">
      <c r="F659" s="11" t="str">
        <f>IF(ISBLANK(D659),"",(VLOOKUP(D659,Cardápio!$A$2:$B$16,2,0))*E659)</f>
        <v/>
      </c>
      <c r="H659" s="7" t="str">
        <f t="shared" si="40"/>
        <v/>
      </c>
      <c r="I659" s="7" t="str">
        <f>IF(AND(ISBLANK(D659),ISBLANK(C659)),"",((VLOOKUP(D659,Cardápio!$A$2:$C$16,3,0))*E659)+IF(B659="iFood",F659*0.27,(VLOOKUP(VENDAS!C659,Bairros!$A$2:$B$90,2,0))))</f>
        <v/>
      </c>
      <c r="J659" s="7" t="str">
        <f t="shared" si="41"/>
        <v/>
      </c>
      <c r="K659" s="9">
        <f t="shared" ca="1" si="42"/>
        <v>45404.878290046297</v>
      </c>
      <c r="L659" s="10">
        <f t="shared" ca="1" si="43"/>
        <v>45404.878290046297</v>
      </c>
    </row>
    <row r="660" spans="6:12" x14ac:dyDescent="0.25">
      <c r="F660" s="11" t="str">
        <f>IF(ISBLANK(D660),"",(VLOOKUP(D660,Cardápio!$A$2:$B$16,2,0))*E660)</f>
        <v/>
      </c>
      <c r="H660" s="7" t="str">
        <f t="shared" si="40"/>
        <v/>
      </c>
      <c r="I660" s="7" t="str">
        <f>IF(AND(ISBLANK(D660),ISBLANK(C660)),"",((VLOOKUP(D660,Cardápio!$A$2:$C$16,3,0))*E660)+IF(B660="iFood",F660*0.27,(VLOOKUP(VENDAS!C660,Bairros!$A$2:$B$90,2,0))))</f>
        <v/>
      </c>
      <c r="J660" s="7" t="str">
        <f t="shared" si="41"/>
        <v/>
      </c>
      <c r="K660" s="9">
        <f t="shared" ca="1" si="42"/>
        <v>45404.878290046297</v>
      </c>
      <c r="L660" s="10">
        <f t="shared" ca="1" si="43"/>
        <v>45404.878290046297</v>
      </c>
    </row>
    <row r="661" spans="6:12" x14ac:dyDescent="0.25">
      <c r="F661" s="11" t="str">
        <f>IF(ISBLANK(D661),"",(VLOOKUP(D661,Cardápio!$A$2:$B$16,2,0))*E661)</f>
        <v/>
      </c>
      <c r="H661" s="7" t="str">
        <f t="shared" si="40"/>
        <v/>
      </c>
      <c r="I661" s="7" t="str">
        <f>IF(AND(ISBLANK(D661),ISBLANK(C661)),"",((VLOOKUP(D661,Cardápio!$A$2:$C$16,3,0))*E661)+IF(B661="iFood",F661*0.27,(VLOOKUP(VENDAS!C661,Bairros!$A$2:$B$90,2,0))))</f>
        <v/>
      </c>
      <c r="J661" s="7" t="str">
        <f t="shared" si="41"/>
        <v/>
      </c>
      <c r="K661" s="9">
        <f t="shared" ca="1" si="42"/>
        <v>45404.878290162036</v>
      </c>
      <c r="L661" s="10">
        <f t="shared" ca="1" si="43"/>
        <v>45404.878290046297</v>
      </c>
    </row>
    <row r="662" spans="6:12" x14ac:dyDescent="0.25">
      <c r="F662" s="11" t="str">
        <f>IF(ISBLANK(D662),"",(VLOOKUP(D662,Cardápio!$A$2:$B$16,2,0))*E662)</f>
        <v/>
      </c>
      <c r="H662" s="7" t="str">
        <f t="shared" si="40"/>
        <v/>
      </c>
      <c r="I662" s="7" t="str">
        <f>IF(AND(ISBLANK(D662),ISBLANK(C662)),"",((VLOOKUP(D662,Cardápio!$A$2:$C$16,3,0))*E662)+IF(B662="iFood",F662*0.27,(VLOOKUP(VENDAS!C662,Bairros!$A$2:$B$90,2,0))))</f>
        <v/>
      </c>
      <c r="J662" s="7" t="str">
        <f t="shared" si="41"/>
        <v/>
      </c>
      <c r="K662" s="9">
        <f t="shared" ca="1" si="42"/>
        <v>45404.878290046297</v>
      </c>
      <c r="L662" s="10">
        <f t="shared" ca="1" si="43"/>
        <v>45404.878290046297</v>
      </c>
    </row>
    <row r="663" spans="6:12" x14ac:dyDescent="0.25">
      <c r="F663" s="11" t="str">
        <f>IF(ISBLANK(D663),"",(VLOOKUP(D663,Cardápio!$A$2:$B$16,2,0))*E663)</f>
        <v/>
      </c>
      <c r="H663" s="7" t="str">
        <f t="shared" si="40"/>
        <v/>
      </c>
      <c r="I663" s="7" t="str">
        <f>IF(AND(ISBLANK(D663),ISBLANK(C663)),"",((VLOOKUP(D663,Cardápio!$A$2:$C$16,3,0))*E663)+IF(B663="iFood",F663*0.27,(VLOOKUP(VENDAS!C663,Bairros!$A$2:$B$90,2,0))))</f>
        <v/>
      </c>
      <c r="J663" s="7" t="str">
        <f t="shared" si="41"/>
        <v/>
      </c>
      <c r="K663" s="9">
        <f t="shared" ca="1" si="42"/>
        <v>45404.878290046297</v>
      </c>
      <c r="L663" s="10">
        <f t="shared" ca="1" si="43"/>
        <v>45404.878290046297</v>
      </c>
    </row>
    <row r="664" spans="6:12" x14ac:dyDescent="0.25">
      <c r="F664" s="11" t="str">
        <f>IF(ISBLANK(D664),"",(VLOOKUP(D664,Cardápio!$A$2:$B$16,2,0))*E664)</f>
        <v/>
      </c>
      <c r="H664" s="7" t="str">
        <f t="shared" si="40"/>
        <v/>
      </c>
      <c r="I664" s="7" t="str">
        <f>IF(AND(ISBLANK(D664),ISBLANK(C664)),"",((VLOOKUP(D664,Cardápio!$A$2:$C$16,3,0))*E664)+IF(B664="iFood",F664*0.27,(VLOOKUP(VENDAS!C664,Bairros!$A$2:$B$90,2,0))))</f>
        <v/>
      </c>
      <c r="J664" s="7" t="str">
        <f t="shared" si="41"/>
        <v/>
      </c>
      <c r="K664" s="9">
        <f t="shared" ca="1" si="42"/>
        <v>45404.878290046297</v>
      </c>
      <c r="L664" s="10">
        <f t="shared" ca="1" si="43"/>
        <v>45404.878290046297</v>
      </c>
    </row>
    <row r="665" spans="6:12" x14ac:dyDescent="0.25">
      <c r="F665" s="11" t="str">
        <f>IF(ISBLANK(D665),"",(VLOOKUP(D665,Cardápio!$A$2:$B$16,2,0))*E665)</f>
        <v/>
      </c>
      <c r="H665" s="7" t="str">
        <f t="shared" si="40"/>
        <v/>
      </c>
      <c r="I665" s="7" t="str">
        <f>IF(AND(ISBLANK(D665),ISBLANK(C665)),"",((VLOOKUP(D665,Cardápio!$A$2:$C$16,3,0))*E665)+IF(B665="iFood",F665*0.27,(VLOOKUP(VENDAS!C665,Bairros!$A$2:$B$90,2,0))))</f>
        <v/>
      </c>
      <c r="J665" s="7" t="str">
        <f t="shared" si="41"/>
        <v/>
      </c>
      <c r="K665" s="9">
        <f t="shared" ca="1" si="42"/>
        <v>45404.878290162036</v>
      </c>
      <c r="L665" s="10">
        <f t="shared" ca="1" si="43"/>
        <v>45404.878290046297</v>
      </c>
    </row>
    <row r="666" spans="6:12" x14ac:dyDescent="0.25">
      <c r="F666" s="11" t="str">
        <f>IF(ISBLANK(D666),"",(VLOOKUP(D666,Cardápio!$A$2:$B$16,2,0))*E666)</f>
        <v/>
      </c>
      <c r="H666" s="7" t="str">
        <f t="shared" si="40"/>
        <v/>
      </c>
      <c r="I666" s="7" t="str">
        <f>IF(AND(ISBLANK(D666),ISBLANK(C666)),"",((VLOOKUP(D666,Cardápio!$A$2:$C$16,3,0))*E666)+IF(B666="iFood",F666*0.27,(VLOOKUP(VENDAS!C666,Bairros!$A$2:$B$90,2,0))))</f>
        <v/>
      </c>
      <c r="J666" s="7" t="str">
        <f t="shared" si="41"/>
        <v/>
      </c>
      <c r="K666" s="9">
        <f t="shared" ca="1" si="42"/>
        <v>45404.878290046297</v>
      </c>
      <c r="L666" s="10">
        <f t="shared" ca="1" si="43"/>
        <v>45404.878290046297</v>
      </c>
    </row>
    <row r="667" spans="6:12" x14ac:dyDescent="0.25">
      <c r="F667" s="11" t="str">
        <f>IF(ISBLANK(D667),"",(VLOOKUP(D667,Cardápio!$A$2:$B$16,2,0))*E667)</f>
        <v/>
      </c>
      <c r="H667" s="7" t="str">
        <f t="shared" si="40"/>
        <v/>
      </c>
      <c r="I667" s="7" t="str">
        <f>IF(AND(ISBLANK(D667),ISBLANK(C667)),"",((VLOOKUP(D667,Cardápio!$A$2:$C$16,3,0))*E667)+IF(B667="iFood",F667*0.27,(VLOOKUP(VENDAS!C667,Bairros!$A$2:$B$90,2,0))))</f>
        <v/>
      </c>
      <c r="J667" s="7" t="str">
        <f t="shared" si="41"/>
        <v/>
      </c>
      <c r="K667" s="9">
        <f t="shared" ca="1" si="42"/>
        <v>45404.878290046297</v>
      </c>
      <c r="L667" s="10">
        <f t="shared" ca="1" si="43"/>
        <v>45404.878290046297</v>
      </c>
    </row>
    <row r="668" spans="6:12" x14ac:dyDescent="0.25">
      <c r="F668" s="11" t="str">
        <f>IF(ISBLANK(D668),"",(VLOOKUP(D668,Cardápio!$A$2:$B$16,2,0))*E668)</f>
        <v/>
      </c>
      <c r="H668" s="7" t="str">
        <f t="shared" si="40"/>
        <v/>
      </c>
      <c r="I668" s="7" t="str">
        <f>IF(AND(ISBLANK(D668),ISBLANK(C668)),"",((VLOOKUP(D668,Cardápio!$A$2:$C$16,3,0))*E668)+IF(B668="iFood",F668*0.27,(VLOOKUP(VENDAS!C668,Bairros!$A$2:$B$90,2,0))))</f>
        <v/>
      </c>
      <c r="J668" s="7" t="str">
        <f t="shared" si="41"/>
        <v/>
      </c>
      <c r="K668" s="9">
        <f t="shared" ca="1" si="42"/>
        <v>45404.878290046297</v>
      </c>
      <c r="L668" s="10">
        <f t="shared" ca="1" si="43"/>
        <v>45404.878290046297</v>
      </c>
    </row>
    <row r="669" spans="6:12" x14ac:dyDescent="0.25">
      <c r="F669" s="11" t="str">
        <f>IF(ISBLANK(D669),"",(VLOOKUP(D669,Cardápio!$A$2:$B$16,2,0))*E669)</f>
        <v/>
      </c>
      <c r="H669" s="7" t="str">
        <f t="shared" si="40"/>
        <v/>
      </c>
      <c r="I669" s="7" t="str">
        <f>IF(AND(ISBLANK(D669),ISBLANK(C669)),"",((VLOOKUP(D669,Cardápio!$A$2:$C$16,3,0))*E669)+IF(B669="iFood",F669*0.27,(VLOOKUP(VENDAS!C669,Bairros!$A$2:$B$90,2,0))))</f>
        <v/>
      </c>
      <c r="J669" s="7" t="str">
        <f t="shared" si="41"/>
        <v/>
      </c>
      <c r="K669" s="9">
        <f t="shared" ca="1" si="42"/>
        <v>45404.878290162036</v>
      </c>
      <c r="L669" s="10">
        <f t="shared" ca="1" si="43"/>
        <v>45404.878290046297</v>
      </c>
    </row>
    <row r="670" spans="6:12" x14ac:dyDescent="0.25">
      <c r="F670" s="11" t="str">
        <f>IF(ISBLANK(D670),"",(VLOOKUP(D670,Cardápio!$A$2:$B$16,2,0))*E670)</f>
        <v/>
      </c>
      <c r="H670" s="7" t="str">
        <f t="shared" si="40"/>
        <v/>
      </c>
      <c r="I670" s="7" t="str">
        <f>IF(AND(ISBLANK(D670),ISBLANK(C670)),"",((VLOOKUP(D670,Cardápio!$A$2:$C$16,3,0))*E670)+IF(B670="iFood",F670*0.27,(VLOOKUP(VENDAS!C670,Bairros!$A$2:$B$90,2,0))))</f>
        <v/>
      </c>
      <c r="J670" s="7" t="str">
        <f t="shared" si="41"/>
        <v/>
      </c>
      <c r="K670" s="9">
        <f t="shared" ca="1" si="42"/>
        <v>45404.878290046297</v>
      </c>
      <c r="L670" s="10">
        <f t="shared" ca="1" si="43"/>
        <v>45404.878290046297</v>
      </c>
    </row>
    <row r="671" spans="6:12" x14ac:dyDescent="0.25">
      <c r="F671" s="11" t="str">
        <f>IF(ISBLANK(D671),"",(VLOOKUP(D671,Cardápio!$A$2:$B$16,2,0))*E671)</f>
        <v/>
      </c>
      <c r="H671" s="7" t="str">
        <f t="shared" si="40"/>
        <v/>
      </c>
      <c r="I671" s="7" t="str">
        <f>IF(AND(ISBLANK(D671),ISBLANK(C671)),"",((VLOOKUP(D671,Cardápio!$A$2:$C$16,3,0))*E671)+IF(B671="iFood",F671*0.27,(VLOOKUP(VENDAS!C671,Bairros!$A$2:$B$90,2,0))))</f>
        <v/>
      </c>
      <c r="J671" s="7" t="str">
        <f t="shared" si="41"/>
        <v/>
      </c>
      <c r="K671" s="9">
        <f t="shared" ca="1" si="42"/>
        <v>45404.878290046297</v>
      </c>
      <c r="L671" s="10">
        <f t="shared" ca="1" si="43"/>
        <v>45404.878290046297</v>
      </c>
    </row>
    <row r="672" spans="6:12" x14ac:dyDescent="0.25">
      <c r="F672" s="11" t="str">
        <f>IF(ISBLANK(D672),"",(VLOOKUP(D672,Cardápio!$A$2:$B$16,2,0))*E672)</f>
        <v/>
      </c>
      <c r="H672" s="7" t="str">
        <f t="shared" si="40"/>
        <v/>
      </c>
      <c r="I672" s="7" t="str">
        <f>IF(AND(ISBLANK(D672),ISBLANK(C672)),"",((VLOOKUP(D672,Cardápio!$A$2:$C$16,3,0))*E672)+IF(B672="iFood",F672*0.27,(VLOOKUP(VENDAS!C672,Bairros!$A$2:$B$90,2,0))))</f>
        <v/>
      </c>
      <c r="J672" s="7" t="str">
        <f t="shared" si="41"/>
        <v/>
      </c>
      <c r="K672" s="9">
        <f t="shared" ca="1" si="42"/>
        <v>45404.878290046297</v>
      </c>
      <c r="L672" s="10">
        <f t="shared" ca="1" si="43"/>
        <v>45404.878290046297</v>
      </c>
    </row>
    <row r="673" spans="6:12" x14ac:dyDescent="0.25">
      <c r="F673" s="11" t="str">
        <f>IF(ISBLANK(D673),"",(VLOOKUP(D673,Cardápio!$A$2:$B$16,2,0))*E673)</f>
        <v/>
      </c>
      <c r="H673" s="7" t="str">
        <f t="shared" si="40"/>
        <v/>
      </c>
      <c r="I673" s="7" t="str">
        <f>IF(AND(ISBLANK(D673),ISBLANK(C673)),"",((VLOOKUP(D673,Cardápio!$A$2:$C$16,3,0))*E673)+IF(B673="iFood",F673*0.27,(VLOOKUP(VENDAS!C673,Bairros!$A$2:$B$90,2,0))))</f>
        <v/>
      </c>
      <c r="J673" s="7" t="str">
        <f t="shared" si="41"/>
        <v/>
      </c>
      <c r="K673" s="9">
        <f t="shared" ca="1" si="42"/>
        <v>45404.878290162036</v>
      </c>
      <c r="L673" s="10">
        <f t="shared" ca="1" si="43"/>
        <v>45404.878290046297</v>
      </c>
    </row>
    <row r="674" spans="6:12" x14ac:dyDescent="0.25">
      <c r="F674" s="11" t="str">
        <f>IF(ISBLANK(D674),"",(VLOOKUP(D674,Cardápio!$A$2:$B$16,2,0))*E674)</f>
        <v/>
      </c>
      <c r="H674" s="7" t="str">
        <f t="shared" si="40"/>
        <v/>
      </c>
      <c r="I674" s="7" t="str">
        <f>IF(AND(ISBLANK(D674),ISBLANK(C674)),"",((VLOOKUP(D674,Cardápio!$A$2:$C$16,3,0))*E674)+IF(B674="iFood",F674*0.27,(VLOOKUP(VENDAS!C674,Bairros!$A$2:$B$90,2,0))))</f>
        <v/>
      </c>
      <c r="J674" s="7" t="str">
        <f t="shared" si="41"/>
        <v/>
      </c>
      <c r="K674" s="9">
        <f t="shared" ca="1" si="42"/>
        <v>45404.878290046297</v>
      </c>
      <c r="L674" s="10">
        <f t="shared" ca="1" si="43"/>
        <v>45404.878290046297</v>
      </c>
    </row>
    <row r="675" spans="6:12" x14ac:dyDescent="0.25">
      <c r="F675" s="11" t="str">
        <f>IF(ISBLANK(D675),"",(VLOOKUP(D675,Cardápio!$A$2:$B$16,2,0))*E675)</f>
        <v/>
      </c>
      <c r="H675" s="7" t="str">
        <f t="shared" si="40"/>
        <v/>
      </c>
      <c r="I675" s="7" t="str">
        <f>IF(AND(ISBLANK(D675),ISBLANK(C675)),"",((VLOOKUP(D675,Cardápio!$A$2:$C$16,3,0))*E675)+IF(B675="iFood",F675*0.27,(VLOOKUP(VENDAS!C675,Bairros!$A$2:$B$90,2,0))))</f>
        <v/>
      </c>
      <c r="J675" s="7" t="str">
        <f t="shared" si="41"/>
        <v/>
      </c>
      <c r="K675" s="9">
        <f t="shared" ca="1" si="42"/>
        <v>45404.878290046297</v>
      </c>
      <c r="L675" s="10">
        <f t="shared" ca="1" si="43"/>
        <v>45404.878290046297</v>
      </c>
    </row>
    <row r="676" spans="6:12" x14ac:dyDescent="0.25">
      <c r="F676" s="11" t="str">
        <f>IF(ISBLANK(D676),"",(VLOOKUP(D676,Cardápio!$A$2:$B$16,2,0))*E676)</f>
        <v/>
      </c>
      <c r="H676" s="7" t="str">
        <f t="shared" si="40"/>
        <v/>
      </c>
      <c r="I676" s="7" t="str">
        <f>IF(AND(ISBLANK(D676),ISBLANK(C676)),"",((VLOOKUP(D676,Cardápio!$A$2:$C$16,3,0))*E676)+IF(B676="iFood",F676*0.27,(VLOOKUP(VENDAS!C676,Bairros!$A$2:$B$90,2,0))))</f>
        <v/>
      </c>
      <c r="J676" s="7" t="str">
        <f t="shared" si="41"/>
        <v/>
      </c>
      <c r="K676" s="9">
        <f t="shared" ca="1" si="42"/>
        <v>45404.878290046297</v>
      </c>
      <c r="L676" s="10">
        <f t="shared" ca="1" si="43"/>
        <v>45404.878290046297</v>
      </c>
    </row>
    <row r="677" spans="6:12" x14ac:dyDescent="0.25">
      <c r="F677" s="11" t="str">
        <f>IF(ISBLANK(D677),"",(VLOOKUP(D677,Cardápio!$A$2:$B$16,2,0))*E677)</f>
        <v/>
      </c>
      <c r="H677" s="7" t="str">
        <f t="shared" si="40"/>
        <v/>
      </c>
      <c r="I677" s="7" t="str">
        <f>IF(AND(ISBLANK(D677),ISBLANK(C677)),"",((VLOOKUP(D677,Cardápio!$A$2:$C$16,3,0))*E677)+IF(B677="iFood",F677*0.27,(VLOOKUP(VENDAS!C677,Bairros!$A$2:$B$90,2,0))))</f>
        <v/>
      </c>
      <c r="J677" s="7" t="str">
        <f t="shared" si="41"/>
        <v/>
      </c>
      <c r="K677" s="9">
        <f t="shared" ca="1" si="42"/>
        <v>45404.878290162036</v>
      </c>
      <c r="L677" s="10">
        <f t="shared" ca="1" si="43"/>
        <v>45404.878290046297</v>
      </c>
    </row>
    <row r="678" spans="6:12" x14ac:dyDescent="0.25">
      <c r="F678" s="11" t="str">
        <f>IF(ISBLANK(D678),"",(VLOOKUP(D678,Cardápio!$A$2:$B$16,2,0))*E678)</f>
        <v/>
      </c>
      <c r="H678" s="7" t="str">
        <f t="shared" si="40"/>
        <v/>
      </c>
      <c r="I678" s="7" t="str">
        <f>IF(AND(ISBLANK(D678),ISBLANK(C678)),"",((VLOOKUP(D678,Cardápio!$A$2:$C$16,3,0))*E678)+IF(B678="iFood",F678*0.27,(VLOOKUP(VENDAS!C678,Bairros!$A$2:$B$90,2,0))))</f>
        <v/>
      </c>
      <c r="J678" s="7" t="str">
        <f t="shared" si="41"/>
        <v/>
      </c>
      <c r="K678" s="9">
        <f t="shared" ca="1" si="42"/>
        <v>45404.878290046297</v>
      </c>
      <c r="L678" s="10">
        <f t="shared" ca="1" si="43"/>
        <v>45404.878290046297</v>
      </c>
    </row>
    <row r="679" spans="6:12" x14ac:dyDescent="0.25">
      <c r="F679" s="11" t="str">
        <f>IF(ISBLANK(D679),"",(VLOOKUP(D679,Cardápio!$A$2:$B$16,2,0))*E679)</f>
        <v/>
      </c>
      <c r="H679" s="7" t="str">
        <f t="shared" si="40"/>
        <v/>
      </c>
      <c r="I679" s="7" t="str">
        <f>IF(AND(ISBLANK(D679),ISBLANK(C679)),"",((VLOOKUP(D679,Cardápio!$A$2:$C$16,3,0))*E679)+IF(B679="iFood",F679*0.27,(VLOOKUP(VENDAS!C679,Bairros!$A$2:$B$90,2,0))))</f>
        <v/>
      </c>
      <c r="J679" s="7" t="str">
        <f t="shared" si="41"/>
        <v/>
      </c>
      <c r="K679" s="9">
        <f t="shared" ca="1" si="42"/>
        <v>45404.878290046297</v>
      </c>
      <c r="L679" s="10">
        <f t="shared" ca="1" si="43"/>
        <v>45404.878290046297</v>
      </c>
    </row>
    <row r="680" spans="6:12" x14ac:dyDescent="0.25">
      <c r="F680" s="11" t="str">
        <f>IF(ISBLANK(D680),"",(VLOOKUP(D680,Cardápio!$A$2:$B$16,2,0))*E680)</f>
        <v/>
      </c>
      <c r="H680" s="7" t="str">
        <f t="shared" si="40"/>
        <v/>
      </c>
      <c r="I680" s="7" t="str">
        <f>IF(AND(ISBLANK(D680),ISBLANK(C680)),"",((VLOOKUP(D680,Cardápio!$A$2:$C$16,3,0))*E680)+IF(B680="iFood",F680*0.27,(VLOOKUP(VENDAS!C680,Bairros!$A$2:$B$90,2,0))))</f>
        <v/>
      </c>
      <c r="J680" s="7" t="str">
        <f t="shared" si="41"/>
        <v/>
      </c>
      <c r="K680" s="9">
        <f t="shared" ca="1" si="42"/>
        <v>45404.878290046297</v>
      </c>
      <c r="L680" s="10">
        <f t="shared" ca="1" si="43"/>
        <v>45404.878290046297</v>
      </c>
    </row>
    <row r="681" spans="6:12" x14ac:dyDescent="0.25">
      <c r="F681" s="11" t="str">
        <f>IF(ISBLANK(D681),"",(VLOOKUP(D681,Cardápio!$A$2:$B$16,2,0))*E681)</f>
        <v/>
      </c>
      <c r="H681" s="7" t="str">
        <f t="shared" si="40"/>
        <v/>
      </c>
      <c r="I681" s="7" t="str">
        <f>IF(AND(ISBLANK(D681),ISBLANK(C681)),"",((VLOOKUP(D681,Cardápio!$A$2:$C$16,3,0))*E681)+IF(B681="iFood",F681*0.27,(VLOOKUP(VENDAS!C681,Bairros!$A$2:$B$90,2,0))))</f>
        <v/>
      </c>
      <c r="J681" s="7" t="str">
        <f t="shared" si="41"/>
        <v/>
      </c>
      <c r="K681" s="9">
        <f t="shared" ca="1" si="42"/>
        <v>45404.878290162036</v>
      </c>
      <c r="L681" s="10">
        <f t="shared" ca="1" si="43"/>
        <v>45404.878290046297</v>
      </c>
    </row>
    <row r="682" spans="6:12" x14ac:dyDescent="0.25">
      <c r="F682" s="11" t="str">
        <f>IF(ISBLANK(D682),"",(VLOOKUP(D682,Cardápio!$A$2:$B$16,2,0))*E682)</f>
        <v/>
      </c>
      <c r="H682" s="7" t="str">
        <f t="shared" si="40"/>
        <v/>
      </c>
      <c r="I682" s="7" t="str">
        <f>IF(AND(ISBLANK(D682),ISBLANK(C682)),"",((VLOOKUP(D682,Cardápio!$A$2:$C$16,3,0))*E682)+IF(B682="iFood",F682*0.27,(VLOOKUP(VENDAS!C682,Bairros!$A$2:$B$90,2,0))))</f>
        <v/>
      </c>
      <c r="J682" s="7" t="str">
        <f t="shared" si="41"/>
        <v/>
      </c>
      <c r="K682" s="9">
        <f t="shared" ca="1" si="42"/>
        <v>45404.878290046297</v>
      </c>
      <c r="L682" s="10">
        <f t="shared" ca="1" si="43"/>
        <v>45404.878290046297</v>
      </c>
    </row>
    <row r="683" spans="6:12" x14ac:dyDescent="0.25">
      <c r="F683" s="11" t="str">
        <f>IF(ISBLANK(D683),"",(VLOOKUP(D683,Cardápio!$A$2:$B$16,2,0))*E683)</f>
        <v/>
      </c>
      <c r="H683" s="7" t="str">
        <f t="shared" si="40"/>
        <v/>
      </c>
      <c r="I683" s="7" t="str">
        <f>IF(AND(ISBLANK(D683),ISBLANK(C683)),"",((VLOOKUP(D683,Cardápio!$A$2:$C$16,3,0))*E683)+IF(B683="iFood",F683*0.27,(VLOOKUP(VENDAS!C683,Bairros!$A$2:$B$90,2,0))))</f>
        <v/>
      </c>
      <c r="J683" s="7" t="str">
        <f t="shared" si="41"/>
        <v/>
      </c>
      <c r="K683" s="9">
        <f t="shared" ca="1" si="42"/>
        <v>45404.878290046297</v>
      </c>
      <c r="L683" s="10">
        <f t="shared" ca="1" si="43"/>
        <v>45404.878290046297</v>
      </c>
    </row>
    <row r="684" spans="6:12" x14ac:dyDescent="0.25">
      <c r="F684" s="11" t="str">
        <f>IF(ISBLANK(D684),"",(VLOOKUP(D684,Cardápio!$A$2:$B$16,2,0))*E684)</f>
        <v/>
      </c>
      <c r="H684" s="7" t="str">
        <f t="shared" si="40"/>
        <v/>
      </c>
      <c r="I684" s="7" t="str">
        <f>IF(AND(ISBLANK(D684),ISBLANK(C684)),"",((VLOOKUP(D684,Cardápio!$A$2:$C$16,3,0))*E684)+IF(B684="iFood",F684*0.27,(VLOOKUP(VENDAS!C684,Bairros!$A$2:$B$90,2,0))))</f>
        <v/>
      </c>
      <c r="J684" s="7" t="str">
        <f t="shared" si="41"/>
        <v/>
      </c>
      <c r="K684" s="9">
        <f t="shared" ca="1" si="42"/>
        <v>45404.878290046297</v>
      </c>
      <c r="L684" s="10">
        <f t="shared" ca="1" si="43"/>
        <v>45404.878290046297</v>
      </c>
    </row>
    <row r="685" spans="6:12" x14ac:dyDescent="0.25">
      <c r="F685" s="11" t="str">
        <f>IF(ISBLANK(D685),"",(VLOOKUP(D685,Cardápio!$A$2:$B$16,2,0))*E685)</f>
        <v/>
      </c>
      <c r="H685" s="7" t="str">
        <f t="shared" si="40"/>
        <v/>
      </c>
      <c r="I685" s="7" t="str">
        <f>IF(AND(ISBLANK(D685),ISBLANK(C685)),"",((VLOOKUP(D685,Cardápio!$A$2:$C$16,3,0))*E685)+IF(B685="iFood",F685*0.27,(VLOOKUP(VENDAS!C685,Bairros!$A$2:$B$90,2,0))))</f>
        <v/>
      </c>
      <c r="J685" s="7" t="str">
        <f t="shared" si="41"/>
        <v/>
      </c>
      <c r="K685" s="9">
        <f t="shared" ca="1" si="42"/>
        <v>45404.878290162036</v>
      </c>
      <c r="L685" s="10">
        <f t="shared" ca="1" si="43"/>
        <v>45404.878290046297</v>
      </c>
    </row>
    <row r="686" spans="6:12" x14ac:dyDescent="0.25">
      <c r="F686" s="11" t="str">
        <f>IF(ISBLANK(D686),"",(VLOOKUP(D686,Cardápio!$A$2:$B$16,2,0))*E686)</f>
        <v/>
      </c>
      <c r="H686" s="7" t="str">
        <f t="shared" si="40"/>
        <v/>
      </c>
      <c r="I686" s="7" t="str">
        <f>IF(AND(ISBLANK(D686),ISBLANK(C686)),"",((VLOOKUP(D686,Cardápio!$A$2:$C$16,3,0))*E686)+IF(B686="iFood",F686*0.27,(VLOOKUP(VENDAS!C686,Bairros!$A$2:$B$90,2,0))))</f>
        <v/>
      </c>
      <c r="J686" s="7" t="str">
        <f t="shared" si="41"/>
        <v/>
      </c>
      <c r="K686" s="9">
        <f t="shared" ca="1" si="42"/>
        <v>45404.878290162036</v>
      </c>
      <c r="L686" s="10">
        <f t="shared" ca="1" si="43"/>
        <v>45404.878290046297</v>
      </c>
    </row>
    <row r="687" spans="6:12" x14ac:dyDescent="0.25">
      <c r="F687" s="11" t="str">
        <f>IF(ISBLANK(D687),"",(VLOOKUP(D687,Cardápio!$A$2:$B$16,2,0))*E687)</f>
        <v/>
      </c>
      <c r="H687" s="7" t="str">
        <f t="shared" si="40"/>
        <v/>
      </c>
      <c r="I687" s="7" t="str">
        <f>IF(AND(ISBLANK(D687),ISBLANK(C687)),"",((VLOOKUP(D687,Cardápio!$A$2:$C$16,3,0))*E687)+IF(B687="iFood",F687*0.27,(VLOOKUP(VENDAS!C687,Bairros!$A$2:$B$90,2,0))))</f>
        <v/>
      </c>
      <c r="J687" s="7" t="str">
        <f t="shared" si="41"/>
        <v/>
      </c>
      <c r="K687" s="9">
        <f t="shared" ca="1" si="42"/>
        <v>45404.878290046297</v>
      </c>
      <c r="L687" s="10">
        <f t="shared" ca="1" si="43"/>
        <v>45404.878290046297</v>
      </c>
    </row>
    <row r="688" spans="6:12" x14ac:dyDescent="0.25">
      <c r="F688" s="11" t="str">
        <f>IF(ISBLANK(D688),"",(VLOOKUP(D688,Cardápio!$A$2:$B$16,2,0))*E688)</f>
        <v/>
      </c>
      <c r="H688" s="7" t="str">
        <f t="shared" si="40"/>
        <v/>
      </c>
      <c r="I688" s="7" t="str">
        <f>IF(AND(ISBLANK(D688),ISBLANK(C688)),"",((VLOOKUP(D688,Cardápio!$A$2:$C$16,3,0))*E688)+IF(B688="iFood",F688*0.27,(VLOOKUP(VENDAS!C688,Bairros!$A$2:$B$90,2,0))))</f>
        <v/>
      </c>
      <c r="J688" s="7" t="str">
        <f t="shared" si="41"/>
        <v/>
      </c>
      <c r="K688" s="9">
        <f t="shared" ca="1" si="42"/>
        <v>45404.878290046297</v>
      </c>
      <c r="L688" s="10">
        <f t="shared" ca="1" si="43"/>
        <v>45404.878290046297</v>
      </c>
    </row>
    <row r="689" spans="6:12" x14ac:dyDescent="0.25">
      <c r="F689" s="11" t="str">
        <f>IF(ISBLANK(D689),"",(VLOOKUP(D689,Cardápio!$A$2:$B$16,2,0))*E689)</f>
        <v/>
      </c>
      <c r="H689" s="7" t="str">
        <f t="shared" si="40"/>
        <v/>
      </c>
      <c r="I689" s="7" t="str">
        <f>IF(AND(ISBLANK(D689),ISBLANK(C689)),"",((VLOOKUP(D689,Cardápio!$A$2:$C$16,3,0))*E689)+IF(B689="iFood",F689*0.27,(VLOOKUP(VENDAS!C689,Bairros!$A$2:$B$90,2,0))))</f>
        <v/>
      </c>
      <c r="J689" s="7" t="str">
        <f t="shared" si="41"/>
        <v/>
      </c>
      <c r="K689" s="9">
        <f t="shared" ca="1" si="42"/>
        <v>45404.878290162036</v>
      </c>
      <c r="L689" s="10">
        <f t="shared" ca="1" si="43"/>
        <v>45404.878290046297</v>
      </c>
    </row>
    <row r="690" spans="6:12" x14ac:dyDescent="0.25">
      <c r="F690" s="11" t="str">
        <f>IF(ISBLANK(D690),"",(VLOOKUP(D690,Cardápio!$A$2:$B$16,2,0))*E690)</f>
        <v/>
      </c>
      <c r="H690" s="7" t="str">
        <f t="shared" si="40"/>
        <v/>
      </c>
      <c r="I690" s="7" t="str">
        <f>IF(AND(ISBLANK(D690),ISBLANK(C690)),"",((VLOOKUP(D690,Cardápio!$A$2:$C$16,3,0))*E690)+IF(B690="iFood",F690*0.27,(VLOOKUP(VENDAS!C690,Bairros!$A$2:$B$90,2,0))))</f>
        <v/>
      </c>
      <c r="J690" s="7" t="str">
        <f t="shared" si="41"/>
        <v/>
      </c>
      <c r="K690" s="9">
        <f t="shared" ca="1" si="42"/>
        <v>45404.878290162036</v>
      </c>
      <c r="L690" s="10">
        <f t="shared" ca="1" si="43"/>
        <v>45404.878290046297</v>
      </c>
    </row>
    <row r="691" spans="6:12" x14ac:dyDescent="0.25">
      <c r="F691" s="11" t="str">
        <f>IF(ISBLANK(D691),"",(VLOOKUP(D691,Cardápio!$A$2:$B$16,2,0))*E691)</f>
        <v/>
      </c>
      <c r="H691" s="7" t="str">
        <f t="shared" si="40"/>
        <v/>
      </c>
      <c r="I691" s="7" t="str">
        <f>IF(AND(ISBLANK(D691),ISBLANK(C691)),"",((VLOOKUP(D691,Cardápio!$A$2:$C$16,3,0))*E691)+IF(B691="iFood",F691*0.27,(VLOOKUP(VENDAS!C691,Bairros!$A$2:$B$90,2,0))))</f>
        <v/>
      </c>
      <c r="J691" s="7" t="str">
        <f t="shared" si="41"/>
        <v/>
      </c>
      <c r="K691" s="9">
        <f t="shared" ca="1" si="42"/>
        <v>45404.878290046297</v>
      </c>
      <c r="L691" s="10">
        <f t="shared" ca="1" si="43"/>
        <v>45404.878290046297</v>
      </c>
    </row>
    <row r="692" spans="6:12" x14ac:dyDescent="0.25">
      <c r="F692" s="11" t="str">
        <f>IF(ISBLANK(D692),"",(VLOOKUP(D692,Cardápio!$A$2:$B$16,2,0))*E692)</f>
        <v/>
      </c>
      <c r="H692" s="7" t="str">
        <f t="shared" si="40"/>
        <v/>
      </c>
      <c r="I692" s="7" t="str">
        <f>IF(AND(ISBLANK(D692),ISBLANK(C692)),"",((VLOOKUP(D692,Cardápio!$A$2:$C$16,3,0))*E692)+IF(B692="iFood",F692*0.27,(VLOOKUP(VENDAS!C692,Bairros!$A$2:$B$90,2,0))))</f>
        <v/>
      </c>
      <c r="J692" s="7" t="str">
        <f t="shared" si="41"/>
        <v/>
      </c>
      <c r="K692" s="9">
        <f t="shared" ca="1" si="42"/>
        <v>45404.878290046297</v>
      </c>
      <c r="L692" s="10">
        <f t="shared" ca="1" si="43"/>
        <v>45404.878290046297</v>
      </c>
    </row>
    <row r="693" spans="6:12" x14ac:dyDescent="0.25">
      <c r="F693" s="11" t="str">
        <f>IF(ISBLANK(D693),"",(VLOOKUP(D693,Cardápio!$A$2:$B$16,2,0))*E693)</f>
        <v/>
      </c>
      <c r="H693" s="7" t="str">
        <f t="shared" ref="H693:H756" si="44">IF(ISBLANK(D693),"",F693-G693)</f>
        <v/>
      </c>
      <c r="I693" s="7" t="str">
        <f>IF(AND(ISBLANK(D693),ISBLANK(C693)),"",((VLOOKUP(D693,Cardápio!$A$2:$C$16,3,0))*E693)+IF(B693="iFood",F693*0.27,(VLOOKUP(VENDAS!C693,Bairros!$A$2:$B$90,2,0))))</f>
        <v/>
      </c>
      <c r="J693" s="7" t="str">
        <f t="shared" ref="J693:J756" si="45">IF(OR(AND(ISBLANK(H693),ISBLANK(I693)),(AND(H693="",I693=""))),"",H693-I693)</f>
        <v/>
      </c>
      <c r="K693" s="9">
        <f t="shared" ref="K693:K756" ca="1" si="46">IF(D693&lt;&gt;"",K693,NOW())</f>
        <v>45404.878290162036</v>
      </c>
      <c r="L693" s="10">
        <f t="shared" ref="L693:L756" ca="1" si="47">IF(D693&lt;&gt;"",L693,NOW())</f>
        <v>45404.878290046297</v>
      </c>
    </row>
    <row r="694" spans="6:12" x14ac:dyDescent="0.25">
      <c r="F694" s="11" t="str">
        <f>IF(ISBLANK(D694),"",(VLOOKUP(D694,Cardápio!$A$2:$B$16,2,0))*E694)</f>
        <v/>
      </c>
      <c r="H694" s="7" t="str">
        <f t="shared" si="44"/>
        <v/>
      </c>
      <c r="I694" s="7" t="str">
        <f>IF(AND(ISBLANK(D694),ISBLANK(C694)),"",((VLOOKUP(D694,Cardápio!$A$2:$C$16,3,0))*E694)+IF(B694="iFood",F694*0.27,(VLOOKUP(VENDAS!C694,Bairros!$A$2:$B$90,2,0))))</f>
        <v/>
      </c>
      <c r="J694" s="7" t="str">
        <f t="shared" si="45"/>
        <v/>
      </c>
      <c r="K694" s="9">
        <f t="shared" ca="1" si="46"/>
        <v>45404.878290162036</v>
      </c>
      <c r="L694" s="10">
        <f t="shared" ca="1" si="47"/>
        <v>45404.878290046297</v>
      </c>
    </row>
    <row r="695" spans="6:12" x14ac:dyDescent="0.25">
      <c r="F695" s="11" t="str">
        <f>IF(ISBLANK(D695),"",(VLOOKUP(D695,Cardápio!$A$2:$B$16,2,0))*E695)</f>
        <v/>
      </c>
      <c r="H695" s="7" t="str">
        <f t="shared" si="44"/>
        <v/>
      </c>
      <c r="I695" s="7" t="str">
        <f>IF(AND(ISBLANK(D695),ISBLANK(C695)),"",((VLOOKUP(D695,Cardápio!$A$2:$C$16,3,0))*E695)+IF(B695="iFood",F695*0.27,(VLOOKUP(VENDAS!C695,Bairros!$A$2:$B$90,2,0))))</f>
        <v/>
      </c>
      <c r="J695" s="7" t="str">
        <f t="shared" si="45"/>
        <v/>
      </c>
      <c r="K695" s="9">
        <f t="shared" ca="1" si="46"/>
        <v>45404.878290046297</v>
      </c>
      <c r="L695" s="10">
        <f t="shared" ca="1" si="47"/>
        <v>45404.878290046297</v>
      </c>
    </row>
    <row r="696" spans="6:12" x14ac:dyDescent="0.25">
      <c r="F696" s="11" t="str">
        <f>IF(ISBLANK(D696),"",(VLOOKUP(D696,Cardápio!$A$2:$B$16,2,0))*E696)</f>
        <v/>
      </c>
      <c r="H696" s="7" t="str">
        <f t="shared" si="44"/>
        <v/>
      </c>
      <c r="I696" s="7" t="str">
        <f>IF(AND(ISBLANK(D696),ISBLANK(C696)),"",((VLOOKUP(D696,Cardápio!$A$2:$C$16,3,0))*E696)+IF(B696="iFood",F696*0.27,(VLOOKUP(VENDAS!C696,Bairros!$A$2:$B$90,2,0))))</f>
        <v/>
      </c>
      <c r="J696" s="7" t="str">
        <f t="shared" si="45"/>
        <v/>
      </c>
      <c r="K696" s="9">
        <f t="shared" ca="1" si="46"/>
        <v>45404.878290046297</v>
      </c>
      <c r="L696" s="10">
        <f t="shared" ca="1" si="47"/>
        <v>45404.878290046297</v>
      </c>
    </row>
    <row r="697" spans="6:12" x14ac:dyDescent="0.25">
      <c r="F697" s="11" t="str">
        <f>IF(ISBLANK(D697),"",(VLOOKUP(D697,Cardápio!$A$2:$B$16,2,0))*E697)</f>
        <v/>
      </c>
      <c r="H697" s="7" t="str">
        <f t="shared" si="44"/>
        <v/>
      </c>
      <c r="I697" s="7" t="str">
        <f>IF(AND(ISBLANK(D697),ISBLANK(C697)),"",((VLOOKUP(D697,Cardápio!$A$2:$C$16,3,0))*E697)+IF(B697="iFood",F697*0.27,(VLOOKUP(VENDAS!C697,Bairros!$A$2:$B$90,2,0))))</f>
        <v/>
      </c>
      <c r="J697" s="7" t="str">
        <f t="shared" si="45"/>
        <v/>
      </c>
      <c r="K697" s="9">
        <f t="shared" ca="1" si="46"/>
        <v>45404.878290162036</v>
      </c>
      <c r="L697" s="10">
        <f t="shared" ca="1" si="47"/>
        <v>45404.878290046297</v>
      </c>
    </row>
    <row r="698" spans="6:12" x14ac:dyDescent="0.25">
      <c r="F698" s="11" t="str">
        <f>IF(ISBLANK(D698),"",(VLOOKUP(D698,Cardápio!$A$2:$B$16,2,0))*E698)</f>
        <v/>
      </c>
      <c r="H698" s="7" t="str">
        <f t="shared" si="44"/>
        <v/>
      </c>
      <c r="I698" s="7" t="str">
        <f>IF(AND(ISBLANK(D698),ISBLANK(C698)),"",((VLOOKUP(D698,Cardápio!$A$2:$C$16,3,0))*E698)+IF(B698="iFood",F698*0.27,(VLOOKUP(VENDAS!C698,Bairros!$A$2:$B$90,2,0))))</f>
        <v/>
      </c>
      <c r="J698" s="7" t="str">
        <f t="shared" si="45"/>
        <v/>
      </c>
      <c r="K698" s="9">
        <f t="shared" ca="1" si="46"/>
        <v>45404.878290162036</v>
      </c>
      <c r="L698" s="10">
        <f t="shared" ca="1" si="47"/>
        <v>45404.878290046297</v>
      </c>
    </row>
    <row r="699" spans="6:12" x14ac:dyDescent="0.25">
      <c r="F699" s="11" t="str">
        <f>IF(ISBLANK(D699),"",(VLOOKUP(D699,Cardápio!$A$2:$B$16,2,0))*E699)</f>
        <v/>
      </c>
      <c r="H699" s="7" t="str">
        <f t="shared" si="44"/>
        <v/>
      </c>
      <c r="I699" s="7" t="str">
        <f>IF(AND(ISBLANK(D699),ISBLANK(C699)),"",((VLOOKUP(D699,Cardápio!$A$2:$C$16,3,0))*E699)+IF(B699="iFood",F699*0.27,(VLOOKUP(VENDAS!C699,Bairros!$A$2:$B$90,2,0))))</f>
        <v/>
      </c>
      <c r="J699" s="7" t="str">
        <f t="shared" si="45"/>
        <v/>
      </c>
      <c r="K699" s="9">
        <f t="shared" ca="1" si="46"/>
        <v>45404.878290046297</v>
      </c>
      <c r="L699" s="10">
        <f t="shared" ca="1" si="47"/>
        <v>45404.878290046297</v>
      </c>
    </row>
    <row r="700" spans="6:12" x14ac:dyDescent="0.25">
      <c r="F700" s="11" t="str">
        <f>IF(ISBLANK(D700),"",(VLOOKUP(D700,Cardápio!$A$2:$B$16,2,0))*E700)</f>
        <v/>
      </c>
      <c r="H700" s="7" t="str">
        <f t="shared" si="44"/>
        <v/>
      </c>
      <c r="I700" s="7" t="str">
        <f>IF(AND(ISBLANK(D700),ISBLANK(C700)),"",((VLOOKUP(D700,Cardápio!$A$2:$C$16,3,0))*E700)+IF(B700="iFood",F700*0.27,(VLOOKUP(VENDAS!C700,Bairros!$A$2:$B$90,2,0))))</f>
        <v/>
      </c>
      <c r="J700" s="7" t="str">
        <f t="shared" si="45"/>
        <v/>
      </c>
      <c r="K700" s="9">
        <f t="shared" ca="1" si="46"/>
        <v>45404.878290046297</v>
      </c>
      <c r="L700" s="10">
        <f t="shared" ca="1" si="47"/>
        <v>45404.878290046297</v>
      </c>
    </row>
    <row r="701" spans="6:12" x14ac:dyDescent="0.25">
      <c r="F701" s="11" t="str">
        <f>IF(ISBLANK(D701),"",(VLOOKUP(D701,Cardápio!$A$2:$B$16,2,0))*E701)</f>
        <v/>
      </c>
      <c r="H701" s="7" t="str">
        <f t="shared" si="44"/>
        <v/>
      </c>
      <c r="I701" s="7" t="str">
        <f>IF(AND(ISBLANK(D701),ISBLANK(C701)),"",((VLOOKUP(D701,Cardápio!$A$2:$C$16,3,0))*E701)+IF(B701="iFood",F701*0.27,(VLOOKUP(VENDAS!C701,Bairros!$A$2:$B$90,2,0))))</f>
        <v/>
      </c>
      <c r="J701" s="7" t="str">
        <f t="shared" si="45"/>
        <v/>
      </c>
      <c r="K701" s="9">
        <f t="shared" ca="1" si="46"/>
        <v>45404.878290162036</v>
      </c>
      <c r="L701" s="10">
        <f t="shared" ca="1" si="47"/>
        <v>45404.878290046297</v>
      </c>
    </row>
    <row r="702" spans="6:12" x14ac:dyDescent="0.25">
      <c r="F702" s="11" t="str">
        <f>IF(ISBLANK(D702),"",(VLOOKUP(D702,Cardápio!$A$2:$B$16,2,0))*E702)</f>
        <v/>
      </c>
      <c r="H702" s="7" t="str">
        <f t="shared" si="44"/>
        <v/>
      </c>
      <c r="I702" s="7" t="str">
        <f>IF(AND(ISBLANK(D702),ISBLANK(C702)),"",((VLOOKUP(D702,Cardápio!$A$2:$C$16,3,0))*E702)+IF(B702="iFood",F702*0.27,(VLOOKUP(VENDAS!C702,Bairros!$A$2:$B$90,2,0))))</f>
        <v/>
      </c>
      <c r="J702" s="7" t="str">
        <f t="shared" si="45"/>
        <v/>
      </c>
      <c r="K702" s="9">
        <f t="shared" ca="1" si="46"/>
        <v>45404.878290162036</v>
      </c>
      <c r="L702" s="10">
        <f t="shared" ca="1" si="47"/>
        <v>45404.878290046297</v>
      </c>
    </row>
    <row r="703" spans="6:12" x14ac:dyDescent="0.25">
      <c r="F703" s="11" t="str">
        <f>IF(ISBLANK(D703),"",(VLOOKUP(D703,Cardápio!$A$2:$B$16,2,0))*E703)</f>
        <v/>
      </c>
      <c r="H703" s="7" t="str">
        <f t="shared" si="44"/>
        <v/>
      </c>
      <c r="I703" s="7" t="str">
        <f>IF(AND(ISBLANK(D703),ISBLANK(C703)),"",((VLOOKUP(D703,Cardápio!$A$2:$C$16,3,0))*E703)+IF(B703="iFood",F703*0.27,(VLOOKUP(VENDAS!C703,Bairros!$A$2:$B$90,2,0))))</f>
        <v/>
      </c>
      <c r="J703" s="7" t="str">
        <f t="shared" si="45"/>
        <v/>
      </c>
      <c r="K703" s="9">
        <f t="shared" ca="1" si="46"/>
        <v>45404.878290046297</v>
      </c>
      <c r="L703" s="10">
        <f t="shared" ca="1" si="47"/>
        <v>45404.878290046297</v>
      </c>
    </row>
    <row r="704" spans="6:12" x14ac:dyDescent="0.25">
      <c r="F704" s="11" t="str">
        <f>IF(ISBLANK(D704),"",(VLOOKUP(D704,Cardápio!$A$2:$B$16,2,0))*E704)</f>
        <v/>
      </c>
      <c r="H704" s="7" t="str">
        <f t="shared" si="44"/>
        <v/>
      </c>
      <c r="I704" s="7" t="str">
        <f>IF(AND(ISBLANK(D704),ISBLANK(C704)),"",((VLOOKUP(D704,Cardápio!$A$2:$C$16,3,0))*E704)+IF(B704="iFood",F704*0.27,(VLOOKUP(VENDAS!C704,Bairros!$A$2:$B$90,2,0))))</f>
        <v/>
      </c>
      <c r="J704" s="7" t="str">
        <f t="shared" si="45"/>
        <v/>
      </c>
      <c r="K704" s="9">
        <f t="shared" ca="1" si="46"/>
        <v>45404.878290046297</v>
      </c>
      <c r="L704" s="10">
        <f t="shared" ca="1" si="47"/>
        <v>45404.878290046297</v>
      </c>
    </row>
    <row r="705" spans="6:12" x14ac:dyDescent="0.25">
      <c r="F705" s="11" t="str">
        <f>IF(ISBLANK(D705),"",(VLOOKUP(D705,Cardápio!$A$2:$B$16,2,0))*E705)</f>
        <v/>
      </c>
      <c r="H705" s="7" t="str">
        <f t="shared" si="44"/>
        <v/>
      </c>
      <c r="I705" s="7" t="str">
        <f>IF(AND(ISBLANK(D705),ISBLANK(C705)),"",((VLOOKUP(D705,Cardápio!$A$2:$C$16,3,0))*E705)+IF(B705="iFood",F705*0.27,(VLOOKUP(VENDAS!C705,Bairros!$A$2:$B$90,2,0))))</f>
        <v/>
      </c>
      <c r="J705" s="7" t="str">
        <f t="shared" si="45"/>
        <v/>
      </c>
      <c r="K705" s="9">
        <f t="shared" ca="1" si="46"/>
        <v>45404.878290162036</v>
      </c>
      <c r="L705" s="10">
        <f t="shared" ca="1" si="47"/>
        <v>45404.878290046297</v>
      </c>
    </row>
    <row r="706" spans="6:12" x14ac:dyDescent="0.25">
      <c r="F706" s="11" t="str">
        <f>IF(ISBLANK(D706),"",(VLOOKUP(D706,Cardápio!$A$2:$B$16,2,0))*E706)</f>
        <v/>
      </c>
      <c r="H706" s="7" t="str">
        <f t="shared" si="44"/>
        <v/>
      </c>
      <c r="I706" s="7" t="str">
        <f>IF(AND(ISBLANK(D706),ISBLANK(C706)),"",((VLOOKUP(D706,Cardápio!$A$2:$C$16,3,0))*E706)+IF(B706="iFood",F706*0.27,(VLOOKUP(VENDAS!C706,Bairros!$A$2:$B$90,2,0))))</f>
        <v/>
      </c>
      <c r="J706" s="7" t="str">
        <f t="shared" si="45"/>
        <v/>
      </c>
      <c r="K706" s="9">
        <f t="shared" ca="1" si="46"/>
        <v>45404.878290162036</v>
      </c>
      <c r="L706" s="10">
        <f t="shared" ca="1" si="47"/>
        <v>45404.878290046297</v>
      </c>
    </row>
    <row r="707" spans="6:12" x14ac:dyDescent="0.25">
      <c r="F707" s="11" t="str">
        <f>IF(ISBLANK(D707),"",(VLOOKUP(D707,Cardápio!$A$2:$B$16,2,0))*E707)</f>
        <v/>
      </c>
      <c r="H707" s="7" t="str">
        <f t="shared" si="44"/>
        <v/>
      </c>
      <c r="I707" s="7" t="str">
        <f>IF(AND(ISBLANK(D707),ISBLANK(C707)),"",((VLOOKUP(D707,Cardápio!$A$2:$C$16,3,0))*E707)+IF(B707="iFood",F707*0.27,(VLOOKUP(VENDAS!C707,Bairros!$A$2:$B$90,2,0))))</f>
        <v/>
      </c>
      <c r="J707" s="7" t="str">
        <f t="shared" si="45"/>
        <v/>
      </c>
      <c r="K707" s="9">
        <f t="shared" ca="1" si="46"/>
        <v>45404.878290046297</v>
      </c>
      <c r="L707" s="10">
        <f t="shared" ca="1" si="47"/>
        <v>45404.878290046297</v>
      </c>
    </row>
    <row r="708" spans="6:12" x14ac:dyDescent="0.25">
      <c r="F708" s="11" t="str">
        <f>IF(ISBLANK(D708),"",(VLOOKUP(D708,Cardápio!$A$2:$B$16,2,0))*E708)</f>
        <v/>
      </c>
      <c r="H708" s="7" t="str">
        <f t="shared" si="44"/>
        <v/>
      </c>
      <c r="I708" s="7" t="str">
        <f>IF(AND(ISBLANK(D708),ISBLANK(C708)),"",((VLOOKUP(D708,Cardápio!$A$2:$C$16,3,0))*E708)+IF(B708="iFood",F708*0.27,(VLOOKUP(VENDAS!C708,Bairros!$A$2:$B$90,2,0))))</f>
        <v/>
      </c>
      <c r="J708" s="7" t="str">
        <f t="shared" si="45"/>
        <v/>
      </c>
      <c r="K708" s="9">
        <f t="shared" ca="1" si="46"/>
        <v>45404.878290046297</v>
      </c>
      <c r="L708" s="10">
        <f t="shared" ca="1" si="47"/>
        <v>45404.878290046297</v>
      </c>
    </row>
    <row r="709" spans="6:12" x14ac:dyDescent="0.25">
      <c r="F709" s="11" t="str">
        <f>IF(ISBLANK(D709),"",(VLOOKUP(D709,Cardápio!$A$2:$B$16,2,0))*E709)</f>
        <v/>
      </c>
      <c r="H709" s="7" t="str">
        <f t="shared" si="44"/>
        <v/>
      </c>
      <c r="I709" s="7" t="str">
        <f>IF(AND(ISBLANK(D709),ISBLANK(C709)),"",((VLOOKUP(D709,Cardápio!$A$2:$C$16,3,0))*E709)+IF(B709="iFood",F709*0.27,(VLOOKUP(VENDAS!C709,Bairros!$A$2:$B$90,2,0))))</f>
        <v/>
      </c>
      <c r="J709" s="7" t="str">
        <f t="shared" si="45"/>
        <v/>
      </c>
      <c r="K709" s="9">
        <f t="shared" ca="1" si="46"/>
        <v>45404.878290162036</v>
      </c>
      <c r="L709" s="10">
        <f t="shared" ca="1" si="47"/>
        <v>45404.878290046297</v>
      </c>
    </row>
    <row r="710" spans="6:12" x14ac:dyDescent="0.25">
      <c r="F710" s="11" t="str">
        <f>IF(ISBLANK(D710),"",(VLOOKUP(D710,Cardápio!$A$2:$B$16,2,0))*E710)</f>
        <v/>
      </c>
      <c r="H710" s="7" t="str">
        <f t="shared" si="44"/>
        <v/>
      </c>
      <c r="I710" s="7" t="str">
        <f>IF(AND(ISBLANK(D710),ISBLANK(C710)),"",((VLOOKUP(D710,Cardápio!$A$2:$C$16,3,0))*E710)+IF(B710="iFood",F710*0.27,(VLOOKUP(VENDAS!C710,Bairros!$A$2:$B$90,2,0))))</f>
        <v/>
      </c>
      <c r="J710" s="7" t="str">
        <f t="shared" si="45"/>
        <v/>
      </c>
      <c r="K710" s="9">
        <f t="shared" ca="1" si="46"/>
        <v>45404.878290162036</v>
      </c>
      <c r="L710" s="10">
        <f t="shared" ca="1" si="47"/>
        <v>45404.878290046297</v>
      </c>
    </row>
    <row r="711" spans="6:12" x14ac:dyDescent="0.25">
      <c r="F711" s="11" t="str">
        <f>IF(ISBLANK(D711),"",(VLOOKUP(D711,Cardápio!$A$2:$B$16,2,0))*E711)</f>
        <v/>
      </c>
      <c r="H711" s="7" t="str">
        <f t="shared" si="44"/>
        <v/>
      </c>
      <c r="I711" s="7" t="str">
        <f>IF(AND(ISBLANK(D711),ISBLANK(C711)),"",((VLOOKUP(D711,Cardápio!$A$2:$C$16,3,0))*E711)+IF(B711="iFood",F711*0.27,(VLOOKUP(VENDAS!C711,Bairros!$A$2:$B$90,2,0))))</f>
        <v/>
      </c>
      <c r="J711" s="7" t="str">
        <f t="shared" si="45"/>
        <v/>
      </c>
      <c r="K711" s="9">
        <f t="shared" ca="1" si="46"/>
        <v>45404.878290046297</v>
      </c>
      <c r="L711" s="10">
        <f t="shared" ca="1" si="47"/>
        <v>45404.878290046297</v>
      </c>
    </row>
    <row r="712" spans="6:12" x14ac:dyDescent="0.25">
      <c r="F712" s="11" t="str">
        <f>IF(ISBLANK(D712),"",(VLOOKUP(D712,Cardápio!$A$2:$B$16,2,0))*E712)</f>
        <v/>
      </c>
      <c r="H712" s="7" t="str">
        <f t="shared" si="44"/>
        <v/>
      </c>
      <c r="I712" s="7" t="str">
        <f>IF(AND(ISBLANK(D712),ISBLANK(C712)),"",((VLOOKUP(D712,Cardápio!$A$2:$C$16,3,0))*E712)+IF(B712="iFood",F712*0.27,(VLOOKUP(VENDAS!C712,Bairros!$A$2:$B$90,2,0))))</f>
        <v/>
      </c>
      <c r="J712" s="7" t="str">
        <f t="shared" si="45"/>
        <v/>
      </c>
      <c r="K712" s="9">
        <f t="shared" ca="1" si="46"/>
        <v>45404.878290046297</v>
      </c>
      <c r="L712" s="10">
        <f t="shared" ca="1" si="47"/>
        <v>45404.878290046297</v>
      </c>
    </row>
    <row r="713" spans="6:12" x14ac:dyDescent="0.25">
      <c r="F713" s="11" t="str">
        <f>IF(ISBLANK(D713),"",(VLOOKUP(D713,Cardápio!$A$2:$B$16,2,0))*E713)</f>
        <v/>
      </c>
      <c r="H713" s="7" t="str">
        <f t="shared" si="44"/>
        <v/>
      </c>
      <c r="I713" s="7" t="str">
        <f>IF(AND(ISBLANK(D713),ISBLANK(C713)),"",((VLOOKUP(D713,Cardápio!$A$2:$C$16,3,0))*E713)+IF(B713="iFood",F713*0.27,(VLOOKUP(VENDAS!C713,Bairros!$A$2:$B$90,2,0))))</f>
        <v/>
      </c>
      <c r="J713" s="7" t="str">
        <f t="shared" si="45"/>
        <v/>
      </c>
      <c r="K713" s="9">
        <f t="shared" ca="1" si="46"/>
        <v>45404.878290162036</v>
      </c>
      <c r="L713" s="10">
        <f t="shared" ca="1" si="47"/>
        <v>45404.878290046297</v>
      </c>
    </row>
    <row r="714" spans="6:12" x14ac:dyDescent="0.25">
      <c r="F714" s="11" t="str">
        <f>IF(ISBLANK(D714),"",(VLOOKUP(D714,Cardápio!$A$2:$B$16,2,0))*E714)</f>
        <v/>
      </c>
      <c r="H714" s="7" t="str">
        <f t="shared" si="44"/>
        <v/>
      </c>
      <c r="I714" s="7" t="str">
        <f>IF(AND(ISBLANK(D714),ISBLANK(C714)),"",((VLOOKUP(D714,Cardápio!$A$2:$C$16,3,0))*E714)+IF(B714="iFood",F714*0.27,(VLOOKUP(VENDAS!C714,Bairros!$A$2:$B$90,2,0))))</f>
        <v/>
      </c>
      <c r="J714" s="7" t="str">
        <f t="shared" si="45"/>
        <v/>
      </c>
      <c r="K714" s="9">
        <f t="shared" ca="1" si="46"/>
        <v>45404.878290162036</v>
      </c>
      <c r="L714" s="10">
        <f t="shared" ca="1" si="47"/>
        <v>45404.878290046297</v>
      </c>
    </row>
    <row r="715" spans="6:12" x14ac:dyDescent="0.25">
      <c r="F715" s="11" t="str">
        <f>IF(ISBLANK(D715),"",(VLOOKUP(D715,Cardápio!$A$2:$B$16,2,0))*E715)</f>
        <v/>
      </c>
      <c r="H715" s="7" t="str">
        <f t="shared" si="44"/>
        <v/>
      </c>
      <c r="I715" s="7" t="str">
        <f>IF(AND(ISBLANK(D715),ISBLANK(C715)),"",((VLOOKUP(D715,Cardápio!$A$2:$C$16,3,0))*E715)+IF(B715="iFood",F715*0.27,(VLOOKUP(VENDAS!C715,Bairros!$A$2:$B$90,2,0))))</f>
        <v/>
      </c>
      <c r="J715" s="7" t="str">
        <f t="shared" si="45"/>
        <v/>
      </c>
      <c r="K715" s="9">
        <f t="shared" ca="1" si="46"/>
        <v>45404.878290046297</v>
      </c>
      <c r="L715" s="10">
        <f t="shared" ca="1" si="47"/>
        <v>45404.878290046297</v>
      </c>
    </row>
    <row r="716" spans="6:12" x14ac:dyDescent="0.25">
      <c r="F716" s="11" t="str">
        <f>IF(ISBLANK(D716),"",(VLOOKUP(D716,Cardápio!$A$2:$B$16,2,0))*E716)</f>
        <v/>
      </c>
      <c r="H716" s="7" t="str">
        <f t="shared" si="44"/>
        <v/>
      </c>
      <c r="I716" s="7" t="str">
        <f>IF(AND(ISBLANK(D716),ISBLANK(C716)),"",((VLOOKUP(D716,Cardápio!$A$2:$C$16,3,0))*E716)+IF(B716="iFood",F716*0.27,(VLOOKUP(VENDAS!C716,Bairros!$A$2:$B$90,2,0))))</f>
        <v/>
      </c>
      <c r="J716" s="7" t="str">
        <f t="shared" si="45"/>
        <v/>
      </c>
      <c r="K716" s="9">
        <f t="shared" ca="1" si="46"/>
        <v>45404.878290046297</v>
      </c>
      <c r="L716" s="10">
        <f t="shared" ca="1" si="47"/>
        <v>45404.878290046297</v>
      </c>
    </row>
    <row r="717" spans="6:12" x14ac:dyDescent="0.25">
      <c r="F717" s="11" t="str">
        <f>IF(ISBLANK(D717),"",(VLOOKUP(D717,Cardápio!$A$2:$B$16,2,0))*E717)</f>
        <v/>
      </c>
      <c r="H717" s="7" t="str">
        <f t="shared" si="44"/>
        <v/>
      </c>
      <c r="I717" s="7" t="str">
        <f>IF(AND(ISBLANK(D717),ISBLANK(C717)),"",((VLOOKUP(D717,Cardápio!$A$2:$C$16,3,0))*E717)+IF(B717="iFood",F717*0.27,(VLOOKUP(VENDAS!C717,Bairros!$A$2:$B$90,2,0))))</f>
        <v/>
      </c>
      <c r="J717" s="7" t="str">
        <f t="shared" si="45"/>
        <v/>
      </c>
      <c r="K717" s="9">
        <f t="shared" ca="1" si="46"/>
        <v>45404.878290162036</v>
      </c>
      <c r="L717" s="10">
        <f t="shared" ca="1" si="47"/>
        <v>45404.878290046297</v>
      </c>
    </row>
    <row r="718" spans="6:12" x14ac:dyDescent="0.25">
      <c r="F718" s="11" t="str">
        <f>IF(ISBLANK(D718),"",(VLOOKUP(D718,Cardápio!$A$2:$B$16,2,0))*E718)</f>
        <v/>
      </c>
      <c r="H718" s="7" t="str">
        <f t="shared" si="44"/>
        <v/>
      </c>
      <c r="I718" s="7" t="str">
        <f>IF(AND(ISBLANK(D718),ISBLANK(C718)),"",((VLOOKUP(D718,Cardápio!$A$2:$C$16,3,0))*E718)+IF(B718="iFood",F718*0.27,(VLOOKUP(VENDAS!C718,Bairros!$A$2:$B$90,2,0))))</f>
        <v/>
      </c>
      <c r="J718" s="7" t="str">
        <f t="shared" si="45"/>
        <v/>
      </c>
      <c r="K718" s="9">
        <f t="shared" ca="1" si="46"/>
        <v>45404.878290162036</v>
      </c>
      <c r="L718" s="10">
        <f t="shared" ca="1" si="47"/>
        <v>45404.878290046297</v>
      </c>
    </row>
    <row r="719" spans="6:12" x14ac:dyDescent="0.25">
      <c r="F719" s="11" t="str">
        <f>IF(ISBLANK(D719),"",(VLOOKUP(D719,Cardápio!$A$2:$B$16,2,0))*E719)</f>
        <v/>
      </c>
      <c r="H719" s="7" t="str">
        <f t="shared" si="44"/>
        <v/>
      </c>
      <c r="I719" s="7" t="str">
        <f>IF(AND(ISBLANK(D719),ISBLANK(C719)),"",((VLOOKUP(D719,Cardápio!$A$2:$C$16,3,0))*E719)+IF(B719="iFood",F719*0.27,(VLOOKUP(VENDAS!C719,Bairros!$A$2:$B$90,2,0))))</f>
        <v/>
      </c>
      <c r="J719" s="7" t="str">
        <f t="shared" si="45"/>
        <v/>
      </c>
      <c r="K719" s="9">
        <f t="shared" ca="1" si="46"/>
        <v>45404.878290046297</v>
      </c>
      <c r="L719" s="10">
        <f t="shared" ca="1" si="47"/>
        <v>45404.878290046297</v>
      </c>
    </row>
    <row r="720" spans="6:12" x14ac:dyDescent="0.25">
      <c r="F720" s="11" t="str">
        <f>IF(ISBLANK(D720),"",(VLOOKUP(D720,Cardápio!$A$2:$B$16,2,0))*E720)</f>
        <v/>
      </c>
      <c r="H720" s="7" t="str">
        <f t="shared" si="44"/>
        <v/>
      </c>
      <c r="I720" s="7" t="str">
        <f>IF(AND(ISBLANK(D720),ISBLANK(C720)),"",((VLOOKUP(D720,Cardápio!$A$2:$C$16,3,0))*E720)+IF(B720="iFood",F720*0.27,(VLOOKUP(VENDAS!C720,Bairros!$A$2:$B$90,2,0))))</f>
        <v/>
      </c>
      <c r="J720" s="7" t="str">
        <f t="shared" si="45"/>
        <v/>
      </c>
      <c r="K720" s="9">
        <f t="shared" ca="1" si="46"/>
        <v>45404.878290046297</v>
      </c>
      <c r="L720" s="10">
        <f t="shared" ca="1" si="47"/>
        <v>45404.878290046297</v>
      </c>
    </row>
    <row r="721" spans="6:12" x14ac:dyDescent="0.25">
      <c r="F721" s="11" t="str">
        <f>IF(ISBLANK(D721),"",(VLOOKUP(D721,Cardápio!$A$2:$B$16,2,0))*E721)</f>
        <v/>
      </c>
      <c r="H721" s="7" t="str">
        <f t="shared" si="44"/>
        <v/>
      </c>
      <c r="I721" s="7" t="str">
        <f>IF(AND(ISBLANK(D721),ISBLANK(C721)),"",((VLOOKUP(D721,Cardápio!$A$2:$C$16,3,0))*E721)+IF(B721="iFood",F721*0.27,(VLOOKUP(VENDAS!C721,Bairros!$A$2:$B$90,2,0))))</f>
        <v/>
      </c>
      <c r="J721" s="7" t="str">
        <f t="shared" si="45"/>
        <v/>
      </c>
      <c r="K721" s="9">
        <f t="shared" ca="1" si="46"/>
        <v>45404.878290162036</v>
      </c>
      <c r="L721" s="10">
        <f t="shared" ca="1" si="47"/>
        <v>45404.878290046297</v>
      </c>
    </row>
    <row r="722" spans="6:12" x14ac:dyDescent="0.25">
      <c r="F722" s="11" t="str">
        <f>IF(ISBLANK(D722),"",(VLOOKUP(D722,Cardápio!$A$2:$B$16,2,0))*E722)</f>
        <v/>
      </c>
      <c r="H722" s="7" t="str">
        <f t="shared" si="44"/>
        <v/>
      </c>
      <c r="I722" s="7" t="str">
        <f>IF(AND(ISBLANK(D722),ISBLANK(C722)),"",((VLOOKUP(D722,Cardápio!$A$2:$C$16,3,0))*E722)+IF(B722="iFood",F722*0.27,(VLOOKUP(VENDAS!C722,Bairros!$A$2:$B$90,2,0))))</f>
        <v/>
      </c>
      <c r="J722" s="7" t="str">
        <f t="shared" si="45"/>
        <v/>
      </c>
      <c r="K722" s="9">
        <f t="shared" ca="1" si="46"/>
        <v>45404.878290162036</v>
      </c>
      <c r="L722" s="10">
        <f t="shared" ca="1" si="47"/>
        <v>45404.878290046297</v>
      </c>
    </row>
    <row r="723" spans="6:12" x14ac:dyDescent="0.25">
      <c r="F723" s="11" t="str">
        <f>IF(ISBLANK(D723),"",(VLOOKUP(D723,Cardápio!$A$2:$B$16,2,0))*E723)</f>
        <v/>
      </c>
      <c r="H723" s="7" t="str">
        <f t="shared" si="44"/>
        <v/>
      </c>
      <c r="I723" s="7" t="str">
        <f>IF(AND(ISBLANK(D723),ISBLANK(C723)),"",((VLOOKUP(D723,Cardápio!$A$2:$C$16,3,0))*E723)+IF(B723="iFood",F723*0.27,(VLOOKUP(VENDAS!C723,Bairros!$A$2:$B$90,2,0))))</f>
        <v/>
      </c>
      <c r="J723" s="7" t="str">
        <f t="shared" si="45"/>
        <v/>
      </c>
      <c r="K723" s="9">
        <f t="shared" ca="1" si="46"/>
        <v>45404.878290046297</v>
      </c>
      <c r="L723" s="10">
        <f t="shared" ca="1" si="47"/>
        <v>45404.878290046297</v>
      </c>
    </row>
    <row r="724" spans="6:12" x14ac:dyDescent="0.25">
      <c r="F724" s="11" t="str">
        <f>IF(ISBLANK(D724),"",(VLOOKUP(D724,Cardápio!$A$2:$B$16,2,0))*E724)</f>
        <v/>
      </c>
      <c r="H724" s="7" t="str">
        <f t="shared" si="44"/>
        <v/>
      </c>
      <c r="I724" s="7" t="str">
        <f>IF(AND(ISBLANK(D724),ISBLANK(C724)),"",((VLOOKUP(D724,Cardápio!$A$2:$C$16,3,0))*E724)+IF(B724="iFood",F724*0.27,(VLOOKUP(VENDAS!C724,Bairros!$A$2:$B$90,2,0))))</f>
        <v/>
      </c>
      <c r="J724" s="7" t="str">
        <f t="shared" si="45"/>
        <v/>
      </c>
      <c r="K724" s="9">
        <f t="shared" ca="1" si="46"/>
        <v>45404.878290046297</v>
      </c>
      <c r="L724" s="10">
        <f t="shared" ca="1" si="47"/>
        <v>45404.878290046297</v>
      </c>
    </row>
    <row r="725" spans="6:12" x14ac:dyDescent="0.25">
      <c r="F725" s="11" t="str">
        <f>IF(ISBLANK(D725),"",(VLOOKUP(D725,Cardápio!$A$2:$B$16,2,0))*E725)</f>
        <v/>
      </c>
      <c r="H725" s="7" t="str">
        <f t="shared" si="44"/>
        <v/>
      </c>
      <c r="I725" s="7" t="str">
        <f>IF(AND(ISBLANK(D725),ISBLANK(C725)),"",((VLOOKUP(D725,Cardápio!$A$2:$C$16,3,0))*E725)+IF(B725="iFood",F725*0.27,(VLOOKUP(VENDAS!C725,Bairros!$A$2:$B$90,2,0))))</f>
        <v/>
      </c>
      <c r="J725" s="7" t="str">
        <f t="shared" si="45"/>
        <v/>
      </c>
      <c r="K725" s="9">
        <f t="shared" ca="1" si="46"/>
        <v>45404.878290162036</v>
      </c>
      <c r="L725" s="10">
        <f t="shared" ca="1" si="47"/>
        <v>45404.878290046297</v>
      </c>
    </row>
    <row r="726" spans="6:12" x14ac:dyDescent="0.25">
      <c r="F726" s="11" t="str">
        <f>IF(ISBLANK(D726),"",(VLOOKUP(D726,Cardápio!$A$2:$B$16,2,0))*E726)</f>
        <v/>
      </c>
      <c r="H726" s="7" t="str">
        <f t="shared" si="44"/>
        <v/>
      </c>
      <c r="I726" s="7" t="str">
        <f>IF(AND(ISBLANK(D726),ISBLANK(C726)),"",((VLOOKUP(D726,Cardápio!$A$2:$C$16,3,0))*E726)+IF(B726="iFood",F726*0.27,(VLOOKUP(VENDAS!C726,Bairros!$A$2:$B$90,2,0))))</f>
        <v/>
      </c>
      <c r="J726" s="7" t="str">
        <f t="shared" si="45"/>
        <v/>
      </c>
      <c r="K726" s="9">
        <f t="shared" ca="1" si="46"/>
        <v>45404.878290162036</v>
      </c>
      <c r="L726" s="10">
        <f t="shared" ca="1" si="47"/>
        <v>45404.878290046297</v>
      </c>
    </row>
    <row r="727" spans="6:12" x14ac:dyDescent="0.25">
      <c r="F727" s="11" t="str">
        <f>IF(ISBLANK(D727),"",(VLOOKUP(D727,Cardápio!$A$2:$B$16,2,0))*E727)</f>
        <v/>
      </c>
      <c r="H727" s="7" t="str">
        <f t="shared" si="44"/>
        <v/>
      </c>
      <c r="I727" s="7" t="str">
        <f>IF(AND(ISBLANK(D727),ISBLANK(C727)),"",((VLOOKUP(D727,Cardápio!$A$2:$C$16,3,0))*E727)+IF(B727="iFood",F727*0.27,(VLOOKUP(VENDAS!C727,Bairros!$A$2:$B$90,2,0))))</f>
        <v/>
      </c>
      <c r="J727" s="7" t="str">
        <f t="shared" si="45"/>
        <v/>
      </c>
      <c r="K727" s="9">
        <f t="shared" ca="1" si="46"/>
        <v>45404.878290046297</v>
      </c>
      <c r="L727" s="10">
        <f t="shared" ca="1" si="47"/>
        <v>45404.878290046297</v>
      </c>
    </row>
    <row r="728" spans="6:12" x14ac:dyDescent="0.25">
      <c r="F728" s="11" t="str">
        <f>IF(ISBLANK(D728),"",(VLOOKUP(D728,Cardápio!$A$2:$B$16,2,0))*E728)</f>
        <v/>
      </c>
      <c r="H728" s="7" t="str">
        <f t="shared" si="44"/>
        <v/>
      </c>
      <c r="I728" s="7" t="str">
        <f>IF(AND(ISBLANK(D728),ISBLANK(C728)),"",((VLOOKUP(D728,Cardápio!$A$2:$C$16,3,0))*E728)+IF(B728="iFood",F728*0.27,(VLOOKUP(VENDAS!C728,Bairros!$A$2:$B$90,2,0))))</f>
        <v/>
      </c>
      <c r="J728" s="7" t="str">
        <f t="shared" si="45"/>
        <v/>
      </c>
      <c r="K728" s="9">
        <f t="shared" ca="1" si="46"/>
        <v>45404.878290046297</v>
      </c>
      <c r="L728" s="10">
        <f t="shared" ca="1" si="47"/>
        <v>45404.878290046297</v>
      </c>
    </row>
    <row r="729" spans="6:12" x14ac:dyDescent="0.25">
      <c r="F729" s="11" t="str">
        <f>IF(ISBLANK(D729),"",(VLOOKUP(D729,Cardápio!$A$2:$B$16,2,0))*E729)</f>
        <v/>
      </c>
      <c r="H729" s="7" t="str">
        <f t="shared" si="44"/>
        <v/>
      </c>
      <c r="I729" s="7" t="str">
        <f>IF(AND(ISBLANK(D729),ISBLANK(C729)),"",((VLOOKUP(D729,Cardápio!$A$2:$C$16,3,0))*E729)+IF(B729="iFood",F729*0.27,(VLOOKUP(VENDAS!C729,Bairros!$A$2:$B$90,2,0))))</f>
        <v/>
      </c>
      <c r="J729" s="7" t="str">
        <f t="shared" si="45"/>
        <v/>
      </c>
      <c r="K729" s="9">
        <f t="shared" ca="1" si="46"/>
        <v>45404.878290162036</v>
      </c>
      <c r="L729" s="10">
        <f t="shared" ca="1" si="47"/>
        <v>45404.878290046297</v>
      </c>
    </row>
    <row r="730" spans="6:12" x14ac:dyDescent="0.25">
      <c r="F730" s="11" t="str">
        <f>IF(ISBLANK(D730),"",(VLOOKUP(D730,Cardápio!$A$2:$B$16,2,0))*E730)</f>
        <v/>
      </c>
      <c r="H730" s="7" t="str">
        <f t="shared" si="44"/>
        <v/>
      </c>
      <c r="I730" s="7" t="str">
        <f>IF(AND(ISBLANK(D730),ISBLANK(C730)),"",((VLOOKUP(D730,Cardápio!$A$2:$C$16,3,0))*E730)+IF(B730="iFood",F730*0.27,(VLOOKUP(VENDAS!C730,Bairros!$A$2:$B$90,2,0))))</f>
        <v/>
      </c>
      <c r="J730" s="7" t="str">
        <f t="shared" si="45"/>
        <v/>
      </c>
      <c r="K730" s="9">
        <f t="shared" ca="1" si="46"/>
        <v>45404.878290162036</v>
      </c>
      <c r="L730" s="10">
        <f t="shared" ca="1" si="47"/>
        <v>45404.878290046297</v>
      </c>
    </row>
    <row r="731" spans="6:12" x14ac:dyDescent="0.25">
      <c r="F731" s="11" t="str">
        <f>IF(ISBLANK(D731),"",(VLOOKUP(D731,Cardápio!$A$2:$B$16,2,0))*E731)</f>
        <v/>
      </c>
      <c r="H731" s="7" t="str">
        <f t="shared" si="44"/>
        <v/>
      </c>
      <c r="I731" s="7" t="str">
        <f>IF(AND(ISBLANK(D731),ISBLANK(C731)),"",((VLOOKUP(D731,Cardápio!$A$2:$C$16,3,0))*E731)+IF(B731="iFood",F731*0.27,(VLOOKUP(VENDAS!C731,Bairros!$A$2:$B$90,2,0))))</f>
        <v/>
      </c>
      <c r="J731" s="7" t="str">
        <f t="shared" si="45"/>
        <v/>
      </c>
      <c r="K731" s="9">
        <f t="shared" ca="1" si="46"/>
        <v>45404.878290046297</v>
      </c>
      <c r="L731" s="10">
        <f t="shared" ca="1" si="47"/>
        <v>45404.878290046297</v>
      </c>
    </row>
    <row r="732" spans="6:12" x14ac:dyDescent="0.25">
      <c r="F732" s="11" t="str">
        <f>IF(ISBLANK(D732),"",(VLOOKUP(D732,Cardápio!$A$2:$B$16,2,0))*E732)</f>
        <v/>
      </c>
      <c r="H732" s="7" t="str">
        <f t="shared" si="44"/>
        <v/>
      </c>
      <c r="I732" s="7" t="str">
        <f>IF(AND(ISBLANK(D732),ISBLANK(C732)),"",((VLOOKUP(D732,Cardápio!$A$2:$C$16,3,0))*E732)+IF(B732="iFood",F732*0.27,(VLOOKUP(VENDAS!C732,Bairros!$A$2:$B$90,2,0))))</f>
        <v/>
      </c>
      <c r="J732" s="7" t="str">
        <f t="shared" si="45"/>
        <v/>
      </c>
      <c r="K732" s="9">
        <f t="shared" ca="1" si="46"/>
        <v>45404.878290046297</v>
      </c>
      <c r="L732" s="10">
        <f t="shared" ca="1" si="47"/>
        <v>45404.878290046297</v>
      </c>
    </row>
    <row r="733" spans="6:12" x14ac:dyDescent="0.25">
      <c r="F733" s="11" t="str">
        <f>IF(ISBLANK(D733),"",(VLOOKUP(D733,Cardápio!$A$2:$B$16,2,0))*E733)</f>
        <v/>
      </c>
      <c r="H733" s="7" t="str">
        <f t="shared" si="44"/>
        <v/>
      </c>
      <c r="I733" s="7" t="str">
        <f>IF(AND(ISBLANK(D733),ISBLANK(C733)),"",((VLOOKUP(D733,Cardápio!$A$2:$C$16,3,0))*E733)+IF(B733="iFood",F733*0.27,(VLOOKUP(VENDAS!C733,Bairros!$A$2:$B$90,2,0))))</f>
        <v/>
      </c>
      <c r="J733" s="7" t="str">
        <f t="shared" si="45"/>
        <v/>
      </c>
      <c r="K733" s="9">
        <f t="shared" ca="1" si="46"/>
        <v>45404.878290162036</v>
      </c>
      <c r="L733" s="10">
        <f t="shared" ca="1" si="47"/>
        <v>45404.878290046297</v>
      </c>
    </row>
    <row r="734" spans="6:12" x14ac:dyDescent="0.25">
      <c r="F734" s="11" t="str">
        <f>IF(ISBLANK(D734),"",(VLOOKUP(D734,Cardápio!$A$2:$B$16,2,0))*E734)</f>
        <v/>
      </c>
      <c r="H734" s="7" t="str">
        <f t="shared" si="44"/>
        <v/>
      </c>
      <c r="I734" s="7" t="str">
        <f>IF(AND(ISBLANK(D734),ISBLANK(C734)),"",((VLOOKUP(D734,Cardápio!$A$2:$C$16,3,0))*E734)+IF(B734="iFood",F734*0.27,(VLOOKUP(VENDAS!C734,Bairros!$A$2:$B$90,2,0))))</f>
        <v/>
      </c>
      <c r="J734" s="7" t="str">
        <f t="shared" si="45"/>
        <v/>
      </c>
      <c r="K734" s="9">
        <f t="shared" ca="1" si="46"/>
        <v>45404.878290162036</v>
      </c>
      <c r="L734" s="10">
        <f t="shared" ca="1" si="47"/>
        <v>45404.878290046297</v>
      </c>
    </row>
    <row r="735" spans="6:12" x14ac:dyDescent="0.25">
      <c r="F735" s="11" t="str">
        <f>IF(ISBLANK(D735),"",(VLOOKUP(D735,Cardápio!$A$2:$B$16,2,0))*E735)</f>
        <v/>
      </c>
      <c r="H735" s="7" t="str">
        <f t="shared" si="44"/>
        <v/>
      </c>
      <c r="I735" s="7" t="str">
        <f>IF(AND(ISBLANK(D735),ISBLANK(C735)),"",((VLOOKUP(D735,Cardápio!$A$2:$C$16,3,0))*E735)+IF(B735="iFood",F735*0.27,(VLOOKUP(VENDAS!C735,Bairros!$A$2:$B$90,2,0))))</f>
        <v/>
      </c>
      <c r="J735" s="7" t="str">
        <f t="shared" si="45"/>
        <v/>
      </c>
      <c r="K735" s="9">
        <f t="shared" ca="1" si="46"/>
        <v>45404.878290046297</v>
      </c>
      <c r="L735" s="10">
        <f t="shared" ca="1" si="47"/>
        <v>45404.878290046297</v>
      </c>
    </row>
    <row r="736" spans="6:12" x14ac:dyDescent="0.25">
      <c r="F736" s="11" t="str">
        <f>IF(ISBLANK(D736),"",(VLOOKUP(D736,Cardápio!$A$2:$B$16,2,0))*E736)</f>
        <v/>
      </c>
      <c r="H736" s="7" t="str">
        <f t="shared" si="44"/>
        <v/>
      </c>
      <c r="I736" s="7" t="str">
        <f>IF(AND(ISBLANK(D736),ISBLANK(C736)),"",((VLOOKUP(D736,Cardápio!$A$2:$C$16,3,0))*E736)+IF(B736="iFood",F736*0.27,(VLOOKUP(VENDAS!C736,Bairros!$A$2:$B$90,2,0))))</f>
        <v/>
      </c>
      <c r="J736" s="7" t="str">
        <f t="shared" si="45"/>
        <v/>
      </c>
      <c r="K736" s="9">
        <f t="shared" ca="1" si="46"/>
        <v>45404.878290046297</v>
      </c>
      <c r="L736" s="10">
        <f t="shared" ca="1" si="47"/>
        <v>45404.878290046297</v>
      </c>
    </row>
    <row r="737" spans="6:12" x14ac:dyDescent="0.25">
      <c r="F737" s="11" t="str">
        <f>IF(ISBLANK(D737),"",(VLOOKUP(D737,Cardápio!$A$2:$B$16,2,0))*E737)</f>
        <v/>
      </c>
      <c r="H737" s="7" t="str">
        <f t="shared" si="44"/>
        <v/>
      </c>
      <c r="I737" s="7" t="str">
        <f>IF(AND(ISBLANK(D737),ISBLANK(C737)),"",((VLOOKUP(D737,Cardápio!$A$2:$C$16,3,0))*E737)+IF(B737="iFood",F737*0.27,(VLOOKUP(VENDAS!C737,Bairros!$A$2:$B$90,2,0))))</f>
        <v/>
      </c>
      <c r="J737" s="7" t="str">
        <f t="shared" si="45"/>
        <v/>
      </c>
      <c r="K737" s="9">
        <f t="shared" ca="1" si="46"/>
        <v>45404.878290162036</v>
      </c>
      <c r="L737" s="10">
        <f t="shared" ca="1" si="47"/>
        <v>45404.878290046297</v>
      </c>
    </row>
    <row r="738" spans="6:12" x14ac:dyDescent="0.25">
      <c r="F738" s="11" t="str">
        <f>IF(ISBLANK(D738),"",(VLOOKUP(D738,Cardápio!$A$2:$B$16,2,0))*E738)</f>
        <v/>
      </c>
      <c r="H738" s="7" t="str">
        <f t="shared" si="44"/>
        <v/>
      </c>
      <c r="I738" s="7" t="str">
        <f>IF(AND(ISBLANK(D738),ISBLANK(C738)),"",((VLOOKUP(D738,Cardápio!$A$2:$C$16,3,0))*E738)+IF(B738="iFood",F738*0.27,(VLOOKUP(VENDAS!C738,Bairros!$A$2:$B$90,2,0))))</f>
        <v/>
      </c>
      <c r="J738" s="7" t="str">
        <f t="shared" si="45"/>
        <v/>
      </c>
      <c r="K738" s="9">
        <f t="shared" ca="1" si="46"/>
        <v>45404.878290162036</v>
      </c>
      <c r="L738" s="10">
        <f t="shared" ca="1" si="47"/>
        <v>45404.878290046297</v>
      </c>
    </row>
    <row r="739" spans="6:12" x14ac:dyDescent="0.25">
      <c r="F739" s="11" t="str">
        <f>IF(ISBLANK(D739),"",(VLOOKUP(D739,Cardápio!$A$2:$B$16,2,0))*E739)</f>
        <v/>
      </c>
      <c r="H739" s="7" t="str">
        <f t="shared" si="44"/>
        <v/>
      </c>
      <c r="I739" s="7" t="str">
        <f>IF(AND(ISBLANK(D739),ISBLANK(C739)),"",((VLOOKUP(D739,Cardápio!$A$2:$C$16,3,0))*E739)+IF(B739="iFood",F739*0.27,(VLOOKUP(VENDAS!C739,Bairros!$A$2:$B$90,2,0))))</f>
        <v/>
      </c>
      <c r="J739" s="7" t="str">
        <f t="shared" si="45"/>
        <v/>
      </c>
      <c r="K739" s="9">
        <f t="shared" ca="1" si="46"/>
        <v>45404.878290046297</v>
      </c>
      <c r="L739" s="10">
        <f t="shared" ca="1" si="47"/>
        <v>45404.878290046297</v>
      </c>
    </row>
    <row r="740" spans="6:12" x14ac:dyDescent="0.25">
      <c r="F740" s="11" t="str">
        <f>IF(ISBLANK(D740),"",(VLOOKUP(D740,Cardápio!$A$2:$B$16,2,0))*E740)</f>
        <v/>
      </c>
      <c r="H740" s="7" t="str">
        <f t="shared" si="44"/>
        <v/>
      </c>
      <c r="I740" s="7" t="str">
        <f>IF(AND(ISBLANK(D740),ISBLANK(C740)),"",((VLOOKUP(D740,Cardápio!$A$2:$C$16,3,0))*E740)+IF(B740="iFood",F740*0.27,(VLOOKUP(VENDAS!C740,Bairros!$A$2:$B$90,2,0))))</f>
        <v/>
      </c>
      <c r="J740" s="7" t="str">
        <f t="shared" si="45"/>
        <v/>
      </c>
      <c r="K740" s="9">
        <f t="shared" ca="1" si="46"/>
        <v>45404.878290046297</v>
      </c>
      <c r="L740" s="10">
        <f t="shared" ca="1" si="47"/>
        <v>45404.878290046297</v>
      </c>
    </row>
    <row r="741" spans="6:12" x14ac:dyDescent="0.25">
      <c r="F741" s="11" t="str">
        <f>IF(ISBLANK(D741),"",(VLOOKUP(D741,Cardápio!$A$2:$B$16,2,0))*E741)</f>
        <v/>
      </c>
      <c r="H741" s="7" t="str">
        <f t="shared" si="44"/>
        <v/>
      </c>
      <c r="I741" s="7" t="str">
        <f>IF(AND(ISBLANK(D741),ISBLANK(C741)),"",((VLOOKUP(D741,Cardápio!$A$2:$C$16,3,0))*E741)+IF(B741="iFood",F741*0.27,(VLOOKUP(VENDAS!C741,Bairros!$A$2:$B$90,2,0))))</f>
        <v/>
      </c>
      <c r="J741" s="7" t="str">
        <f t="shared" si="45"/>
        <v/>
      </c>
      <c r="K741" s="9">
        <f t="shared" ca="1" si="46"/>
        <v>45404.878290162036</v>
      </c>
      <c r="L741" s="10">
        <f t="shared" ca="1" si="47"/>
        <v>45404.878290046297</v>
      </c>
    </row>
    <row r="742" spans="6:12" x14ac:dyDescent="0.25">
      <c r="F742" s="11" t="str">
        <f>IF(ISBLANK(D742),"",(VLOOKUP(D742,Cardápio!$A$2:$B$16,2,0))*E742)</f>
        <v/>
      </c>
      <c r="H742" s="7" t="str">
        <f t="shared" si="44"/>
        <v/>
      </c>
      <c r="I742" s="7" t="str">
        <f>IF(AND(ISBLANK(D742),ISBLANK(C742)),"",((VLOOKUP(D742,Cardápio!$A$2:$C$16,3,0))*E742)+IF(B742="iFood",F742*0.27,(VLOOKUP(VENDAS!C742,Bairros!$A$2:$B$90,2,0))))</f>
        <v/>
      </c>
      <c r="J742" s="7" t="str">
        <f t="shared" si="45"/>
        <v/>
      </c>
      <c r="K742" s="9">
        <f t="shared" ca="1" si="46"/>
        <v>45404.878290162036</v>
      </c>
      <c r="L742" s="10">
        <f t="shared" ca="1" si="47"/>
        <v>45404.878290046297</v>
      </c>
    </row>
    <row r="743" spans="6:12" x14ac:dyDescent="0.25">
      <c r="F743" s="11" t="str">
        <f>IF(ISBLANK(D743),"",(VLOOKUP(D743,Cardápio!$A$2:$B$16,2,0))*E743)</f>
        <v/>
      </c>
      <c r="H743" s="7" t="str">
        <f t="shared" si="44"/>
        <v/>
      </c>
      <c r="I743" s="7" t="str">
        <f>IF(AND(ISBLANK(D743),ISBLANK(C743)),"",((VLOOKUP(D743,Cardápio!$A$2:$C$16,3,0))*E743)+IF(B743="iFood",F743*0.27,(VLOOKUP(VENDAS!C743,Bairros!$A$2:$B$90,2,0))))</f>
        <v/>
      </c>
      <c r="J743" s="7" t="str">
        <f t="shared" si="45"/>
        <v/>
      </c>
      <c r="K743" s="9">
        <f t="shared" ca="1" si="46"/>
        <v>45404.878290046297</v>
      </c>
      <c r="L743" s="10">
        <f t="shared" ca="1" si="47"/>
        <v>45404.878290046297</v>
      </c>
    </row>
    <row r="744" spans="6:12" x14ac:dyDescent="0.25">
      <c r="F744" s="11" t="str">
        <f>IF(ISBLANK(D744),"",(VLOOKUP(D744,Cardápio!$A$2:$B$16,2,0))*E744)</f>
        <v/>
      </c>
      <c r="H744" s="7" t="str">
        <f t="shared" si="44"/>
        <v/>
      </c>
      <c r="I744" s="7" t="str">
        <f>IF(AND(ISBLANK(D744),ISBLANK(C744)),"",((VLOOKUP(D744,Cardápio!$A$2:$C$16,3,0))*E744)+IF(B744="iFood",F744*0.27,(VLOOKUP(VENDAS!C744,Bairros!$A$2:$B$90,2,0))))</f>
        <v/>
      </c>
      <c r="J744" s="7" t="str">
        <f t="shared" si="45"/>
        <v/>
      </c>
      <c r="K744" s="9">
        <f t="shared" ca="1" si="46"/>
        <v>45404.878290046297</v>
      </c>
      <c r="L744" s="10">
        <f t="shared" ca="1" si="47"/>
        <v>45404.878290046297</v>
      </c>
    </row>
    <row r="745" spans="6:12" x14ac:dyDescent="0.25">
      <c r="F745" s="11" t="str">
        <f>IF(ISBLANK(D745),"",(VLOOKUP(D745,Cardápio!$A$2:$B$16,2,0))*E745)</f>
        <v/>
      </c>
      <c r="H745" s="7" t="str">
        <f t="shared" si="44"/>
        <v/>
      </c>
      <c r="I745" s="7" t="str">
        <f>IF(AND(ISBLANK(D745),ISBLANK(C745)),"",((VLOOKUP(D745,Cardápio!$A$2:$C$16,3,0))*E745)+IF(B745="iFood",F745*0.27,(VLOOKUP(VENDAS!C745,Bairros!$A$2:$B$90,2,0))))</f>
        <v/>
      </c>
      <c r="J745" s="7" t="str">
        <f t="shared" si="45"/>
        <v/>
      </c>
      <c r="K745" s="9">
        <f t="shared" ca="1" si="46"/>
        <v>45404.878290162036</v>
      </c>
      <c r="L745" s="10">
        <f t="shared" ca="1" si="47"/>
        <v>45404.878290046297</v>
      </c>
    </row>
    <row r="746" spans="6:12" x14ac:dyDescent="0.25">
      <c r="F746" s="11" t="str">
        <f>IF(ISBLANK(D746),"",(VLOOKUP(D746,Cardápio!$A$2:$B$16,2,0))*E746)</f>
        <v/>
      </c>
      <c r="H746" s="7" t="str">
        <f t="shared" si="44"/>
        <v/>
      </c>
      <c r="I746" s="7" t="str">
        <f>IF(AND(ISBLANK(D746),ISBLANK(C746)),"",((VLOOKUP(D746,Cardápio!$A$2:$C$16,3,0))*E746)+IF(B746="iFood",F746*0.27,(VLOOKUP(VENDAS!C746,Bairros!$A$2:$B$90,2,0))))</f>
        <v/>
      </c>
      <c r="J746" s="7" t="str">
        <f t="shared" si="45"/>
        <v/>
      </c>
      <c r="K746" s="9">
        <f t="shared" ca="1" si="46"/>
        <v>45404.878290162036</v>
      </c>
      <c r="L746" s="10">
        <f t="shared" ca="1" si="47"/>
        <v>45404.878290046297</v>
      </c>
    </row>
    <row r="747" spans="6:12" x14ac:dyDescent="0.25">
      <c r="F747" s="11" t="str">
        <f>IF(ISBLANK(D747),"",(VLOOKUP(D747,Cardápio!$A$2:$B$16,2,0))*E747)</f>
        <v/>
      </c>
      <c r="H747" s="7" t="str">
        <f t="shared" si="44"/>
        <v/>
      </c>
      <c r="I747" s="7" t="str">
        <f>IF(AND(ISBLANK(D747),ISBLANK(C747)),"",((VLOOKUP(D747,Cardápio!$A$2:$C$16,3,0))*E747)+IF(B747="iFood",F747*0.27,(VLOOKUP(VENDAS!C747,Bairros!$A$2:$B$90,2,0))))</f>
        <v/>
      </c>
      <c r="J747" s="7" t="str">
        <f t="shared" si="45"/>
        <v/>
      </c>
      <c r="K747" s="9">
        <f t="shared" ca="1" si="46"/>
        <v>45404.878290046297</v>
      </c>
      <c r="L747" s="10">
        <f t="shared" ca="1" si="47"/>
        <v>45404.878290046297</v>
      </c>
    </row>
    <row r="748" spans="6:12" x14ac:dyDescent="0.25">
      <c r="F748" s="11" t="str">
        <f>IF(ISBLANK(D748),"",(VLOOKUP(D748,Cardápio!$A$2:$B$16,2,0))*E748)</f>
        <v/>
      </c>
      <c r="H748" s="7" t="str">
        <f t="shared" si="44"/>
        <v/>
      </c>
      <c r="I748" s="7" t="str">
        <f>IF(AND(ISBLANK(D748),ISBLANK(C748)),"",((VLOOKUP(D748,Cardápio!$A$2:$C$16,3,0))*E748)+IF(B748="iFood",F748*0.27,(VLOOKUP(VENDAS!C748,Bairros!$A$2:$B$90,2,0))))</f>
        <v/>
      </c>
      <c r="J748" s="7" t="str">
        <f t="shared" si="45"/>
        <v/>
      </c>
      <c r="K748" s="9">
        <f t="shared" ca="1" si="46"/>
        <v>45404.878290046297</v>
      </c>
      <c r="L748" s="10">
        <f t="shared" ca="1" si="47"/>
        <v>45404.878290046297</v>
      </c>
    </row>
    <row r="749" spans="6:12" x14ac:dyDescent="0.25">
      <c r="F749" s="11" t="str">
        <f>IF(ISBLANK(D749),"",(VLOOKUP(D749,Cardápio!$A$2:$B$16,2,0))*E749)</f>
        <v/>
      </c>
      <c r="H749" s="7" t="str">
        <f t="shared" si="44"/>
        <v/>
      </c>
      <c r="I749" s="7" t="str">
        <f>IF(AND(ISBLANK(D749),ISBLANK(C749)),"",((VLOOKUP(D749,Cardápio!$A$2:$C$16,3,0))*E749)+IF(B749="iFood",F749*0.27,(VLOOKUP(VENDAS!C749,Bairros!$A$2:$B$90,2,0))))</f>
        <v/>
      </c>
      <c r="J749" s="7" t="str">
        <f t="shared" si="45"/>
        <v/>
      </c>
      <c r="K749" s="9">
        <f t="shared" ca="1" si="46"/>
        <v>45404.878290162036</v>
      </c>
      <c r="L749" s="10">
        <f t="shared" ca="1" si="47"/>
        <v>45404.878290046297</v>
      </c>
    </row>
    <row r="750" spans="6:12" x14ac:dyDescent="0.25">
      <c r="F750" s="11" t="str">
        <f>IF(ISBLANK(D750),"",(VLOOKUP(D750,Cardápio!$A$2:$B$16,2,0))*E750)</f>
        <v/>
      </c>
      <c r="H750" s="7" t="str">
        <f t="shared" si="44"/>
        <v/>
      </c>
      <c r="I750" s="7" t="str">
        <f>IF(AND(ISBLANK(D750),ISBLANK(C750)),"",((VLOOKUP(D750,Cardápio!$A$2:$C$16,3,0))*E750)+IF(B750="iFood",F750*0.27,(VLOOKUP(VENDAS!C750,Bairros!$A$2:$B$90,2,0))))</f>
        <v/>
      </c>
      <c r="J750" s="7" t="str">
        <f t="shared" si="45"/>
        <v/>
      </c>
      <c r="K750" s="9">
        <f t="shared" ca="1" si="46"/>
        <v>45404.878290162036</v>
      </c>
      <c r="L750" s="10">
        <f t="shared" ca="1" si="47"/>
        <v>45404.878290046297</v>
      </c>
    </row>
    <row r="751" spans="6:12" x14ac:dyDescent="0.25">
      <c r="F751" s="11" t="str">
        <f>IF(ISBLANK(D751),"",(VLOOKUP(D751,Cardápio!$A$2:$B$16,2,0))*E751)</f>
        <v/>
      </c>
      <c r="H751" s="7" t="str">
        <f t="shared" si="44"/>
        <v/>
      </c>
      <c r="I751" s="7" t="str">
        <f>IF(AND(ISBLANK(D751),ISBLANK(C751)),"",((VLOOKUP(D751,Cardápio!$A$2:$C$16,3,0))*E751)+IF(B751="iFood",F751*0.27,(VLOOKUP(VENDAS!C751,Bairros!$A$2:$B$90,2,0))))</f>
        <v/>
      </c>
      <c r="J751" s="7" t="str">
        <f t="shared" si="45"/>
        <v/>
      </c>
      <c r="K751" s="9">
        <f t="shared" ca="1" si="46"/>
        <v>45404.878290046297</v>
      </c>
      <c r="L751" s="10">
        <f t="shared" ca="1" si="47"/>
        <v>45404.878290046297</v>
      </c>
    </row>
    <row r="752" spans="6:12" x14ac:dyDescent="0.25">
      <c r="F752" s="11" t="str">
        <f>IF(ISBLANK(D752),"",(VLOOKUP(D752,Cardápio!$A$2:$B$16,2,0))*E752)</f>
        <v/>
      </c>
      <c r="H752" s="7" t="str">
        <f t="shared" si="44"/>
        <v/>
      </c>
      <c r="I752" s="7" t="str">
        <f>IF(AND(ISBLANK(D752),ISBLANK(C752)),"",((VLOOKUP(D752,Cardápio!$A$2:$C$16,3,0))*E752)+IF(B752="iFood",F752*0.27,(VLOOKUP(VENDAS!C752,Bairros!$A$2:$B$90,2,0))))</f>
        <v/>
      </c>
      <c r="J752" s="7" t="str">
        <f t="shared" si="45"/>
        <v/>
      </c>
      <c r="K752" s="9">
        <f t="shared" ca="1" si="46"/>
        <v>45404.878290046297</v>
      </c>
      <c r="L752" s="10">
        <f t="shared" ca="1" si="47"/>
        <v>45404.878290046297</v>
      </c>
    </row>
    <row r="753" spans="6:12" x14ac:dyDescent="0.25">
      <c r="F753" s="11" t="str">
        <f>IF(ISBLANK(D753),"",(VLOOKUP(D753,Cardápio!$A$2:$B$16,2,0))*E753)</f>
        <v/>
      </c>
      <c r="H753" s="7" t="str">
        <f t="shared" si="44"/>
        <v/>
      </c>
      <c r="I753" s="7" t="str">
        <f>IF(AND(ISBLANK(D753),ISBLANK(C753)),"",((VLOOKUP(D753,Cardápio!$A$2:$C$16,3,0))*E753)+IF(B753="iFood",F753*0.27,(VLOOKUP(VENDAS!C753,Bairros!$A$2:$B$90,2,0))))</f>
        <v/>
      </c>
      <c r="J753" s="7" t="str">
        <f t="shared" si="45"/>
        <v/>
      </c>
      <c r="K753" s="9">
        <f t="shared" ca="1" si="46"/>
        <v>45404.878290162036</v>
      </c>
      <c r="L753" s="10">
        <f t="shared" ca="1" si="47"/>
        <v>45404.878290046297</v>
      </c>
    </row>
    <row r="754" spans="6:12" x14ac:dyDescent="0.25">
      <c r="F754" s="11" t="str">
        <f>IF(ISBLANK(D754),"",(VLOOKUP(D754,Cardápio!$A$2:$B$16,2,0))*E754)</f>
        <v/>
      </c>
      <c r="H754" s="7" t="str">
        <f t="shared" si="44"/>
        <v/>
      </c>
      <c r="I754" s="7" t="str">
        <f>IF(AND(ISBLANK(D754),ISBLANK(C754)),"",((VLOOKUP(D754,Cardápio!$A$2:$C$16,3,0))*E754)+IF(B754="iFood",F754*0.27,(VLOOKUP(VENDAS!C754,Bairros!$A$2:$B$90,2,0))))</f>
        <v/>
      </c>
      <c r="J754" s="7" t="str">
        <f t="shared" si="45"/>
        <v/>
      </c>
      <c r="K754" s="9">
        <f t="shared" ca="1" si="46"/>
        <v>45404.878290162036</v>
      </c>
      <c r="L754" s="10">
        <f t="shared" ca="1" si="47"/>
        <v>45404.878290046297</v>
      </c>
    </row>
    <row r="755" spans="6:12" x14ac:dyDescent="0.25">
      <c r="F755" s="11" t="str">
        <f>IF(ISBLANK(D755),"",(VLOOKUP(D755,Cardápio!$A$2:$B$16,2,0))*E755)</f>
        <v/>
      </c>
      <c r="H755" s="7" t="str">
        <f t="shared" si="44"/>
        <v/>
      </c>
      <c r="I755" s="7" t="str">
        <f>IF(AND(ISBLANK(D755),ISBLANK(C755)),"",((VLOOKUP(D755,Cardápio!$A$2:$C$16,3,0))*E755)+IF(B755="iFood",F755*0.27,(VLOOKUP(VENDAS!C755,Bairros!$A$2:$B$90,2,0))))</f>
        <v/>
      </c>
      <c r="J755" s="7" t="str">
        <f t="shared" si="45"/>
        <v/>
      </c>
      <c r="K755" s="9">
        <f t="shared" ca="1" si="46"/>
        <v>45404.878290046297</v>
      </c>
      <c r="L755" s="10">
        <f t="shared" ca="1" si="47"/>
        <v>45404.878290046297</v>
      </c>
    </row>
    <row r="756" spans="6:12" x14ac:dyDescent="0.25">
      <c r="F756" s="11" t="str">
        <f>IF(ISBLANK(D756),"",(VLOOKUP(D756,Cardápio!$A$2:$B$16,2,0))*E756)</f>
        <v/>
      </c>
      <c r="H756" s="7" t="str">
        <f t="shared" si="44"/>
        <v/>
      </c>
      <c r="I756" s="7" t="str">
        <f>IF(AND(ISBLANK(D756),ISBLANK(C756)),"",((VLOOKUP(D756,Cardápio!$A$2:$C$16,3,0))*E756)+IF(B756="iFood",F756*0.27,(VLOOKUP(VENDAS!C756,Bairros!$A$2:$B$90,2,0))))</f>
        <v/>
      </c>
      <c r="J756" s="7" t="str">
        <f t="shared" si="45"/>
        <v/>
      </c>
      <c r="K756" s="9">
        <f t="shared" ca="1" si="46"/>
        <v>45404.878290046297</v>
      </c>
      <c r="L756" s="10">
        <f t="shared" ca="1" si="47"/>
        <v>45404.878290046297</v>
      </c>
    </row>
    <row r="757" spans="6:12" x14ac:dyDescent="0.25">
      <c r="F757" s="11" t="str">
        <f>IF(ISBLANK(D757),"",(VLOOKUP(D757,Cardápio!$A$2:$B$16,2,0))*E757)</f>
        <v/>
      </c>
      <c r="H757" s="7" t="str">
        <f t="shared" ref="H757:H820" si="48">IF(ISBLANK(D757),"",F757-G757)</f>
        <v/>
      </c>
      <c r="I757" s="7" t="str">
        <f>IF(AND(ISBLANK(D757),ISBLANK(C757)),"",((VLOOKUP(D757,Cardápio!$A$2:$C$16,3,0))*E757)+IF(B757="iFood",F757*0.27,(VLOOKUP(VENDAS!C757,Bairros!$A$2:$B$90,2,0))))</f>
        <v/>
      </c>
      <c r="J757" s="7" t="str">
        <f t="shared" ref="J757:J820" si="49">IF(OR(AND(ISBLANK(H757),ISBLANK(I757)),(AND(H757="",I757=""))),"",H757-I757)</f>
        <v/>
      </c>
      <c r="K757" s="9">
        <f t="shared" ref="K757:K820" ca="1" si="50">IF(D757&lt;&gt;"",K757,NOW())</f>
        <v>45404.878290162036</v>
      </c>
      <c r="L757" s="10">
        <f t="shared" ref="L757:L820" ca="1" si="51">IF(D757&lt;&gt;"",L757,NOW())</f>
        <v>45404.878290046297</v>
      </c>
    </row>
    <row r="758" spans="6:12" x14ac:dyDescent="0.25">
      <c r="F758" s="11" t="str">
        <f>IF(ISBLANK(D758),"",(VLOOKUP(D758,Cardápio!$A$2:$B$16,2,0))*E758)</f>
        <v/>
      </c>
      <c r="H758" s="7" t="str">
        <f t="shared" si="48"/>
        <v/>
      </c>
      <c r="I758" s="7" t="str">
        <f>IF(AND(ISBLANK(D758),ISBLANK(C758)),"",((VLOOKUP(D758,Cardápio!$A$2:$C$16,3,0))*E758)+IF(B758="iFood",F758*0.27,(VLOOKUP(VENDAS!C758,Bairros!$A$2:$B$90,2,0))))</f>
        <v/>
      </c>
      <c r="J758" s="7" t="str">
        <f t="shared" si="49"/>
        <v/>
      </c>
      <c r="K758" s="9">
        <f t="shared" ca="1" si="50"/>
        <v>45404.878290162036</v>
      </c>
      <c r="L758" s="10">
        <f t="shared" ca="1" si="51"/>
        <v>45404.878290046297</v>
      </c>
    </row>
    <row r="759" spans="6:12" x14ac:dyDescent="0.25">
      <c r="F759" s="11" t="str">
        <f>IF(ISBLANK(D759),"",(VLOOKUP(D759,Cardápio!$A$2:$B$16,2,0))*E759)</f>
        <v/>
      </c>
      <c r="H759" s="7" t="str">
        <f t="shared" si="48"/>
        <v/>
      </c>
      <c r="I759" s="7" t="str">
        <f>IF(AND(ISBLANK(D759),ISBLANK(C759)),"",((VLOOKUP(D759,Cardápio!$A$2:$C$16,3,0))*E759)+IF(B759="iFood",F759*0.27,(VLOOKUP(VENDAS!C759,Bairros!$A$2:$B$90,2,0))))</f>
        <v/>
      </c>
      <c r="J759" s="7" t="str">
        <f t="shared" si="49"/>
        <v/>
      </c>
      <c r="K759" s="9">
        <f t="shared" ca="1" si="50"/>
        <v>45404.878290046297</v>
      </c>
      <c r="L759" s="10">
        <f t="shared" ca="1" si="51"/>
        <v>45404.878290046297</v>
      </c>
    </row>
    <row r="760" spans="6:12" x14ac:dyDescent="0.25">
      <c r="F760" s="11" t="str">
        <f>IF(ISBLANK(D760),"",(VLOOKUP(D760,Cardápio!$A$2:$B$16,2,0))*E760)</f>
        <v/>
      </c>
      <c r="H760" s="7" t="str">
        <f t="shared" si="48"/>
        <v/>
      </c>
      <c r="I760" s="7" t="str">
        <f>IF(AND(ISBLANK(D760),ISBLANK(C760)),"",((VLOOKUP(D760,Cardápio!$A$2:$C$16,3,0))*E760)+IF(B760="iFood",F760*0.27,(VLOOKUP(VENDAS!C760,Bairros!$A$2:$B$90,2,0))))</f>
        <v/>
      </c>
      <c r="J760" s="7" t="str">
        <f t="shared" si="49"/>
        <v/>
      </c>
      <c r="K760" s="9">
        <f t="shared" ca="1" si="50"/>
        <v>45404.878290046297</v>
      </c>
      <c r="L760" s="10">
        <f t="shared" ca="1" si="51"/>
        <v>45404.878290046297</v>
      </c>
    </row>
    <row r="761" spans="6:12" x14ac:dyDescent="0.25">
      <c r="F761" s="11" t="str">
        <f>IF(ISBLANK(D761),"",(VLOOKUP(D761,Cardápio!$A$2:$B$16,2,0))*E761)</f>
        <v/>
      </c>
      <c r="H761" s="7" t="str">
        <f t="shared" si="48"/>
        <v/>
      </c>
      <c r="I761" s="7" t="str">
        <f>IF(AND(ISBLANK(D761),ISBLANK(C761)),"",((VLOOKUP(D761,Cardápio!$A$2:$C$16,3,0))*E761)+IF(B761="iFood",F761*0.27,(VLOOKUP(VENDAS!C761,Bairros!$A$2:$B$90,2,0))))</f>
        <v/>
      </c>
      <c r="J761" s="7" t="str">
        <f t="shared" si="49"/>
        <v/>
      </c>
      <c r="K761" s="9">
        <f t="shared" ca="1" si="50"/>
        <v>45404.878290162036</v>
      </c>
      <c r="L761" s="10">
        <f t="shared" ca="1" si="51"/>
        <v>45404.878290046297</v>
      </c>
    </row>
    <row r="762" spans="6:12" x14ac:dyDescent="0.25">
      <c r="F762" s="11" t="str">
        <f>IF(ISBLANK(D762),"",(VLOOKUP(D762,Cardápio!$A$2:$B$16,2,0))*E762)</f>
        <v/>
      </c>
      <c r="H762" s="7" t="str">
        <f t="shared" si="48"/>
        <v/>
      </c>
      <c r="I762" s="7" t="str">
        <f>IF(AND(ISBLANK(D762),ISBLANK(C762)),"",((VLOOKUP(D762,Cardápio!$A$2:$C$16,3,0))*E762)+IF(B762="iFood",F762*0.27,(VLOOKUP(VENDAS!C762,Bairros!$A$2:$B$90,2,0))))</f>
        <v/>
      </c>
      <c r="J762" s="7" t="str">
        <f t="shared" si="49"/>
        <v/>
      </c>
      <c r="K762" s="9">
        <f t="shared" ca="1" si="50"/>
        <v>45404.878290162036</v>
      </c>
      <c r="L762" s="10">
        <f t="shared" ca="1" si="51"/>
        <v>45404.878290046297</v>
      </c>
    </row>
    <row r="763" spans="6:12" x14ac:dyDescent="0.25">
      <c r="F763" s="11" t="str">
        <f>IF(ISBLANK(D763),"",(VLOOKUP(D763,Cardápio!$A$2:$B$16,2,0))*E763)</f>
        <v/>
      </c>
      <c r="H763" s="7" t="str">
        <f t="shared" si="48"/>
        <v/>
      </c>
      <c r="I763" s="7" t="str">
        <f>IF(AND(ISBLANK(D763),ISBLANK(C763)),"",((VLOOKUP(D763,Cardápio!$A$2:$C$16,3,0))*E763)+IF(B763="iFood",F763*0.27,(VLOOKUP(VENDAS!C763,Bairros!$A$2:$B$90,2,0))))</f>
        <v/>
      </c>
      <c r="J763" s="7" t="str">
        <f t="shared" si="49"/>
        <v/>
      </c>
      <c r="K763" s="9">
        <f t="shared" ca="1" si="50"/>
        <v>45404.878290046297</v>
      </c>
      <c r="L763" s="10">
        <f t="shared" ca="1" si="51"/>
        <v>45404.878290046297</v>
      </c>
    </row>
    <row r="764" spans="6:12" x14ac:dyDescent="0.25">
      <c r="F764" s="11" t="str">
        <f>IF(ISBLANK(D764),"",(VLOOKUP(D764,Cardápio!$A$2:$B$16,2,0))*E764)</f>
        <v/>
      </c>
      <c r="H764" s="7" t="str">
        <f t="shared" si="48"/>
        <v/>
      </c>
      <c r="I764" s="7" t="str">
        <f>IF(AND(ISBLANK(D764),ISBLANK(C764)),"",((VLOOKUP(D764,Cardápio!$A$2:$C$16,3,0))*E764)+IF(B764="iFood",F764*0.27,(VLOOKUP(VENDAS!C764,Bairros!$A$2:$B$90,2,0))))</f>
        <v/>
      </c>
      <c r="J764" s="7" t="str">
        <f t="shared" si="49"/>
        <v/>
      </c>
      <c r="K764" s="9">
        <f t="shared" ca="1" si="50"/>
        <v>45404.878290046297</v>
      </c>
      <c r="L764" s="10">
        <f t="shared" ca="1" si="51"/>
        <v>45404.878290046297</v>
      </c>
    </row>
    <row r="765" spans="6:12" x14ac:dyDescent="0.25">
      <c r="F765" s="11" t="str">
        <f>IF(ISBLANK(D765),"",(VLOOKUP(D765,Cardápio!$A$2:$B$16,2,0))*E765)</f>
        <v/>
      </c>
      <c r="H765" s="7" t="str">
        <f t="shared" si="48"/>
        <v/>
      </c>
      <c r="I765" s="7" t="str">
        <f>IF(AND(ISBLANK(D765),ISBLANK(C765)),"",((VLOOKUP(D765,Cardápio!$A$2:$C$16,3,0))*E765)+IF(B765="iFood",F765*0.27,(VLOOKUP(VENDAS!C765,Bairros!$A$2:$B$90,2,0))))</f>
        <v/>
      </c>
      <c r="J765" s="7" t="str">
        <f t="shared" si="49"/>
        <v/>
      </c>
      <c r="K765" s="9">
        <f t="shared" ca="1" si="50"/>
        <v>45404.878290162036</v>
      </c>
      <c r="L765" s="10">
        <f t="shared" ca="1" si="51"/>
        <v>45404.878290046297</v>
      </c>
    </row>
    <row r="766" spans="6:12" x14ac:dyDescent="0.25">
      <c r="F766" s="11" t="str">
        <f>IF(ISBLANK(D766),"",(VLOOKUP(D766,Cardápio!$A$2:$B$16,2,0))*E766)</f>
        <v/>
      </c>
      <c r="H766" s="7" t="str">
        <f t="shared" si="48"/>
        <v/>
      </c>
      <c r="I766" s="7" t="str">
        <f>IF(AND(ISBLANK(D766),ISBLANK(C766)),"",((VLOOKUP(D766,Cardápio!$A$2:$C$16,3,0))*E766)+IF(B766="iFood",F766*0.27,(VLOOKUP(VENDAS!C766,Bairros!$A$2:$B$90,2,0))))</f>
        <v/>
      </c>
      <c r="J766" s="7" t="str">
        <f t="shared" si="49"/>
        <v/>
      </c>
      <c r="K766" s="9">
        <f t="shared" ca="1" si="50"/>
        <v>45404.878290162036</v>
      </c>
      <c r="L766" s="10">
        <f t="shared" ca="1" si="51"/>
        <v>45404.878290046297</v>
      </c>
    </row>
    <row r="767" spans="6:12" x14ac:dyDescent="0.25">
      <c r="F767" s="11" t="str">
        <f>IF(ISBLANK(D767),"",(VLOOKUP(D767,Cardápio!$A$2:$B$16,2,0))*E767)</f>
        <v/>
      </c>
      <c r="H767" s="7" t="str">
        <f t="shared" si="48"/>
        <v/>
      </c>
      <c r="I767" s="7" t="str">
        <f>IF(AND(ISBLANK(D767),ISBLANK(C767)),"",((VLOOKUP(D767,Cardápio!$A$2:$C$16,3,0))*E767)+IF(B767="iFood",F767*0.27,(VLOOKUP(VENDAS!C767,Bairros!$A$2:$B$90,2,0))))</f>
        <v/>
      </c>
      <c r="J767" s="7" t="str">
        <f t="shared" si="49"/>
        <v/>
      </c>
      <c r="K767" s="9">
        <f t="shared" ca="1" si="50"/>
        <v>45404.878290046297</v>
      </c>
      <c r="L767" s="10">
        <f t="shared" ca="1" si="51"/>
        <v>45404.878290046297</v>
      </c>
    </row>
    <row r="768" spans="6:12" x14ac:dyDescent="0.25">
      <c r="F768" s="11" t="str">
        <f>IF(ISBLANK(D768),"",(VLOOKUP(D768,Cardápio!$A$2:$B$16,2,0))*E768)</f>
        <v/>
      </c>
      <c r="H768" s="7" t="str">
        <f t="shared" si="48"/>
        <v/>
      </c>
      <c r="I768" s="7" t="str">
        <f>IF(AND(ISBLANK(D768),ISBLANK(C768)),"",((VLOOKUP(D768,Cardápio!$A$2:$C$16,3,0))*E768)+IF(B768="iFood",F768*0.27,(VLOOKUP(VENDAS!C768,Bairros!$A$2:$B$90,2,0))))</f>
        <v/>
      </c>
      <c r="J768" s="7" t="str">
        <f t="shared" si="49"/>
        <v/>
      </c>
      <c r="K768" s="9">
        <f t="shared" ca="1" si="50"/>
        <v>45404.878290046297</v>
      </c>
      <c r="L768" s="10">
        <f t="shared" ca="1" si="51"/>
        <v>45404.878290046297</v>
      </c>
    </row>
    <row r="769" spans="6:12" x14ac:dyDescent="0.25">
      <c r="F769" s="11" t="str">
        <f>IF(ISBLANK(D769),"",(VLOOKUP(D769,Cardápio!$A$2:$B$16,2,0))*E769)</f>
        <v/>
      </c>
      <c r="H769" s="7" t="str">
        <f t="shared" si="48"/>
        <v/>
      </c>
      <c r="I769" s="7" t="str">
        <f>IF(AND(ISBLANK(D769),ISBLANK(C769)),"",((VLOOKUP(D769,Cardápio!$A$2:$C$16,3,0))*E769)+IF(B769="iFood",F769*0.27,(VLOOKUP(VENDAS!C769,Bairros!$A$2:$B$90,2,0))))</f>
        <v/>
      </c>
      <c r="J769" s="7" t="str">
        <f t="shared" si="49"/>
        <v/>
      </c>
      <c r="K769" s="9">
        <f t="shared" ca="1" si="50"/>
        <v>45404.878290162036</v>
      </c>
      <c r="L769" s="10">
        <f t="shared" ca="1" si="51"/>
        <v>45404.878290046297</v>
      </c>
    </row>
    <row r="770" spans="6:12" x14ac:dyDescent="0.25">
      <c r="F770" s="11" t="str">
        <f>IF(ISBLANK(D770),"",(VLOOKUP(D770,Cardápio!$A$2:$B$16,2,0))*E770)</f>
        <v/>
      </c>
      <c r="H770" s="7" t="str">
        <f t="shared" si="48"/>
        <v/>
      </c>
      <c r="I770" s="7" t="str">
        <f>IF(AND(ISBLANK(D770),ISBLANK(C770)),"",((VLOOKUP(D770,Cardápio!$A$2:$C$16,3,0))*E770)+IF(B770="iFood",F770*0.27,(VLOOKUP(VENDAS!C770,Bairros!$A$2:$B$90,2,0))))</f>
        <v/>
      </c>
      <c r="J770" s="7" t="str">
        <f t="shared" si="49"/>
        <v/>
      </c>
      <c r="K770" s="9">
        <f t="shared" ca="1" si="50"/>
        <v>45404.878290162036</v>
      </c>
      <c r="L770" s="10">
        <f t="shared" ca="1" si="51"/>
        <v>45404.878290046297</v>
      </c>
    </row>
    <row r="771" spans="6:12" x14ac:dyDescent="0.25">
      <c r="F771" s="11" t="str">
        <f>IF(ISBLANK(D771),"",(VLOOKUP(D771,Cardápio!$A$2:$B$16,2,0))*E771)</f>
        <v/>
      </c>
      <c r="H771" s="7" t="str">
        <f t="shared" si="48"/>
        <v/>
      </c>
      <c r="I771" s="7" t="str">
        <f>IF(AND(ISBLANK(D771),ISBLANK(C771)),"",((VLOOKUP(D771,Cardápio!$A$2:$C$16,3,0))*E771)+IF(B771="iFood",F771*0.27,(VLOOKUP(VENDAS!C771,Bairros!$A$2:$B$90,2,0))))</f>
        <v/>
      </c>
      <c r="J771" s="7" t="str">
        <f t="shared" si="49"/>
        <v/>
      </c>
      <c r="K771" s="9">
        <f t="shared" ca="1" si="50"/>
        <v>45404.878290046297</v>
      </c>
      <c r="L771" s="10">
        <f t="shared" ca="1" si="51"/>
        <v>45404.878290046297</v>
      </c>
    </row>
    <row r="772" spans="6:12" x14ac:dyDescent="0.25">
      <c r="F772" s="11" t="str">
        <f>IF(ISBLANK(D772),"",(VLOOKUP(D772,Cardápio!$A$2:$B$16,2,0))*E772)</f>
        <v/>
      </c>
      <c r="H772" s="7" t="str">
        <f t="shared" si="48"/>
        <v/>
      </c>
      <c r="I772" s="7" t="str">
        <f>IF(AND(ISBLANK(D772),ISBLANK(C772)),"",((VLOOKUP(D772,Cardápio!$A$2:$C$16,3,0))*E772)+IF(B772="iFood",F772*0.27,(VLOOKUP(VENDAS!C772,Bairros!$A$2:$B$90,2,0))))</f>
        <v/>
      </c>
      <c r="J772" s="7" t="str">
        <f t="shared" si="49"/>
        <v/>
      </c>
      <c r="K772" s="9">
        <f t="shared" ca="1" si="50"/>
        <v>45404.878290046297</v>
      </c>
      <c r="L772" s="10">
        <f t="shared" ca="1" si="51"/>
        <v>45404.878290046297</v>
      </c>
    </row>
    <row r="773" spans="6:12" x14ac:dyDescent="0.25">
      <c r="F773" s="11" t="str">
        <f>IF(ISBLANK(D773),"",(VLOOKUP(D773,Cardápio!$A$2:$B$16,2,0))*E773)</f>
        <v/>
      </c>
      <c r="H773" s="7" t="str">
        <f t="shared" si="48"/>
        <v/>
      </c>
      <c r="I773" s="7" t="str">
        <f>IF(AND(ISBLANK(D773),ISBLANK(C773)),"",((VLOOKUP(D773,Cardápio!$A$2:$C$16,3,0))*E773)+IF(B773="iFood",F773*0.27,(VLOOKUP(VENDAS!C773,Bairros!$A$2:$B$90,2,0))))</f>
        <v/>
      </c>
      <c r="J773" s="7" t="str">
        <f t="shared" si="49"/>
        <v/>
      </c>
      <c r="K773" s="9">
        <f t="shared" ca="1" si="50"/>
        <v>45404.878290162036</v>
      </c>
      <c r="L773" s="10">
        <f t="shared" ca="1" si="51"/>
        <v>45404.878290046297</v>
      </c>
    </row>
    <row r="774" spans="6:12" x14ac:dyDescent="0.25">
      <c r="F774" s="11" t="str">
        <f>IF(ISBLANK(D774),"",(VLOOKUP(D774,Cardápio!$A$2:$B$16,2,0))*E774)</f>
        <v/>
      </c>
      <c r="H774" s="7" t="str">
        <f t="shared" si="48"/>
        <v/>
      </c>
      <c r="I774" s="7" t="str">
        <f>IF(AND(ISBLANK(D774),ISBLANK(C774)),"",((VLOOKUP(D774,Cardápio!$A$2:$C$16,3,0))*E774)+IF(B774="iFood",F774*0.27,(VLOOKUP(VENDAS!C774,Bairros!$A$2:$B$90,2,0))))</f>
        <v/>
      </c>
      <c r="J774" s="7" t="str">
        <f t="shared" si="49"/>
        <v/>
      </c>
      <c r="K774" s="9">
        <f t="shared" ca="1" si="50"/>
        <v>45404.878290162036</v>
      </c>
      <c r="L774" s="10">
        <f t="shared" ca="1" si="51"/>
        <v>45404.878290046297</v>
      </c>
    </row>
    <row r="775" spans="6:12" x14ac:dyDescent="0.25">
      <c r="F775" s="11" t="str">
        <f>IF(ISBLANK(D775),"",(VLOOKUP(D775,Cardápio!$A$2:$B$16,2,0))*E775)</f>
        <v/>
      </c>
      <c r="H775" s="7" t="str">
        <f t="shared" si="48"/>
        <v/>
      </c>
      <c r="I775" s="7" t="str">
        <f>IF(AND(ISBLANK(D775),ISBLANK(C775)),"",((VLOOKUP(D775,Cardápio!$A$2:$C$16,3,0))*E775)+IF(B775="iFood",F775*0.27,(VLOOKUP(VENDAS!C775,Bairros!$A$2:$B$90,2,0))))</f>
        <v/>
      </c>
      <c r="J775" s="7" t="str">
        <f t="shared" si="49"/>
        <v/>
      </c>
      <c r="K775" s="9">
        <f t="shared" ca="1" si="50"/>
        <v>45404.878290046297</v>
      </c>
      <c r="L775" s="10">
        <f t="shared" ca="1" si="51"/>
        <v>45404.878290046297</v>
      </c>
    </row>
    <row r="776" spans="6:12" x14ac:dyDescent="0.25">
      <c r="F776" s="11" t="str">
        <f>IF(ISBLANK(D776),"",(VLOOKUP(D776,Cardápio!$A$2:$B$16,2,0))*E776)</f>
        <v/>
      </c>
      <c r="H776" s="7" t="str">
        <f t="shared" si="48"/>
        <v/>
      </c>
      <c r="I776" s="7" t="str">
        <f>IF(AND(ISBLANK(D776),ISBLANK(C776)),"",((VLOOKUP(D776,Cardápio!$A$2:$C$16,3,0))*E776)+IF(B776="iFood",F776*0.27,(VLOOKUP(VENDAS!C776,Bairros!$A$2:$B$90,2,0))))</f>
        <v/>
      </c>
      <c r="J776" s="7" t="str">
        <f t="shared" si="49"/>
        <v/>
      </c>
      <c r="K776" s="9">
        <f t="shared" ca="1" si="50"/>
        <v>45404.878290046297</v>
      </c>
      <c r="L776" s="10">
        <f t="shared" ca="1" si="51"/>
        <v>45404.878290046297</v>
      </c>
    </row>
    <row r="777" spans="6:12" x14ac:dyDescent="0.25">
      <c r="F777" s="11" t="str">
        <f>IF(ISBLANK(D777),"",(VLOOKUP(D777,Cardápio!$A$2:$B$16,2,0))*E777)</f>
        <v/>
      </c>
      <c r="H777" s="7" t="str">
        <f t="shared" si="48"/>
        <v/>
      </c>
      <c r="I777" s="7" t="str">
        <f>IF(AND(ISBLANK(D777),ISBLANK(C777)),"",((VLOOKUP(D777,Cardápio!$A$2:$C$16,3,0))*E777)+IF(B777="iFood",F777*0.27,(VLOOKUP(VENDAS!C777,Bairros!$A$2:$B$90,2,0))))</f>
        <v/>
      </c>
      <c r="J777" s="7" t="str">
        <f t="shared" si="49"/>
        <v/>
      </c>
      <c r="K777" s="9">
        <f t="shared" ca="1" si="50"/>
        <v>45404.878290162036</v>
      </c>
      <c r="L777" s="10">
        <f t="shared" ca="1" si="51"/>
        <v>45404.878290046297</v>
      </c>
    </row>
    <row r="778" spans="6:12" x14ac:dyDescent="0.25">
      <c r="F778" s="11" t="str">
        <f>IF(ISBLANK(D778),"",(VLOOKUP(D778,Cardápio!$A$2:$B$16,2,0))*E778)</f>
        <v/>
      </c>
      <c r="H778" s="7" t="str">
        <f t="shared" si="48"/>
        <v/>
      </c>
      <c r="I778" s="7" t="str">
        <f>IF(AND(ISBLANK(D778),ISBLANK(C778)),"",((VLOOKUP(D778,Cardápio!$A$2:$C$16,3,0))*E778)+IF(B778="iFood",F778*0.27,(VLOOKUP(VENDAS!C778,Bairros!$A$2:$B$90,2,0))))</f>
        <v/>
      </c>
      <c r="J778" s="7" t="str">
        <f t="shared" si="49"/>
        <v/>
      </c>
      <c r="K778" s="9">
        <f t="shared" ca="1" si="50"/>
        <v>45404.878290162036</v>
      </c>
      <c r="L778" s="10">
        <f t="shared" ca="1" si="51"/>
        <v>45404.878290046297</v>
      </c>
    </row>
    <row r="779" spans="6:12" x14ac:dyDescent="0.25">
      <c r="F779" s="11" t="str">
        <f>IF(ISBLANK(D779),"",(VLOOKUP(D779,Cardápio!$A$2:$B$16,2,0))*E779)</f>
        <v/>
      </c>
      <c r="H779" s="7" t="str">
        <f t="shared" si="48"/>
        <v/>
      </c>
      <c r="I779" s="7" t="str">
        <f>IF(AND(ISBLANK(D779),ISBLANK(C779)),"",((VLOOKUP(D779,Cardápio!$A$2:$C$16,3,0))*E779)+IF(B779="iFood",F779*0.27,(VLOOKUP(VENDAS!C779,Bairros!$A$2:$B$90,2,0))))</f>
        <v/>
      </c>
      <c r="J779" s="7" t="str">
        <f t="shared" si="49"/>
        <v/>
      </c>
      <c r="K779" s="9">
        <f t="shared" ca="1" si="50"/>
        <v>45404.878290046297</v>
      </c>
      <c r="L779" s="10">
        <f t="shared" ca="1" si="51"/>
        <v>45404.878290046297</v>
      </c>
    </row>
    <row r="780" spans="6:12" x14ac:dyDescent="0.25">
      <c r="F780" s="11" t="str">
        <f>IF(ISBLANK(D780),"",(VLOOKUP(D780,Cardápio!$A$2:$B$16,2,0))*E780)</f>
        <v/>
      </c>
      <c r="H780" s="7" t="str">
        <f t="shared" si="48"/>
        <v/>
      </c>
      <c r="I780" s="7" t="str">
        <f>IF(AND(ISBLANK(D780),ISBLANK(C780)),"",((VLOOKUP(D780,Cardápio!$A$2:$C$16,3,0))*E780)+IF(B780="iFood",F780*0.27,(VLOOKUP(VENDAS!C780,Bairros!$A$2:$B$90,2,0))))</f>
        <v/>
      </c>
      <c r="J780" s="7" t="str">
        <f t="shared" si="49"/>
        <v/>
      </c>
      <c r="K780" s="9">
        <f t="shared" ca="1" si="50"/>
        <v>45404.878290046297</v>
      </c>
      <c r="L780" s="10">
        <f t="shared" ca="1" si="51"/>
        <v>45404.878290046297</v>
      </c>
    </row>
    <row r="781" spans="6:12" x14ac:dyDescent="0.25">
      <c r="F781" s="11" t="str">
        <f>IF(ISBLANK(D781),"",(VLOOKUP(D781,Cardápio!$A$2:$B$16,2,0))*E781)</f>
        <v/>
      </c>
      <c r="H781" s="7" t="str">
        <f t="shared" si="48"/>
        <v/>
      </c>
      <c r="I781" s="7" t="str">
        <f>IF(AND(ISBLANK(D781),ISBLANK(C781)),"",((VLOOKUP(D781,Cardápio!$A$2:$C$16,3,0))*E781)+IF(B781="iFood",F781*0.27,(VLOOKUP(VENDAS!C781,Bairros!$A$2:$B$90,2,0))))</f>
        <v/>
      </c>
      <c r="J781" s="7" t="str">
        <f t="shared" si="49"/>
        <v/>
      </c>
      <c r="K781" s="9">
        <f t="shared" ca="1" si="50"/>
        <v>45404.878290162036</v>
      </c>
      <c r="L781" s="10">
        <f t="shared" ca="1" si="51"/>
        <v>45404.878290046297</v>
      </c>
    </row>
    <row r="782" spans="6:12" x14ac:dyDescent="0.25">
      <c r="F782" s="11" t="str">
        <f>IF(ISBLANK(D782),"",(VLOOKUP(D782,Cardápio!$A$2:$B$16,2,0))*E782)</f>
        <v/>
      </c>
      <c r="H782" s="7" t="str">
        <f t="shared" si="48"/>
        <v/>
      </c>
      <c r="I782" s="7" t="str">
        <f>IF(AND(ISBLANK(D782),ISBLANK(C782)),"",((VLOOKUP(D782,Cardápio!$A$2:$C$16,3,0))*E782)+IF(B782="iFood",F782*0.27,(VLOOKUP(VENDAS!C782,Bairros!$A$2:$B$90,2,0))))</f>
        <v/>
      </c>
      <c r="J782" s="7" t="str">
        <f t="shared" si="49"/>
        <v/>
      </c>
      <c r="K782" s="9">
        <f t="shared" ca="1" si="50"/>
        <v>45404.878290162036</v>
      </c>
      <c r="L782" s="10">
        <f t="shared" ca="1" si="51"/>
        <v>45404.878290046297</v>
      </c>
    </row>
    <row r="783" spans="6:12" x14ac:dyDescent="0.25">
      <c r="F783" s="11" t="str">
        <f>IF(ISBLANK(D783),"",(VLOOKUP(D783,Cardápio!$A$2:$B$16,2,0))*E783)</f>
        <v/>
      </c>
      <c r="H783" s="7" t="str">
        <f t="shared" si="48"/>
        <v/>
      </c>
      <c r="I783" s="7" t="str">
        <f>IF(AND(ISBLANK(D783),ISBLANK(C783)),"",((VLOOKUP(D783,Cardápio!$A$2:$C$16,3,0))*E783)+IF(B783="iFood",F783*0.27,(VLOOKUP(VENDAS!C783,Bairros!$A$2:$B$90,2,0))))</f>
        <v/>
      </c>
      <c r="J783" s="7" t="str">
        <f t="shared" si="49"/>
        <v/>
      </c>
      <c r="K783" s="9">
        <f t="shared" ca="1" si="50"/>
        <v>45404.878290046297</v>
      </c>
      <c r="L783" s="10">
        <f t="shared" ca="1" si="51"/>
        <v>45404.878290046297</v>
      </c>
    </row>
    <row r="784" spans="6:12" x14ac:dyDescent="0.25">
      <c r="F784" s="11" t="str">
        <f>IF(ISBLANK(D784),"",(VLOOKUP(D784,Cardápio!$A$2:$B$16,2,0))*E784)</f>
        <v/>
      </c>
      <c r="H784" s="7" t="str">
        <f t="shared" si="48"/>
        <v/>
      </c>
      <c r="I784" s="7" t="str">
        <f>IF(AND(ISBLANK(D784),ISBLANK(C784)),"",((VLOOKUP(D784,Cardápio!$A$2:$C$16,3,0))*E784)+IF(B784="iFood",F784*0.27,(VLOOKUP(VENDAS!C784,Bairros!$A$2:$B$90,2,0))))</f>
        <v/>
      </c>
      <c r="J784" s="7" t="str">
        <f t="shared" si="49"/>
        <v/>
      </c>
      <c r="K784" s="9">
        <f t="shared" ca="1" si="50"/>
        <v>45404.878290046297</v>
      </c>
      <c r="L784" s="10">
        <f t="shared" ca="1" si="51"/>
        <v>45404.878290046297</v>
      </c>
    </row>
    <row r="785" spans="6:12" x14ac:dyDescent="0.25">
      <c r="F785" s="11" t="str">
        <f>IF(ISBLANK(D785),"",(VLOOKUP(D785,Cardápio!$A$2:$B$16,2,0))*E785)</f>
        <v/>
      </c>
      <c r="H785" s="7" t="str">
        <f t="shared" si="48"/>
        <v/>
      </c>
      <c r="I785" s="7" t="str">
        <f>IF(AND(ISBLANK(D785),ISBLANK(C785)),"",((VLOOKUP(D785,Cardápio!$A$2:$C$16,3,0))*E785)+IF(B785="iFood",F785*0.27,(VLOOKUP(VENDAS!C785,Bairros!$A$2:$B$90,2,0))))</f>
        <v/>
      </c>
      <c r="J785" s="7" t="str">
        <f t="shared" si="49"/>
        <v/>
      </c>
      <c r="K785" s="9">
        <f t="shared" ca="1" si="50"/>
        <v>45404.878290162036</v>
      </c>
      <c r="L785" s="10">
        <f t="shared" ca="1" si="51"/>
        <v>45404.878290046297</v>
      </c>
    </row>
    <row r="786" spans="6:12" x14ac:dyDescent="0.25">
      <c r="F786" s="11" t="str">
        <f>IF(ISBLANK(D786),"",(VLOOKUP(D786,Cardápio!$A$2:$B$16,2,0))*E786)</f>
        <v/>
      </c>
      <c r="H786" s="7" t="str">
        <f t="shared" si="48"/>
        <v/>
      </c>
      <c r="I786" s="7" t="str">
        <f>IF(AND(ISBLANK(D786),ISBLANK(C786)),"",((VLOOKUP(D786,Cardápio!$A$2:$C$16,3,0))*E786)+IF(B786="iFood",F786*0.27,(VLOOKUP(VENDAS!C786,Bairros!$A$2:$B$90,2,0))))</f>
        <v/>
      </c>
      <c r="J786" s="7" t="str">
        <f t="shared" si="49"/>
        <v/>
      </c>
      <c r="K786" s="9">
        <f t="shared" ca="1" si="50"/>
        <v>45404.878290162036</v>
      </c>
      <c r="L786" s="10">
        <f t="shared" ca="1" si="51"/>
        <v>45404.878290046297</v>
      </c>
    </row>
    <row r="787" spans="6:12" x14ac:dyDescent="0.25">
      <c r="F787" s="11" t="str">
        <f>IF(ISBLANK(D787),"",(VLOOKUP(D787,Cardápio!$A$2:$B$16,2,0))*E787)</f>
        <v/>
      </c>
      <c r="H787" s="7" t="str">
        <f t="shared" si="48"/>
        <v/>
      </c>
      <c r="I787" s="7" t="str">
        <f>IF(AND(ISBLANK(D787),ISBLANK(C787)),"",((VLOOKUP(D787,Cardápio!$A$2:$C$16,3,0))*E787)+IF(B787="iFood",F787*0.27,(VLOOKUP(VENDAS!C787,Bairros!$A$2:$B$90,2,0))))</f>
        <v/>
      </c>
      <c r="J787" s="7" t="str">
        <f t="shared" si="49"/>
        <v/>
      </c>
      <c r="K787" s="9">
        <f t="shared" ca="1" si="50"/>
        <v>45404.878290046297</v>
      </c>
      <c r="L787" s="10">
        <f t="shared" ca="1" si="51"/>
        <v>45404.878290046297</v>
      </c>
    </row>
    <row r="788" spans="6:12" x14ac:dyDescent="0.25">
      <c r="F788" s="11" t="str">
        <f>IF(ISBLANK(D788),"",(VLOOKUP(D788,Cardápio!$A$2:$B$16,2,0))*E788)</f>
        <v/>
      </c>
      <c r="H788" s="7" t="str">
        <f t="shared" si="48"/>
        <v/>
      </c>
      <c r="I788" s="7" t="str">
        <f>IF(AND(ISBLANK(D788),ISBLANK(C788)),"",((VLOOKUP(D788,Cardápio!$A$2:$C$16,3,0))*E788)+IF(B788="iFood",F788*0.27,(VLOOKUP(VENDAS!C788,Bairros!$A$2:$B$90,2,0))))</f>
        <v/>
      </c>
      <c r="J788" s="7" t="str">
        <f t="shared" si="49"/>
        <v/>
      </c>
      <c r="K788" s="9">
        <f t="shared" ca="1" si="50"/>
        <v>45404.878290046297</v>
      </c>
      <c r="L788" s="10">
        <f t="shared" ca="1" si="51"/>
        <v>45404.878290046297</v>
      </c>
    </row>
    <row r="789" spans="6:12" x14ac:dyDescent="0.25">
      <c r="F789" s="11" t="str">
        <f>IF(ISBLANK(D789),"",(VLOOKUP(D789,Cardápio!$A$2:$B$16,2,0))*E789)</f>
        <v/>
      </c>
      <c r="H789" s="7" t="str">
        <f t="shared" si="48"/>
        <v/>
      </c>
      <c r="I789" s="7" t="str">
        <f>IF(AND(ISBLANK(D789),ISBLANK(C789)),"",((VLOOKUP(D789,Cardápio!$A$2:$C$16,3,0))*E789)+IF(B789="iFood",F789*0.27,(VLOOKUP(VENDAS!C789,Bairros!$A$2:$B$90,2,0))))</f>
        <v/>
      </c>
      <c r="J789" s="7" t="str">
        <f t="shared" si="49"/>
        <v/>
      </c>
      <c r="K789" s="9">
        <f t="shared" ca="1" si="50"/>
        <v>45404.878290162036</v>
      </c>
      <c r="L789" s="10">
        <f t="shared" ca="1" si="51"/>
        <v>45404.878290046297</v>
      </c>
    </row>
    <row r="790" spans="6:12" x14ac:dyDescent="0.25">
      <c r="F790" s="11" t="str">
        <f>IF(ISBLANK(D790),"",(VLOOKUP(D790,Cardápio!$A$2:$B$16,2,0))*E790)</f>
        <v/>
      </c>
      <c r="H790" s="7" t="str">
        <f t="shared" si="48"/>
        <v/>
      </c>
      <c r="I790" s="7" t="str">
        <f>IF(AND(ISBLANK(D790),ISBLANK(C790)),"",((VLOOKUP(D790,Cardápio!$A$2:$C$16,3,0))*E790)+IF(B790="iFood",F790*0.27,(VLOOKUP(VENDAS!C790,Bairros!$A$2:$B$90,2,0))))</f>
        <v/>
      </c>
      <c r="J790" s="7" t="str">
        <f t="shared" si="49"/>
        <v/>
      </c>
      <c r="K790" s="9">
        <f t="shared" ca="1" si="50"/>
        <v>45404.878290162036</v>
      </c>
      <c r="L790" s="10">
        <f t="shared" ca="1" si="51"/>
        <v>45404.878290046297</v>
      </c>
    </row>
    <row r="791" spans="6:12" x14ac:dyDescent="0.25">
      <c r="F791" s="11" t="str">
        <f>IF(ISBLANK(D791),"",(VLOOKUP(D791,Cardápio!$A$2:$B$16,2,0))*E791)</f>
        <v/>
      </c>
      <c r="H791" s="7" t="str">
        <f t="shared" si="48"/>
        <v/>
      </c>
      <c r="I791" s="7" t="str">
        <f>IF(AND(ISBLANK(D791),ISBLANK(C791)),"",((VLOOKUP(D791,Cardápio!$A$2:$C$16,3,0))*E791)+IF(B791="iFood",F791*0.27,(VLOOKUP(VENDAS!C791,Bairros!$A$2:$B$90,2,0))))</f>
        <v/>
      </c>
      <c r="J791" s="7" t="str">
        <f t="shared" si="49"/>
        <v/>
      </c>
      <c r="K791" s="9">
        <f t="shared" ca="1" si="50"/>
        <v>45404.878290046297</v>
      </c>
      <c r="L791" s="10">
        <f t="shared" ca="1" si="51"/>
        <v>45404.878290046297</v>
      </c>
    </row>
    <row r="792" spans="6:12" x14ac:dyDescent="0.25">
      <c r="F792" s="11" t="str">
        <f>IF(ISBLANK(D792),"",(VLOOKUP(D792,Cardápio!$A$2:$B$16,2,0))*E792)</f>
        <v/>
      </c>
      <c r="H792" s="7" t="str">
        <f t="shared" si="48"/>
        <v/>
      </c>
      <c r="I792" s="7" t="str">
        <f>IF(AND(ISBLANK(D792),ISBLANK(C792)),"",((VLOOKUP(D792,Cardápio!$A$2:$C$16,3,0))*E792)+IF(B792="iFood",F792*0.27,(VLOOKUP(VENDAS!C792,Bairros!$A$2:$B$90,2,0))))</f>
        <v/>
      </c>
      <c r="J792" s="7" t="str">
        <f t="shared" si="49"/>
        <v/>
      </c>
      <c r="K792" s="9">
        <f t="shared" ca="1" si="50"/>
        <v>45404.878290046297</v>
      </c>
      <c r="L792" s="10">
        <f t="shared" ca="1" si="51"/>
        <v>45404.878290046297</v>
      </c>
    </row>
    <row r="793" spans="6:12" x14ac:dyDescent="0.25">
      <c r="F793" s="11" t="str">
        <f>IF(ISBLANK(D793),"",(VLOOKUP(D793,Cardápio!$A$2:$B$16,2,0))*E793)</f>
        <v/>
      </c>
      <c r="H793" s="7" t="str">
        <f t="shared" si="48"/>
        <v/>
      </c>
      <c r="I793" s="7" t="str">
        <f>IF(AND(ISBLANK(D793),ISBLANK(C793)),"",((VLOOKUP(D793,Cardápio!$A$2:$C$16,3,0))*E793)+IF(B793="iFood",F793*0.27,(VLOOKUP(VENDAS!C793,Bairros!$A$2:$B$90,2,0))))</f>
        <v/>
      </c>
      <c r="J793" s="7" t="str">
        <f t="shared" si="49"/>
        <v/>
      </c>
      <c r="K793" s="9">
        <f t="shared" ca="1" si="50"/>
        <v>45404.878290162036</v>
      </c>
      <c r="L793" s="10">
        <f t="shared" ca="1" si="51"/>
        <v>45404.878290046297</v>
      </c>
    </row>
    <row r="794" spans="6:12" x14ac:dyDescent="0.25">
      <c r="F794" s="11" t="str">
        <f>IF(ISBLANK(D794),"",(VLOOKUP(D794,Cardápio!$A$2:$B$16,2,0))*E794)</f>
        <v/>
      </c>
      <c r="H794" s="7" t="str">
        <f t="shared" si="48"/>
        <v/>
      </c>
      <c r="I794" s="7" t="str">
        <f>IF(AND(ISBLANK(D794),ISBLANK(C794)),"",((VLOOKUP(D794,Cardápio!$A$2:$C$16,3,0))*E794)+IF(B794="iFood",F794*0.27,(VLOOKUP(VENDAS!C794,Bairros!$A$2:$B$90,2,0))))</f>
        <v/>
      </c>
      <c r="J794" s="7" t="str">
        <f t="shared" si="49"/>
        <v/>
      </c>
      <c r="K794" s="9">
        <f t="shared" ca="1" si="50"/>
        <v>45404.878290162036</v>
      </c>
      <c r="L794" s="10">
        <f t="shared" ca="1" si="51"/>
        <v>45404.878290046297</v>
      </c>
    </row>
    <row r="795" spans="6:12" x14ac:dyDescent="0.25">
      <c r="F795" s="11" t="str">
        <f>IF(ISBLANK(D795),"",(VLOOKUP(D795,Cardápio!$A$2:$B$16,2,0))*E795)</f>
        <v/>
      </c>
      <c r="H795" s="7" t="str">
        <f t="shared" si="48"/>
        <v/>
      </c>
      <c r="I795" s="7" t="str">
        <f>IF(AND(ISBLANK(D795),ISBLANK(C795)),"",((VLOOKUP(D795,Cardápio!$A$2:$C$16,3,0))*E795)+IF(B795="iFood",F795*0.27,(VLOOKUP(VENDAS!C795,Bairros!$A$2:$B$90,2,0))))</f>
        <v/>
      </c>
      <c r="J795" s="7" t="str">
        <f t="shared" si="49"/>
        <v/>
      </c>
      <c r="K795" s="9">
        <f t="shared" ca="1" si="50"/>
        <v>45404.878290046297</v>
      </c>
      <c r="L795" s="10">
        <f t="shared" ca="1" si="51"/>
        <v>45404.878290046297</v>
      </c>
    </row>
    <row r="796" spans="6:12" x14ac:dyDescent="0.25">
      <c r="F796" s="11" t="str">
        <f>IF(ISBLANK(D796),"",(VLOOKUP(D796,Cardápio!$A$2:$B$16,2,0))*E796)</f>
        <v/>
      </c>
      <c r="H796" s="7" t="str">
        <f t="shared" si="48"/>
        <v/>
      </c>
      <c r="I796" s="7" t="str">
        <f>IF(AND(ISBLANK(D796),ISBLANK(C796)),"",((VLOOKUP(D796,Cardápio!$A$2:$C$16,3,0))*E796)+IF(B796="iFood",F796*0.27,(VLOOKUP(VENDAS!C796,Bairros!$A$2:$B$90,2,0))))</f>
        <v/>
      </c>
      <c r="J796" s="7" t="str">
        <f t="shared" si="49"/>
        <v/>
      </c>
      <c r="K796" s="9">
        <f t="shared" ca="1" si="50"/>
        <v>45404.878290046297</v>
      </c>
      <c r="L796" s="10">
        <f t="shared" ca="1" si="51"/>
        <v>45404.878290046297</v>
      </c>
    </row>
    <row r="797" spans="6:12" x14ac:dyDescent="0.25">
      <c r="F797" s="11" t="str">
        <f>IF(ISBLANK(D797),"",(VLOOKUP(D797,Cardápio!$A$2:$B$16,2,0))*E797)</f>
        <v/>
      </c>
      <c r="H797" s="7" t="str">
        <f t="shared" si="48"/>
        <v/>
      </c>
      <c r="I797" s="7" t="str">
        <f>IF(AND(ISBLANK(D797),ISBLANK(C797)),"",((VLOOKUP(D797,Cardápio!$A$2:$C$16,3,0))*E797)+IF(B797="iFood",F797*0.27,(VLOOKUP(VENDAS!C797,Bairros!$A$2:$B$90,2,0))))</f>
        <v/>
      </c>
      <c r="J797" s="7" t="str">
        <f t="shared" si="49"/>
        <v/>
      </c>
      <c r="K797" s="9">
        <f t="shared" ca="1" si="50"/>
        <v>45404.878290162036</v>
      </c>
      <c r="L797" s="10">
        <f t="shared" ca="1" si="51"/>
        <v>45404.878290046297</v>
      </c>
    </row>
    <row r="798" spans="6:12" x14ac:dyDescent="0.25">
      <c r="F798" s="11" t="str">
        <f>IF(ISBLANK(D798),"",(VLOOKUP(D798,Cardápio!$A$2:$B$16,2,0))*E798)</f>
        <v/>
      </c>
      <c r="H798" s="7" t="str">
        <f t="shared" si="48"/>
        <v/>
      </c>
      <c r="I798" s="7" t="str">
        <f>IF(AND(ISBLANK(D798),ISBLANK(C798)),"",((VLOOKUP(D798,Cardápio!$A$2:$C$16,3,0))*E798)+IF(B798="iFood",F798*0.27,(VLOOKUP(VENDAS!C798,Bairros!$A$2:$B$90,2,0))))</f>
        <v/>
      </c>
      <c r="J798" s="7" t="str">
        <f t="shared" si="49"/>
        <v/>
      </c>
      <c r="K798" s="9">
        <f t="shared" ca="1" si="50"/>
        <v>45404.878290162036</v>
      </c>
      <c r="L798" s="10">
        <f t="shared" ca="1" si="51"/>
        <v>45404.878290046297</v>
      </c>
    </row>
    <row r="799" spans="6:12" x14ac:dyDescent="0.25">
      <c r="F799" s="11" t="str">
        <f>IF(ISBLANK(D799),"",(VLOOKUP(D799,Cardápio!$A$2:$B$16,2,0))*E799)</f>
        <v/>
      </c>
      <c r="H799" s="7" t="str">
        <f t="shared" si="48"/>
        <v/>
      </c>
      <c r="I799" s="7" t="str">
        <f>IF(AND(ISBLANK(D799),ISBLANK(C799)),"",((VLOOKUP(D799,Cardápio!$A$2:$C$16,3,0))*E799)+IF(B799="iFood",F799*0.27,(VLOOKUP(VENDAS!C799,Bairros!$A$2:$B$90,2,0))))</f>
        <v/>
      </c>
      <c r="J799" s="7" t="str">
        <f t="shared" si="49"/>
        <v/>
      </c>
      <c r="K799" s="9">
        <f t="shared" ca="1" si="50"/>
        <v>45404.878290046297</v>
      </c>
      <c r="L799" s="10">
        <f t="shared" ca="1" si="51"/>
        <v>45404.878290046297</v>
      </c>
    </row>
    <row r="800" spans="6:12" x14ac:dyDescent="0.25">
      <c r="F800" s="11" t="str">
        <f>IF(ISBLANK(D800),"",(VLOOKUP(D800,Cardápio!$A$2:$B$16,2,0))*E800)</f>
        <v/>
      </c>
      <c r="H800" s="7" t="str">
        <f t="shared" si="48"/>
        <v/>
      </c>
      <c r="I800" s="7" t="str">
        <f>IF(AND(ISBLANK(D800),ISBLANK(C800)),"",((VLOOKUP(D800,Cardápio!$A$2:$C$16,3,0))*E800)+IF(B800="iFood",F800*0.27,(VLOOKUP(VENDAS!C800,Bairros!$A$2:$B$90,2,0))))</f>
        <v/>
      </c>
      <c r="J800" s="7" t="str">
        <f t="shared" si="49"/>
        <v/>
      </c>
      <c r="K800" s="9">
        <f t="shared" ca="1" si="50"/>
        <v>45404.878290046297</v>
      </c>
      <c r="L800" s="10">
        <f t="shared" ca="1" si="51"/>
        <v>45404.878290046297</v>
      </c>
    </row>
    <row r="801" spans="6:12" x14ac:dyDescent="0.25">
      <c r="F801" s="11" t="str">
        <f>IF(ISBLANK(D801),"",(VLOOKUP(D801,Cardápio!$A$2:$B$16,2,0))*E801)</f>
        <v/>
      </c>
      <c r="H801" s="7" t="str">
        <f t="shared" si="48"/>
        <v/>
      </c>
      <c r="I801" s="7" t="str">
        <f>IF(AND(ISBLANK(D801),ISBLANK(C801)),"",((VLOOKUP(D801,Cardápio!$A$2:$C$16,3,0))*E801)+IF(B801="iFood",F801*0.27,(VLOOKUP(VENDAS!C801,Bairros!$A$2:$B$90,2,0))))</f>
        <v/>
      </c>
      <c r="J801" s="7" t="str">
        <f t="shared" si="49"/>
        <v/>
      </c>
      <c r="K801" s="9">
        <f t="shared" ca="1" si="50"/>
        <v>45404.878290162036</v>
      </c>
      <c r="L801" s="10">
        <f t="shared" ca="1" si="51"/>
        <v>45404.878290046297</v>
      </c>
    </row>
    <row r="802" spans="6:12" x14ac:dyDescent="0.25">
      <c r="F802" s="11" t="str">
        <f>IF(ISBLANK(D802),"",(VLOOKUP(D802,Cardápio!$A$2:$B$16,2,0))*E802)</f>
        <v/>
      </c>
      <c r="H802" s="7" t="str">
        <f t="shared" si="48"/>
        <v/>
      </c>
      <c r="I802" s="7" t="str">
        <f>IF(AND(ISBLANK(D802),ISBLANK(C802)),"",((VLOOKUP(D802,Cardápio!$A$2:$C$16,3,0))*E802)+IF(B802="iFood",F802*0.27,(VLOOKUP(VENDAS!C802,Bairros!$A$2:$B$90,2,0))))</f>
        <v/>
      </c>
      <c r="J802" s="7" t="str">
        <f t="shared" si="49"/>
        <v/>
      </c>
      <c r="K802" s="9">
        <f t="shared" ca="1" si="50"/>
        <v>45404.878290162036</v>
      </c>
      <c r="L802" s="10">
        <f t="shared" ca="1" si="51"/>
        <v>45404.878290046297</v>
      </c>
    </row>
    <row r="803" spans="6:12" x14ac:dyDescent="0.25">
      <c r="F803" s="11" t="str">
        <f>IF(ISBLANK(D803),"",(VLOOKUP(D803,Cardápio!$A$2:$B$16,2,0))*E803)</f>
        <v/>
      </c>
      <c r="H803" s="7" t="str">
        <f t="shared" si="48"/>
        <v/>
      </c>
      <c r="I803" s="7" t="str">
        <f>IF(AND(ISBLANK(D803),ISBLANK(C803)),"",((VLOOKUP(D803,Cardápio!$A$2:$C$16,3,0))*E803)+IF(B803="iFood",F803*0.27,(VLOOKUP(VENDAS!C803,Bairros!$A$2:$B$90,2,0))))</f>
        <v/>
      </c>
      <c r="J803" s="7" t="str">
        <f t="shared" si="49"/>
        <v/>
      </c>
      <c r="K803" s="9">
        <f t="shared" ca="1" si="50"/>
        <v>45404.878290046297</v>
      </c>
      <c r="L803" s="10">
        <f t="shared" ca="1" si="51"/>
        <v>45404.878290046297</v>
      </c>
    </row>
    <row r="804" spans="6:12" x14ac:dyDescent="0.25">
      <c r="F804" s="11" t="str">
        <f>IF(ISBLANK(D804),"",(VLOOKUP(D804,Cardápio!$A$2:$B$16,2,0))*E804)</f>
        <v/>
      </c>
      <c r="H804" s="7" t="str">
        <f t="shared" si="48"/>
        <v/>
      </c>
      <c r="I804" s="7" t="str">
        <f>IF(AND(ISBLANK(D804),ISBLANK(C804)),"",((VLOOKUP(D804,Cardápio!$A$2:$C$16,3,0))*E804)+IF(B804="iFood",F804*0.27,(VLOOKUP(VENDAS!C804,Bairros!$A$2:$B$90,2,0))))</f>
        <v/>
      </c>
      <c r="J804" s="7" t="str">
        <f t="shared" si="49"/>
        <v/>
      </c>
      <c r="K804" s="9">
        <f t="shared" ca="1" si="50"/>
        <v>45404.878290046297</v>
      </c>
      <c r="L804" s="10">
        <f t="shared" ca="1" si="51"/>
        <v>45404.878290046297</v>
      </c>
    </row>
    <row r="805" spans="6:12" x14ac:dyDescent="0.25">
      <c r="F805" s="11" t="str">
        <f>IF(ISBLANK(D805),"",(VLOOKUP(D805,Cardápio!$A$2:$B$16,2,0))*E805)</f>
        <v/>
      </c>
      <c r="H805" s="7" t="str">
        <f t="shared" si="48"/>
        <v/>
      </c>
      <c r="I805" s="7" t="str">
        <f>IF(AND(ISBLANK(D805),ISBLANK(C805)),"",((VLOOKUP(D805,Cardápio!$A$2:$C$16,3,0))*E805)+IF(B805="iFood",F805*0.27,(VLOOKUP(VENDAS!C805,Bairros!$A$2:$B$90,2,0))))</f>
        <v/>
      </c>
      <c r="J805" s="7" t="str">
        <f t="shared" si="49"/>
        <v/>
      </c>
      <c r="K805" s="9">
        <f t="shared" ca="1" si="50"/>
        <v>45404.878290162036</v>
      </c>
      <c r="L805" s="10">
        <f t="shared" ca="1" si="51"/>
        <v>45404.878290046297</v>
      </c>
    </row>
    <row r="806" spans="6:12" x14ac:dyDescent="0.25">
      <c r="F806" s="11" t="str">
        <f>IF(ISBLANK(D806),"",(VLOOKUP(D806,Cardápio!$A$2:$B$16,2,0))*E806)</f>
        <v/>
      </c>
      <c r="H806" s="7" t="str">
        <f t="shared" si="48"/>
        <v/>
      </c>
      <c r="I806" s="7" t="str">
        <f>IF(AND(ISBLANK(D806),ISBLANK(C806)),"",((VLOOKUP(D806,Cardápio!$A$2:$C$16,3,0))*E806)+IF(B806="iFood",F806*0.27,(VLOOKUP(VENDAS!C806,Bairros!$A$2:$B$90,2,0))))</f>
        <v/>
      </c>
      <c r="J806" s="7" t="str">
        <f t="shared" si="49"/>
        <v/>
      </c>
      <c r="K806" s="9">
        <f t="shared" ca="1" si="50"/>
        <v>45404.878290162036</v>
      </c>
      <c r="L806" s="10">
        <f t="shared" ca="1" si="51"/>
        <v>45404.878290046297</v>
      </c>
    </row>
    <row r="807" spans="6:12" x14ac:dyDescent="0.25">
      <c r="F807" s="11" t="str">
        <f>IF(ISBLANK(D807),"",(VLOOKUP(D807,Cardápio!$A$2:$B$16,2,0))*E807)</f>
        <v/>
      </c>
      <c r="H807" s="7" t="str">
        <f t="shared" si="48"/>
        <v/>
      </c>
      <c r="I807" s="7" t="str">
        <f>IF(AND(ISBLANK(D807),ISBLANK(C807)),"",((VLOOKUP(D807,Cardápio!$A$2:$C$16,3,0))*E807)+IF(B807="iFood",F807*0.27,(VLOOKUP(VENDAS!C807,Bairros!$A$2:$B$90,2,0))))</f>
        <v/>
      </c>
      <c r="J807" s="7" t="str">
        <f t="shared" si="49"/>
        <v/>
      </c>
      <c r="K807" s="9">
        <f t="shared" ca="1" si="50"/>
        <v>45404.878290046297</v>
      </c>
      <c r="L807" s="10">
        <f t="shared" ca="1" si="51"/>
        <v>45404.878290046297</v>
      </c>
    </row>
    <row r="808" spans="6:12" x14ac:dyDescent="0.25">
      <c r="F808" s="11" t="str">
        <f>IF(ISBLANK(D808),"",(VLOOKUP(D808,Cardápio!$A$2:$B$16,2,0))*E808)</f>
        <v/>
      </c>
      <c r="H808" s="7" t="str">
        <f t="shared" si="48"/>
        <v/>
      </c>
      <c r="I808" s="7" t="str">
        <f>IF(AND(ISBLANK(D808),ISBLANK(C808)),"",((VLOOKUP(D808,Cardápio!$A$2:$C$16,3,0))*E808)+IF(B808="iFood",F808*0.27,(VLOOKUP(VENDAS!C808,Bairros!$A$2:$B$90,2,0))))</f>
        <v/>
      </c>
      <c r="J808" s="7" t="str">
        <f t="shared" si="49"/>
        <v/>
      </c>
      <c r="K808" s="9">
        <f t="shared" ca="1" si="50"/>
        <v>45404.878290046297</v>
      </c>
      <c r="L808" s="10">
        <f t="shared" ca="1" si="51"/>
        <v>45404.878290046297</v>
      </c>
    </row>
    <row r="809" spans="6:12" x14ac:dyDescent="0.25">
      <c r="F809" s="11" t="str">
        <f>IF(ISBLANK(D809),"",(VLOOKUP(D809,Cardápio!$A$2:$B$16,2,0))*E809)</f>
        <v/>
      </c>
      <c r="H809" s="7" t="str">
        <f t="shared" si="48"/>
        <v/>
      </c>
      <c r="I809" s="7" t="str">
        <f>IF(AND(ISBLANK(D809),ISBLANK(C809)),"",((VLOOKUP(D809,Cardápio!$A$2:$C$16,3,0))*E809)+IF(B809="iFood",F809*0.27,(VLOOKUP(VENDAS!C809,Bairros!$A$2:$B$90,2,0))))</f>
        <v/>
      </c>
      <c r="J809" s="7" t="str">
        <f t="shared" si="49"/>
        <v/>
      </c>
      <c r="K809" s="9">
        <f t="shared" ca="1" si="50"/>
        <v>45404.878290162036</v>
      </c>
      <c r="L809" s="10">
        <f t="shared" ca="1" si="51"/>
        <v>45404.878290046297</v>
      </c>
    </row>
    <row r="810" spans="6:12" x14ac:dyDescent="0.25">
      <c r="F810" s="11" t="str">
        <f>IF(ISBLANK(D810),"",(VLOOKUP(D810,Cardápio!$A$2:$B$16,2,0))*E810)</f>
        <v/>
      </c>
      <c r="H810" s="7" t="str">
        <f t="shared" si="48"/>
        <v/>
      </c>
      <c r="I810" s="7" t="str">
        <f>IF(AND(ISBLANK(D810),ISBLANK(C810)),"",((VLOOKUP(D810,Cardápio!$A$2:$C$16,3,0))*E810)+IF(B810="iFood",F810*0.27,(VLOOKUP(VENDAS!C810,Bairros!$A$2:$B$90,2,0))))</f>
        <v/>
      </c>
      <c r="J810" s="7" t="str">
        <f t="shared" si="49"/>
        <v/>
      </c>
      <c r="K810" s="9">
        <f t="shared" ca="1" si="50"/>
        <v>45404.878290162036</v>
      </c>
      <c r="L810" s="10">
        <f t="shared" ca="1" si="51"/>
        <v>45404.878290046297</v>
      </c>
    </row>
    <row r="811" spans="6:12" x14ac:dyDescent="0.25">
      <c r="F811" s="11" t="str">
        <f>IF(ISBLANK(D811),"",(VLOOKUP(D811,Cardápio!$A$2:$B$16,2,0))*E811)</f>
        <v/>
      </c>
      <c r="H811" s="7" t="str">
        <f t="shared" si="48"/>
        <v/>
      </c>
      <c r="I811" s="7" t="str">
        <f>IF(AND(ISBLANK(D811),ISBLANK(C811)),"",((VLOOKUP(D811,Cardápio!$A$2:$C$16,3,0))*E811)+IF(B811="iFood",F811*0.27,(VLOOKUP(VENDAS!C811,Bairros!$A$2:$B$90,2,0))))</f>
        <v/>
      </c>
      <c r="J811" s="7" t="str">
        <f t="shared" si="49"/>
        <v/>
      </c>
      <c r="K811" s="9">
        <f t="shared" ca="1" si="50"/>
        <v>45404.878290046297</v>
      </c>
      <c r="L811" s="10">
        <f t="shared" ca="1" si="51"/>
        <v>45404.878290046297</v>
      </c>
    </row>
    <row r="812" spans="6:12" x14ac:dyDescent="0.25">
      <c r="F812" s="11" t="str">
        <f>IF(ISBLANK(D812),"",(VLOOKUP(D812,Cardápio!$A$2:$B$16,2,0))*E812)</f>
        <v/>
      </c>
      <c r="H812" s="7" t="str">
        <f t="shared" si="48"/>
        <v/>
      </c>
      <c r="I812" s="7" t="str">
        <f>IF(AND(ISBLANK(D812),ISBLANK(C812)),"",((VLOOKUP(D812,Cardápio!$A$2:$C$16,3,0))*E812)+IF(B812="iFood",F812*0.27,(VLOOKUP(VENDAS!C812,Bairros!$A$2:$B$90,2,0))))</f>
        <v/>
      </c>
      <c r="J812" s="7" t="str">
        <f t="shared" si="49"/>
        <v/>
      </c>
      <c r="K812" s="9">
        <f t="shared" ca="1" si="50"/>
        <v>45404.878290046297</v>
      </c>
      <c r="L812" s="10">
        <f t="shared" ca="1" si="51"/>
        <v>45404.878290046297</v>
      </c>
    </row>
    <row r="813" spans="6:12" x14ac:dyDescent="0.25">
      <c r="F813" s="11" t="str">
        <f>IF(ISBLANK(D813),"",(VLOOKUP(D813,Cardápio!$A$2:$B$16,2,0))*E813)</f>
        <v/>
      </c>
      <c r="H813" s="7" t="str">
        <f t="shared" si="48"/>
        <v/>
      </c>
      <c r="I813" s="7" t="str">
        <f>IF(AND(ISBLANK(D813),ISBLANK(C813)),"",((VLOOKUP(D813,Cardápio!$A$2:$C$16,3,0))*E813)+IF(B813="iFood",F813*0.27,(VLOOKUP(VENDAS!C813,Bairros!$A$2:$B$90,2,0))))</f>
        <v/>
      </c>
      <c r="J813" s="7" t="str">
        <f t="shared" si="49"/>
        <v/>
      </c>
      <c r="K813" s="9">
        <f t="shared" ca="1" si="50"/>
        <v>45404.878290162036</v>
      </c>
      <c r="L813" s="10">
        <f t="shared" ca="1" si="51"/>
        <v>45404.878290046297</v>
      </c>
    </row>
    <row r="814" spans="6:12" x14ac:dyDescent="0.25">
      <c r="F814" s="11" t="str">
        <f>IF(ISBLANK(D814),"",(VLOOKUP(D814,Cardápio!$A$2:$B$16,2,0))*E814)</f>
        <v/>
      </c>
      <c r="H814" s="7" t="str">
        <f t="shared" si="48"/>
        <v/>
      </c>
      <c r="I814" s="7" t="str">
        <f>IF(AND(ISBLANK(D814),ISBLANK(C814)),"",((VLOOKUP(D814,Cardápio!$A$2:$C$16,3,0))*E814)+IF(B814="iFood",F814*0.27,(VLOOKUP(VENDAS!C814,Bairros!$A$2:$B$90,2,0))))</f>
        <v/>
      </c>
      <c r="J814" s="7" t="str">
        <f t="shared" si="49"/>
        <v/>
      </c>
      <c r="K814" s="9">
        <f t="shared" ca="1" si="50"/>
        <v>45404.878290162036</v>
      </c>
      <c r="L814" s="10">
        <f t="shared" ca="1" si="51"/>
        <v>45404.878290046297</v>
      </c>
    </row>
    <row r="815" spans="6:12" x14ac:dyDescent="0.25">
      <c r="F815" s="11" t="str">
        <f>IF(ISBLANK(D815),"",(VLOOKUP(D815,Cardápio!$A$2:$B$16,2,0))*E815)</f>
        <v/>
      </c>
      <c r="H815" s="7" t="str">
        <f t="shared" si="48"/>
        <v/>
      </c>
      <c r="I815" s="7" t="str">
        <f>IF(AND(ISBLANK(D815),ISBLANK(C815)),"",((VLOOKUP(D815,Cardápio!$A$2:$C$16,3,0))*E815)+IF(B815="iFood",F815*0.27,(VLOOKUP(VENDAS!C815,Bairros!$A$2:$B$90,2,0))))</f>
        <v/>
      </c>
      <c r="J815" s="7" t="str">
        <f t="shared" si="49"/>
        <v/>
      </c>
      <c r="K815" s="9">
        <f t="shared" ca="1" si="50"/>
        <v>45404.878290046297</v>
      </c>
      <c r="L815" s="10">
        <f t="shared" ca="1" si="51"/>
        <v>45404.878290046297</v>
      </c>
    </row>
    <row r="816" spans="6:12" x14ac:dyDescent="0.25">
      <c r="F816" s="11" t="str">
        <f>IF(ISBLANK(D816),"",(VLOOKUP(D816,Cardápio!$A$2:$B$16,2,0))*E816)</f>
        <v/>
      </c>
      <c r="H816" s="7" t="str">
        <f t="shared" si="48"/>
        <v/>
      </c>
      <c r="I816" s="7" t="str">
        <f>IF(AND(ISBLANK(D816),ISBLANK(C816)),"",((VLOOKUP(D816,Cardápio!$A$2:$C$16,3,0))*E816)+IF(B816="iFood",F816*0.27,(VLOOKUP(VENDAS!C816,Bairros!$A$2:$B$90,2,0))))</f>
        <v/>
      </c>
      <c r="J816" s="7" t="str">
        <f t="shared" si="49"/>
        <v/>
      </c>
      <c r="K816" s="9">
        <f t="shared" ca="1" si="50"/>
        <v>45404.878290046297</v>
      </c>
      <c r="L816" s="10">
        <f t="shared" ca="1" si="51"/>
        <v>45404.878290046297</v>
      </c>
    </row>
    <row r="817" spans="6:12" x14ac:dyDescent="0.25">
      <c r="F817" s="11" t="str">
        <f>IF(ISBLANK(D817),"",(VLOOKUP(D817,Cardápio!$A$2:$B$16,2,0))*E817)</f>
        <v/>
      </c>
      <c r="H817" s="7" t="str">
        <f t="shared" si="48"/>
        <v/>
      </c>
      <c r="I817" s="7" t="str">
        <f>IF(AND(ISBLANK(D817),ISBLANK(C817)),"",((VLOOKUP(D817,Cardápio!$A$2:$C$16,3,0))*E817)+IF(B817="iFood",F817*0.27,(VLOOKUP(VENDAS!C817,Bairros!$A$2:$B$90,2,0))))</f>
        <v/>
      </c>
      <c r="J817" s="7" t="str">
        <f t="shared" si="49"/>
        <v/>
      </c>
      <c r="K817" s="9">
        <f t="shared" ca="1" si="50"/>
        <v>45404.878290162036</v>
      </c>
      <c r="L817" s="10">
        <f t="shared" ca="1" si="51"/>
        <v>45404.878290046297</v>
      </c>
    </row>
    <row r="818" spans="6:12" x14ac:dyDescent="0.25">
      <c r="F818" s="11" t="str">
        <f>IF(ISBLANK(D818),"",(VLOOKUP(D818,Cardápio!$A$2:$B$16,2,0))*E818)</f>
        <v/>
      </c>
      <c r="H818" s="7" t="str">
        <f t="shared" si="48"/>
        <v/>
      </c>
      <c r="I818" s="7" t="str">
        <f>IF(AND(ISBLANK(D818),ISBLANK(C818)),"",((VLOOKUP(D818,Cardápio!$A$2:$C$16,3,0))*E818)+IF(B818="iFood",F818*0.27,(VLOOKUP(VENDAS!C818,Bairros!$A$2:$B$90,2,0))))</f>
        <v/>
      </c>
      <c r="J818" s="7" t="str">
        <f t="shared" si="49"/>
        <v/>
      </c>
      <c r="K818" s="9">
        <f t="shared" ca="1" si="50"/>
        <v>45404.878290162036</v>
      </c>
      <c r="L818" s="10">
        <f t="shared" ca="1" si="51"/>
        <v>45404.878290046297</v>
      </c>
    </row>
    <row r="819" spans="6:12" x14ac:dyDescent="0.25">
      <c r="F819" s="11" t="str">
        <f>IF(ISBLANK(D819),"",(VLOOKUP(D819,Cardápio!$A$2:$B$16,2,0))*E819)</f>
        <v/>
      </c>
      <c r="H819" s="7" t="str">
        <f t="shared" si="48"/>
        <v/>
      </c>
      <c r="I819" s="7" t="str">
        <f>IF(AND(ISBLANK(D819),ISBLANK(C819)),"",((VLOOKUP(D819,Cardápio!$A$2:$C$16,3,0))*E819)+IF(B819="iFood",F819*0.27,(VLOOKUP(VENDAS!C819,Bairros!$A$2:$B$90,2,0))))</f>
        <v/>
      </c>
      <c r="J819" s="7" t="str">
        <f t="shared" si="49"/>
        <v/>
      </c>
      <c r="K819" s="9">
        <f t="shared" ca="1" si="50"/>
        <v>45404.878290046297</v>
      </c>
      <c r="L819" s="10">
        <f t="shared" ca="1" si="51"/>
        <v>45404.878290046297</v>
      </c>
    </row>
    <row r="820" spans="6:12" x14ac:dyDescent="0.25">
      <c r="F820" s="11" t="str">
        <f>IF(ISBLANK(D820),"",(VLOOKUP(D820,Cardápio!$A$2:$B$16,2,0))*E820)</f>
        <v/>
      </c>
      <c r="H820" s="7" t="str">
        <f t="shared" si="48"/>
        <v/>
      </c>
      <c r="I820" s="7" t="str">
        <f>IF(AND(ISBLANK(D820),ISBLANK(C820)),"",((VLOOKUP(D820,Cardápio!$A$2:$C$16,3,0))*E820)+IF(B820="iFood",F820*0.27,(VLOOKUP(VENDAS!C820,Bairros!$A$2:$B$90,2,0))))</f>
        <v/>
      </c>
      <c r="J820" s="7" t="str">
        <f t="shared" si="49"/>
        <v/>
      </c>
      <c r="K820" s="9">
        <f t="shared" ca="1" si="50"/>
        <v>45404.878290046297</v>
      </c>
      <c r="L820" s="10">
        <f t="shared" ca="1" si="51"/>
        <v>45404.878290046297</v>
      </c>
    </row>
    <row r="821" spans="6:12" x14ac:dyDescent="0.25">
      <c r="F821" s="11" t="str">
        <f>IF(ISBLANK(D821),"",(VLOOKUP(D821,Cardápio!$A$2:$B$16,2,0))*E821)</f>
        <v/>
      </c>
      <c r="H821" s="7" t="str">
        <f t="shared" ref="H821:H884" si="52">IF(ISBLANK(D821),"",F821-G821)</f>
        <v/>
      </c>
      <c r="I821" s="7" t="str">
        <f>IF(AND(ISBLANK(D821),ISBLANK(C821)),"",((VLOOKUP(D821,Cardápio!$A$2:$C$16,3,0))*E821)+IF(B821="iFood",F821*0.27,(VLOOKUP(VENDAS!C821,Bairros!$A$2:$B$90,2,0))))</f>
        <v/>
      </c>
      <c r="J821" s="7" t="str">
        <f t="shared" ref="J821:J884" si="53">IF(OR(AND(ISBLANK(H821),ISBLANK(I821)),(AND(H821="",I821=""))),"",H821-I821)</f>
        <v/>
      </c>
      <c r="K821" s="9">
        <f t="shared" ref="K821:K884" ca="1" si="54">IF(D821&lt;&gt;"",K821,NOW())</f>
        <v>45404.878290162036</v>
      </c>
      <c r="L821" s="10">
        <f t="shared" ref="L821:L884" ca="1" si="55">IF(D821&lt;&gt;"",L821,NOW())</f>
        <v>45404.878290046297</v>
      </c>
    </row>
    <row r="822" spans="6:12" x14ac:dyDescent="0.25">
      <c r="F822" s="11" t="str">
        <f>IF(ISBLANK(D822),"",(VLOOKUP(D822,Cardápio!$A$2:$B$16,2,0))*E822)</f>
        <v/>
      </c>
      <c r="H822" s="7" t="str">
        <f t="shared" si="52"/>
        <v/>
      </c>
      <c r="I822" s="7" t="str">
        <f>IF(AND(ISBLANK(D822),ISBLANK(C822)),"",((VLOOKUP(D822,Cardápio!$A$2:$C$16,3,0))*E822)+IF(B822="iFood",F822*0.27,(VLOOKUP(VENDAS!C822,Bairros!$A$2:$B$90,2,0))))</f>
        <v/>
      </c>
      <c r="J822" s="7" t="str">
        <f t="shared" si="53"/>
        <v/>
      </c>
      <c r="K822" s="9">
        <f t="shared" ca="1" si="54"/>
        <v>45404.878290162036</v>
      </c>
      <c r="L822" s="10">
        <f t="shared" ca="1" si="55"/>
        <v>45404.878290046297</v>
      </c>
    </row>
    <row r="823" spans="6:12" x14ac:dyDescent="0.25">
      <c r="F823" s="11" t="str">
        <f>IF(ISBLANK(D823),"",(VLOOKUP(D823,Cardápio!$A$2:$B$16,2,0))*E823)</f>
        <v/>
      </c>
      <c r="H823" s="7" t="str">
        <f t="shared" si="52"/>
        <v/>
      </c>
      <c r="I823" s="7" t="str">
        <f>IF(AND(ISBLANK(D823),ISBLANK(C823)),"",((VLOOKUP(D823,Cardápio!$A$2:$C$16,3,0))*E823)+IF(B823="iFood",F823*0.27,(VLOOKUP(VENDAS!C823,Bairros!$A$2:$B$90,2,0))))</f>
        <v/>
      </c>
      <c r="J823" s="7" t="str">
        <f t="shared" si="53"/>
        <v/>
      </c>
      <c r="K823" s="9">
        <f t="shared" ca="1" si="54"/>
        <v>45404.878290046297</v>
      </c>
      <c r="L823" s="10">
        <f t="shared" ca="1" si="55"/>
        <v>45404.878290046297</v>
      </c>
    </row>
    <row r="824" spans="6:12" x14ac:dyDescent="0.25">
      <c r="F824" s="11" t="str">
        <f>IF(ISBLANK(D824),"",(VLOOKUP(D824,Cardápio!$A$2:$B$16,2,0))*E824)</f>
        <v/>
      </c>
      <c r="H824" s="7" t="str">
        <f t="shared" si="52"/>
        <v/>
      </c>
      <c r="I824" s="7" t="str">
        <f>IF(AND(ISBLANK(D824),ISBLANK(C824)),"",((VLOOKUP(D824,Cardápio!$A$2:$C$16,3,0))*E824)+IF(B824="iFood",F824*0.27,(VLOOKUP(VENDAS!C824,Bairros!$A$2:$B$90,2,0))))</f>
        <v/>
      </c>
      <c r="J824" s="7" t="str">
        <f t="shared" si="53"/>
        <v/>
      </c>
      <c r="K824" s="9">
        <f t="shared" ca="1" si="54"/>
        <v>45404.878290046297</v>
      </c>
      <c r="L824" s="10">
        <f t="shared" ca="1" si="55"/>
        <v>45404.878290046297</v>
      </c>
    </row>
    <row r="825" spans="6:12" x14ac:dyDescent="0.25">
      <c r="F825" s="11" t="str">
        <f>IF(ISBLANK(D825),"",(VLOOKUP(D825,Cardápio!$A$2:$B$16,2,0))*E825)</f>
        <v/>
      </c>
      <c r="H825" s="7" t="str">
        <f t="shared" si="52"/>
        <v/>
      </c>
      <c r="I825" s="7" t="str">
        <f>IF(AND(ISBLANK(D825),ISBLANK(C825)),"",((VLOOKUP(D825,Cardápio!$A$2:$C$16,3,0))*E825)+IF(B825="iFood",F825*0.27,(VLOOKUP(VENDAS!C825,Bairros!$A$2:$B$90,2,0))))</f>
        <v/>
      </c>
      <c r="J825" s="7" t="str">
        <f t="shared" si="53"/>
        <v/>
      </c>
      <c r="K825" s="9">
        <f t="shared" ca="1" si="54"/>
        <v>45404.878290162036</v>
      </c>
      <c r="L825" s="10">
        <f t="shared" ca="1" si="55"/>
        <v>45404.878290046297</v>
      </c>
    </row>
    <row r="826" spans="6:12" x14ac:dyDescent="0.25">
      <c r="F826" s="11" t="str">
        <f>IF(ISBLANK(D826),"",(VLOOKUP(D826,Cardápio!$A$2:$B$16,2,0))*E826)</f>
        <v/>
      </c>
      <c r="H826" s="7" t="str">
        <f t="shared" si="52"/>
        <v/>
      </c>
      <c r="I826" s="7" t="str">
        <f>IF(AND(ISBLANK(D826),ISBLANK(C826)),"",((VLOOKUP(D826,Cardápio!$A$2:$C$16,3,0))*E826)+IF(B826="iFood",F826*0.27,(VLOOKUP(VENDAS!C826,Bairros!$A$2:$B$90,2,0))))</f>
        <v/>
      </c>
      <c r="J826" s="7" t="str">
        <f t="shared" si="53"/>
        <v/>
      </c>
      <c r="K826" s="9">
        <f t="shared" ca="1" si="54"/>
        <v>45404.878290162036</v>
      </c>
      <c r="L826" s="10">
        <f t="shared" ca="1" si="55"/>
        <v>45404.878290046297</v>
      </c>
    </row>
    <row r="827" spans="6:12" x14ac:dyDescent="0.25">
      <c r="F827" s="11" t="str">
        <f>IF(ISBLANK(D827),"",(VLOOKUP(D827,Cardápio!$A$2:$B$16,2,0))*E827)</f>
        <v/>
      </c>
      <c r="H827" s="7" t="str">
        <f t="shared" si="52"/>
        <v/>
      </c>
      <c r="I827" s="7" t="str">
        <f>IF(AND(ISBLANK(D827),ISBLANK(C827)),"",((VLOOKUP(D827,Cardápio!$A$2:$C$16,3,0))*E827)+IF(B827="iFood",F827*0.27,(VLOOKUP(VENDAS!C827,Bairros!$A$2:$B$90,2,0))))</f>
        <v/>
      </c>
      <c r="J827" s="7" t="str">
        <f t="shared" si="53"/>
        <v/>
      </c>
      <c r="K827" s="9">
        <f t="shared" ca="1" si="54"/>
        <v>45404.878290046297</v>
      </c>
      <c r="L827" s="10">
        <f t="shared" ca="1" si="55"/>
        <v>45404.878290046297</v>
      </c>
    </row>
    <row r="828" spans="6:12" x14ac:dyDescent="0.25">
      <c r="F828" s="11" t="str">
        <f>IF(ISBLANK(D828),"",(VLOOKUP(D828,Cardápio!$A$2:$B$16,2,0))*E828)</f>
        <v/>
      </c>
      <c r="H828" s="7" t="str">
        <f t="shared" si="52"/>
        <v/>
      </c>
      <c r="I828" s="7" t="str">
        <f>IF(AND(ISBLANK(D828),ISBLANK(C828)),"",((VLOOKUP(D828,Cardápio!$A$2:$C$16,3,0))*E828)+IF(B828="iFood",F828*0.27,(VLOOKUP(VENDAS!C828,Bairros!$A$2:$B$90,2,0))))</f>
        <v/>
      </c>
      <c r="J828" s="7" t="str">
        <f t="shared" si="53"/>
        <v/>
      </c>
      <c r="K828" s="9">
        <f t="shared" ca="1" si="54"/>
        <v>45404.878290046297</v>
      </c>
      <c r="L828" s="10">
        <f t="shared" ca="1" si="55"/>
        <v>45404.878290046297</v>
      </c>
    </row>
    <row r="829" spans="6:12" x14ac:dyDescent="0.25">
      <c r="F829" s="11" t="str">
        <f>IF(ISBLANK(D829),"",(VLOOKUP(D829,Cardápio!$A$2:$B$16,2,0))*E829)</f>
        <v/>
      </c>
      <c r="H829" s="7" t="str">
        <f t="shared" si="52"/>
        <v/>
      </c>
      <c r="I829" s="7" t="str">
        <f>IF(AND(ISBLANK(D829),ISBLANK(C829)),"",((VLOOKUP(D829,Cardápio!$A$2:$C$16,3,0))*E829)+IF(B829="iFood",F829*0.27,(VLOOKUP(VENDAS!C829,Bairros!$A$2:$B$90,2,0))))</f>
        <v/>
      </c>
      <c r="J829" s="7" t="str">
        <f t="shared" si="53"/>
        <v/>
      </c>
      <c r="K829" s="9">
        <f t="shared" ca="1" si="54"/>
        <v>45404.878290162036</v>
      </c>
      <c r="L829" s="10">
        <f t="shared" ca="1" si="55"/>
        <v>45404.878290046297</v>
      </c>
    </row>
    <row r="830" spans="6:12" x14ac:dyDescent="0.25">
      <c r="F830" s="11" t="str">
        <f>IF(ISBLANK(D830),"",(VLOOKUP(D830,Cardápio!$A$2:$B$16,2,0))*E830)</f>
        <v/>
      </c>
      <c r="H830" s="7" t="str">
        <f t="shared" si="52"/>
        <v/>
      </c>
      <c r="I830" s="7" t="str">
        <f>IF(AND(ISBLANK(D830),ISBLANK(C830)),"",((VLOOKUP(D830,Cardápio!$A$2:$C$16,3,0))*E830)+IF(B830="iFood",F830*0.27,(VLOOKUP(VENDAS!C830,Bairros!$A$2:$B$90,2,0))))</f>
        <v/>
      </c>
      <c r="J830" s="7" t="str">
        <f t="shared" si="53"/>
        <v/>
      </c>
      <c r="K830" s="9">
        <f t="shared" ca="1" si="54"/>
        <v>45404.878290162036</v>
      </c>
      <c r="L830" s="10">
        <f t="shared" ca="1" si="55"/>
        <v>45404.878290046297</v>
      </c>
    </row>
    <row r="831" spans="6:12" x14ac:dyDescent="0.25">
      <c r="F831" s="11" t="str">
        <f>IF(ISBLANK(D831),"",(VLOOKUP(D831,Cardápio!$A$2:$B$16,2,0))*E831)</f>
        <v/>
      </c>
      <c r="H831" s="7" t="str">
        <f t="shared" si="52"/>
        <v/>
      </c>
      <c r="I831" s="7" t="str">
        <f>IF(AND(ISBLANK(D831),ISBLANK(C831)),"",((VLOOKUP(D831,Cardápio!$A$2:$C$16,3,0))*E831)+IF(B831="iFood",F831*0.27,(VLOOKUP(VENDAS!C831,Bairros!$A$2:$B$90,2,0))))</f>
        <v/>
      </c>
      <c r="J831" s="7" t="str">
        <f t="shared" si="53"/>
        <v/>
      </c>
      <c r="K831" s="9">
        <f t="shared" ca="1" si="54"/>
        <v>45404.878290046297</v>
      </c>
      <c r="L831" s="10">
        <f t="shared" ca="1" si="55"/>
        <v>45404.878290046297</v>
      </c>
    </row>
    <row r="832" spans="6:12" x14ac:dyDescent="0.25">
      <c r="F832" s="11" t="str">
        <f>IF(ISBLANK(D832),"",(VLOOKUP(D832,Cardápio!$A$2:$B$16,2,0))*E832)</f>
        <v/>
      </c>
      <c r="H832" s="7" t="str">
        <f t="shared" si="52"/>
        <v/>
      </c>
      <c r="I832" s="7" t="str">
        <f>IF(AND(ISBLANK(D832),ISBLANK(C832)),"",((VLOOKUP(D832,Cardápio!$A$2:$C$16,3,0))*E832)+IF(B832="iFood",F832*0.27,(VLOOKUP(VENDAS!C832,Bairros!$A$2:$B$90,2,0))))</f>
        <v/>
      </c>
      <c r="J832" s="7" t="str">
        <f t="shared" si="53"/>
        <v/>
      </c>
      <c r="K832" s="9">
        <f t="shared" ca="1" si="54"/>
        <v>45404.878290046297</v>
      </c>
      <c r="L832" s="10">
        <f t="shared" ca="1" si="55"/>
        <v>45404.878290046297</v>
      </c>
    </row>
    <row r="833" spans="6:12" x14ac:dyDescent="0.25">
      <c r="F833" s="11" t="str">
        <f>IF(ISBLANK(D833),"",(VLOOKUP(D833,Cardápio!$A$2:$B$16,2,0))*E833)</f>
        <v/>
      </c>
      <c r="H833" s="7" t="str">
        <f t="shared" si="52"/>
        <v/>
      </c>
      <c r="I833" s="7" t="str">
        <f>IF(AND(ISBLANK(D833),ISBLANK(C833)),"",((VLOOKUP(D833,Cardápio!$A$2:$C$16,3,0))*E833)+IF(B833="iFood",F833*0.27,(VLOOKUP(VENDAS!C833,Bairros!$A$2:$B$90,2,0))))</f>
        <v/>
      </c>
      <c r="J833" s="7" t="str">
        <f t="shared" si="53"/>
        <v/>
      </c>
      <c r="K833" s="9">
        <f t="shared" ca="1" si="54"/>
        <v>45404.878290162036</v>
      </c>
      <c r="L833" s="10">
        <f t="shared" ca="1" si="55"/>
        <v>45404.878290046297</v>
      </c>
    </row>
    <row r="834" spans="6:12" x14ac:dyDescent="0.25">
      <c r="F834" s="11" t="str">
        <f>IF(ISBLANK(D834),"",(VLOOKUP(D834,Cardápio!$A$2:$B$16,2,0))*E834)</f>
        <v/>
      </c>
      <c r="H834" s="7" t="str">
        <f t="shared" si="52"/>
        <v/>
      </c>
      <c r="I834" s="7" t="str">
        <f>IF(AND(ISBLANK(D834),ISBLANK(C834)),"",((VLOOKUP(D834,Cardápio!$A$2:$C$16,3,0))*E834)+IF(B834="iFood",F834*0.27,(VLOOKUP(VENDAS!C834,Bairros!$A$2:$B$90,2,0))))</f>
        <v/>
      </c>
      <c r="J834" s="7" t="str">
        <f t="shared" si="53"/>
        <v/>
      </c>
      <c r="K834" s="9">
        <f t="shared" ca="1" si="54"/>
        <v>45404.878290162036</v>
      </c>
      <c r="L834" s="10">
        <f t="shared" ca="1" si="55"/>
        <v>45404.878290046297</v>
      </c>
    </row>
    <row r="835" spans="6:12" x14ac:dyDescent="0.25">
      <c r="F835" s="11" t="str">
        <f>IF(ISBLANK(D835),"",(VLOOKUP(D835,Cardápio!$A$2:$B$16,2,0))*E835)</f>
        <v/>
      </c>
      <c r="H835" s="7" t="str">
        <f t="shared" si="52"/>
        <v/>
      </c>
      <c r="I835" s="7" t="str">
        <f>IF(AND(ISBLANK(D835),ISBLANK(C835)),"",((VLOOKUP(D835,Cardápio!$A$2:$C$16,3,0))*E835)+IF(B835="iFood",F835*0.27,(VLOOKUP(VENDAS!C835,Bairros!$A$2:$B$90,2,0))))</f>
        <v/>
      </c>
      <c r="J835" s="7" t="str">
        <f t="shared" si="53"/>
        <v/>
      </c>
      <c r="K835" s="9">
        <f t="shared" ca="1" si="54"/>
        <v>45404.878290046297</v>
      </c>
      <c r="L835" s="10">
        <f t="shared" ca="1" si="55"/>
        <v>45404.878290046297</v>
      </c>
    </row>
    <row r="836" spans="6:12" x14ac:dyDescent="0.25">
      <c r="F836" s="11" t="str">
        <f>IF(ISBLANK(D836),"",(VLOOKUP(D836,Cardápio!$A$2:$B$16,2,0))*E836)</f>
        <v/>
      </c>
      <c r="H836" s="7" t="str">
        <f t="shared" si="52"/>
        <v/>
      </c>
      <c r="I836" s="7" t="str">
        <f>IF(AND(ISBLANK(D836),ISBLANK(C836)),"",((VLOOKUP(D836,Cardápio!$A$2:$C$16,3,0))*E836)+IF(B836="iFood",F836*0.27,(VLOOKUP(VENDAS!C836,Bairros!$A$2:$B$90,2,0))))</f>
        <v/>
      </c>
      <c r="J836" s="7" t="str">
        <f t="shared" si="53"/>
        <v/>
      </c>
      <c r="K836" s="9">
        <f t="shared" ca="1" si="54"/>
        <v>45404.878290046297</v>
      </c>
      <c r="L836" s="10">
        <f t="shared" ca="1" si="55"/>
        <v>45404.878290046297</v>
      </c>
    </row>
    <row r="837" spans="6:12" x14ac:dyDescent="0.25">
      <c r="F837" s="11" t="str">
        <f>IF(ISBLANK(D837),"",(VLOOKUP(D837,Cardápio!$A$2:$B$16,2,0))*E837)</f>
        <v/>
      </c>
      <c r="H837" s="7" t="str">
        <f t="shared" si="52"/>
        <v/>
      </c>
      <c r="I837" s="7" t="str">
        <f>IF(AND(ISBLANK(D837),ISBLANK(C837)),"",((VLOOKUP(D837,Cardápio!$A$2:$C$16,3,0))*E837)+IF(B837="iFood",F837*0.27,(VLOOKUP(VENDAS!C837,Bairros!$A$2:$B$90,2,0))))</f>
        <v/>
      </c>
      <c r="J837" s="7" t="str">
        <f t="shared" si="53"/>
        <v/>
      </c>
      <c r="K837" s="9">
        <f t="shared" ca="1" si="54"/>
        <v>45404.878290162036</v>
      </c>
      <c r="L837" s="10">
        <f t="shared" ca="1" si="55"/>
        <v>45404.878290046297</v>
      </c>
    </row>
    <row r="838" spans="6:12" x14ac:dyDescent="0.25">
      <c r="F838" s="11" t="str">
        <f>IF(ISBLANK(D838),"",(VLOOKUP(D838,Cardápio!$A$2:$B$16,2,0))*E838)</f>
        <v/>
      </c>
      <c r="H838" s="7" t="str">
        <f t="shared" si="52"/>
        <v/>
      </c>
      <c r="I838" s="7" t="str">
        <f>IF(AND(ISBLANK(D838),ISBLANK(C838)),"",((VLOOKUP(D838,Cardápio!$A$2:$C$16,3,0))*E838)+IF(B838="iFood",F838*0.27,(VLOOKUP(VENDAS!C838,Bairros!$A$2:$B$90,2,0))))</f>
        <v/>
      </c>
      <c r="J838" s="7" t="str">
        <f t="shared" si="53"/>
        <v/>
      </c>
      <c r="K838" s="9">
        <f t="shared" ca="1" si="54"/>
        <v>45404.878290162036</v>
      </c>
      <c r="L838" s="10">
        <f t="shared" ca="1" si="55"/>
        <v>45404.878290046297</v>
      </c>
    </row>
    <row r="839" spans="6:12" x14ac:dyDescent="0.25">
      <c r="F839" s="11" t="str">
        <f>IF(ISBLANK(D839),"",(VLOOKUP(D839,Cardápio!$A$2:$B$16,2,0))*E839)</f>
        <v/>
      </c>
      <c r="H839" s="7" t="str">
        <f t="shared" si="52"/>
        <v/>
      </c>
      <c r="I839" s="7" t="str">
        <f>IF(AND(ISBLANK(D839),ISBLANK(C839)),"",((VLOOKUP(D839,Cardápio!$A$2:$C$16,3,0))*E839)+IF(B839="iFood",F839*0.27,(VLOOKUP(VENDAS!C839,Bairros!$A$2:$B$90,2,0))))</f>
        <v/>
      </c>
      <c r="J839" s="7" t="str">
        <f t="shared" si="53"/>
        <v/>
      </c>
      <c r="K839" s="9">
        <f t="shared" ca="1" si="54"/>
        <v>45404.878290046297</v>
      </c>
      <c r="L839" s="10">
        <f t="shared" ca="1" si="55"/>
        <v>45404.878290046297</v>
      </c>
    </row>
    <row r="840" spans="6:12" x14ac:dyDescent="0.25">
      <c r="F840" s="11" t="str">
        <f>IF(ISBLANK(D840),"",(VLOOKUP(D840,Cardápio!$A$2:$B$16,2,0))*E840)</f>
        <v/>
      </c>
      <c r="H840" s="7" t="str">
        <f t="shared" si="52"/>
        <v/>
      </c>
      <c r="I840" s="7" t="str">
        <f>IF(AND(ISBLANK(D840),ISBLANK(C840)),"",((VLOOKUP(D840,Cardápio!$A$2:$C$16,3,0))*E840)+IF(B840="iFood",F840*0.27,(VLOOKUP(VENDAS!C840,Bairros!$A$2:$B$90,2,0))))</f>
        <v/>
      </c>
      <c r="J840" s="7" t="str">
        <f t="shared" si="53"/>
        <v/>
      </c>
      <c r="K840" s="9">
        <f t="shared" ca="1" si="54"/>
        <v>45404.878290046297</v>
      </c>
      <c r="L840" s="10">
        <f t="shared" ca="1" si="55"/>
        <v>45404.878290046297</v>
      </c>
    </row>
    <row r="841" spans="6:12" x14ac:dyDescent="0.25">
      <c r="F841" s="11" t="str">
        <f>IF(ISBLANK(D841),"",(VLOOKUP(D841,Cardápio!$A$2:$B$16,2,0))*E841)</f>
        <v/>
      </c>
      <c r="H841" s="7" t="str">
        <f t="shared" si="52"/>
        <v/>
      </c>
      <c r="I841" s="7" t="str">
        <f>IF(AND(ISBLANK(D841),ISBLANK(C841)),"",((VLOOKUP(D841,Cardápio!$A$2:$C$16,3,0))*E841)+IF(B841="iFood",F841*0.27,(VLOOKUP(VENDAS!C841,Bairros!$A$2:$B$90,2,0))))</f>
        <v/>
      </c>
      <c r="J841" s="7" t="str">
        <f t="shared" si="53"/>
        <v/>
      </c>
      <c r="K841" s="9">
        <f t="shared" ca="1" si="54"/>
        <v>45404.878290162036</v>
      </c>
      <c r="L841" s="10">
        <f t="shared" ca="1" si="55"/>
        <v>45404.878290046297</v>
      </c>
    </row>
    <row r="842" spans="6:12" x14ac:dyDescent="0.25">
      <c r="F842" s="11" t="str">
        <f>IF(ISBLANK(D842),"",(VLOOKUP(D842,Cardápio!$A$2:$B$16,2,0))*E842)</f>
        <v/>
      </c>
      <c r="H842" s="7" t="str">
        <f t="shared" si="52"/>
        <v/>
      </c>
      <c r="I842" s="7" t="str">
        <f>IF(AND(ISBLANK(D842),ISBLANK(C842)),"",((VLOOKUP(D842,Cardápio!$A$2:$C$16,3,0))*E842)+IF(B842="iFood",F842*0.27,(VLOOKUP(VENDAS!C842,Bairros!$A$2:$B$90,2,0))))</f>
        <v/>
      </c>
      <c r="J842" s="7" t="str">
        <f t="shared" si="53"/>
        <v/>
      </c>
      <c r="K842" s="9">
        <f t="shared" ca="1" si="54"/>
        <v>45404.878290162036</v>
      </c>
      <c r="L842" s="10">
        <f t="shared" ca="1" si="55"/>
        <v>45404.878290046297</v>
      </c>
    </row>
    <row r="843" spans="6:12" x14ac:dyDescent="0.25">
      <c r="F843" s="11" t="str">
        <f>IF(ISBLANK(D843),"",(VLOOKUP(D843,Cardápio!$A$2:$B$16,2,0))*E843)</f>
        <v/>
      </c>
      <c r="H843" s="7" t="str">
        <f t="shared" si="52"/>
        <v/>
      </c>
      <c r="I843" s="7" t="str">
        <f>IF(AND(ISBLANK(D843),ISBLANK(C843)),"",((VLOOKUP(D843,Cardápio!$A$2:$C$16,3,0))*E843)+IF(B843="iFood",F843*0.27,(VLOOKUP(VENDAS!C843,Bairros!$A$2:$B$90,2,0))))</f>
        <v/>
      </c>
      <c r="J843" s="7" t="str">
        <f t="shared" si="53"/>
        <v/>
      </c>
      <c r="K843" s="9">
        <f t="shared" ca="1" si="54"/>
        <v>45404.878290046297</v>
      </c>
      <c r="L843" s="10">
        <f t="shared" ca="1" si="55"/>
        <v>45404.878290046297</v>
      </c>
    </row>
    <row r="844" spans="6:12" x14ac:dyDescent="0.25">
      <c r="F844" s="11" t="str">
        <f>IF(ISBLANK(D844),"",(VLOOKUP(D844,Cardápio!$A$2:$B$16,2,0))*E844)</f>
        <v/>
      </c>
      <c r="H844" s="7" t="str">
        <f t="shared" si="52"/>
        <v/>
      </c>
      <c r="I844" s="7" t="str">
        <f>IF(AND(ISBLANK(D844),ISBLANK(C844)),"",((VLOOKUP(D844,Cardápio!$A$2:$C$16,3,0))*E844)+IF(B844="iFood",F844*0.27,(VLOOKUP(VENDAS!C844,Bairros!$A$2:$B$90,2,0))))</f>
        <v/>
      </c>
      <c r="J844" s="7" t="str">
        <f t="shared" si="53"/>
        <v/>
      </c>
      <c r="K844" s="9">
        <f t="shared" ca="1" si="54"/>
        <v>45404.878290046297</v>
      </c>
      <c r="L844" s="10">
        <f t="shared" ca="1" si="55"/>
        <v>45404.878290046297</v>
      </c>
    </row>
    <row r="845" spans="6:12" x14ac:dyDescent="0.25">
      <c r="F845" s="11" t="str">
        <f>IF(ISBLANK(D845),"",(VLOOKUP(D845,Cardápio!$A$2:$B$16,2,0))*E845)</f>
        <v/>
      </c>
      <c r="H845" s="7" t="str">
        <f t="shared" si="52"/>
        <v/>
      </c>
      <c r="I845" s="7" t="str">
        <f>IF(AND(ISBLANK(D845),ISBLANK(C845)),"",((VLOOKUP(D845,Cardápio!$A$2:$C$16,3,0))*E845)+IF(B845="iFood",F845*0.27,(VLOOKUP(VENDAS!C845,Bairros!$A$2:$B$90,2,0))))</f>
        <v/>
      </c>
      <c r="J845" s="7" t="str">
        <f t="shared" si="53"/>
        <v/>
      </c>
      <c r="K845" s="9">
        <f t="shared" ca="1" si="54"/>
        <v>45404.878290162036</v>
      </c>
      <c r="L845" s="10">
        <f t="shared" ca="1" si="55"/>
        <v>45404.878290046297</v>
      </c>
    </row>
    <row r="846" spans="6:12" x14ac:dyDescent="0.25">
      <c r="F846" s="11" t="str">
        <f>IF(ISBLANK(D846),"",(VLOOKUP(D846,Cardápio!$A$2:$B$16,2,0))*E846)</f>
        <v/>
      </c>
      <c r="H846" s="7" t="str">
        <f t="shared" si="52"/>
        <v/>
      </c>
      <c r="I846" s="7" t="str">
        <f>IF(AND(ISBLANK(D846),ISBLANK(C846)),"",((VLOOKUP(D846,Cardápio!$A$2:$C$16,3,0))*E846)+IF(B846="iFood",F846*0.27,(VLOOKUP(VENDAS!C846,Bairros!$A$2:$B$90,2,0))))</f>
        <v/>
      </c>
      <c r="J846" s="7" t="str">
        <f t="shared" si="53"/>
        <v/>
      </c>
      <c r="K846" s="9">
        <f t="shared" ca="1" si="54"/>
        <v>45404.878290162036</v>
      </c>
      <c r="L846" s="10">
        <f t="shared" ca="1" si="55"/>
        <v>45404.878290046297</v>
      </c>
    </row>
    <row r="847" spans="6:12" x14ac:dyDescent="0.25">
      <c r="F847" s="11" t="str">
        <f>IF(ISBLANK(D847),"",(VLOOKUP(D847,Cardápio!$A$2:$B$16,2,0))*E847)</f>
        <v/>
      </c>
      <c r="H847" s="7" t="str">
        <f t="shared" si="52"/>
        <v/>
      </c>
      <c r="I847" s="7" t="str">
        <f>IF(AND(ISBLANK(D847),ISBLANK(C847)),"",((VLOOKUP(D847,Cardápio!$A$2:$C$16,3,0))*E847)+IF(B847="iFood",F847*0.27,(VLOOKUP(VENDAS!C847,Bairros!$A$2:$B$90,2,0))))</f>
        <v/>
      </c>
      <c r="J847" s="7" t="str">
        <f t="shared" si="53"/>
        <v/>
      </c>
      <c r="K847" s="9">
        <f t="shared" ca="1" si="54"/>
        <v>45404.878290046297</v>
      </c>
      <c r="L847" s="10">
        <f t="shared" ca="1" si="55"/>
        <v>45404.878290046297</v>
      </c>
    </row>
    <row r="848" spans="6:12" x14ac:dyDescent="0.25">
      <c r="F848" s="11" t="str">
        <f>IF(ISBLANK(D848),"",(VLOOKUP(D848,Cardápio!$A$2:$B$16,2,0))*E848)</f>
        <v/>
      </c>
      <c r="H848" s="7" t="str">
        <f t="shared" si="52"/>
        <v/>
      </c>
      <c r="I848" s="7" t="str">
        <f>IF(AND(ISBLANK(D848),ISBLANK(C848)),"",((VLOOKUP(D848,Cardápio!$A$2:$C$16,3,0))*E848)+IF(B848="iFood",F848*0.27,(VLOOKUP(VENDAS!C848,Bairros!$A$2:$B$90,2,0))))</f>
        <v/>
      </c>
      <c r="J848" s="7" t="str">
        <f t="shared" si="53"/>
        <v/>
      </c>
      <c r="K848" s="9">
        <f t="shared" ca="1" si="54"/>
        <v>45404.878290046297</v>
      </c>
      <c r="L848" s="10">
        <f t="shared" ca="1" si="55"/>
        <v>45404.878290046297</v>
      </c>
    </row>
    <row r="849" spans="6:12" x14ac:dyDescent="0.25">
      <c r="F849" s="11" t="str">
        <f>IF(ISBLANK(D849),"",(VLOOKUP(D849,Cardápio!$A$2:$B$16,2,0))*E849)</f>
        <v/>
      </c>
      <c r="H849" s="7" t="str">
        <f t="shared" si="52"/>
        <v/>
      </c>
      <c r="I849" s="7" t="str">
        <f>IF(AND(ISBLANK(D849),ISBLANK(C849)),"",((VLOOKUP(D849,Cardápio!$A$2:$C$16,3,0))*E849)+IF(B849="iFood",F849*0.27,(VLOOKUP(VENDAS!C849,Bairros!$A$2:$B$90,2,0))))</f>
        <v/>
      </c>
      <c r="J849" s="7" t="str">
        <f t="shared" si="53"/>
        <v/>
      </c>
      <c r="K849" s="9">
        <f t="shared" ca="1" si="54"/>
        <v>45404.878290162036</v>
      </c>
      <c r="L849" s="10">
        <f t="shared" ca="1" si="55"/>
        <v>45404.878290046297</v>
      </c>
    </row>
    <row r="850" spans="6:12" x14ac:dyDescent="0.25">
      <c r="F850" s="11" t="str">
        <f>IF(ISBLANK(D850),"",(VLOOKUP(D850,Cardápio!$A$2:$B$16,2,0))*E850)</f>
        <v/>
      </c>
      <c r="H850" s="7" t="str">
        <f t="shared" si="52"/>
        <v/>
      </c>
      <c r="I850" s="7" t="str">
        <f>IF(AND(ISBLANK(D850),ISBLANK(C850)),"",((VLOOKUP(D850,Cardápio!$A$2:$C$16,3,0))*E850)+IF(B850="iFood",F850*0.27,(VLOOKUP(VENDAS!C850,Bairros!$A$2:$B$90,2,0))))</f>
        <v/>
      </c>
      <c r="J850" s="7" t="str">
        <f t="shared" si="53"/>
        <v/>
      </c>
      <c r="K850" s="9">
        <f t="shared" ca="1" si="54"/>
        <v>45404.878290162036</v>
      </c>
      <c r="L850" s="10">
        <f t="shared" ca="1" si="55"/>
        <v>45404.878290046297</v>
      </c>
    </row>
    <row r="851" spans="6:12" x14ac:dyDescent="0.25">
      <c r="F851" s="11" t="str">
        <f>IF(ISBLANK(D851),"",(VLOOKUP(D851,Cardápio!$A$2:$B$16,2,0))*E851)</f>
        <v/>
      </c>
      <c r="H851" s="7" t="str">
        <f t="shared" si="52"/>
        <v/>
      </c>
      <c r="I851" s="7" t="str">
        <f>IF(AND(ISBLANK(D851),ISBLANK(C851)),"",((VLOOKUP(D851,Cardápio!$A$2:$C$16,3,0))*E851)+IF(B851="iFood",F851*0.27,(VLOOKUP(VENDAS!C851,Bairros!$A$2:$B$90,2,0))))</f>
        <v/>
      </c>
      <c r="J851" s="7" t="str">
        <f t="shared" si="53"/>
        <v/>
      </c>
      <c r="K851" s="9">
        <f t="shared" ca="1" si="54"/>
        <v>45404.878290046297</v>
      </c>
      <c r="L851" s="10">
        <f t="shared" ca="1" si="55"/>
        <v>45404.878290046297</v>
      </c>
    </row>
    <row r="852" spans="6:12" x14ac:dyDescent="0.25">
      <c r="F852" s="11" t="str">
        <f>IF(ISBLANK(D852),"",(VLOOKUP(D852,Cardápio!$A$2:$B$16,2,0))*E852)</f>
        <v/>
      </c>
      <c r="H852" s="7" t="str">
        <f t="shared" si="52"/>
        <v/>
      </c>
      <c r="I852" s="7" t="str">
        <f>IF(AND(ISBLANK(D852),ISBLANK(C852)),"",((VLOOKUP(D852,Cardápio!$A$2:$C$16,3,0))*E852)+IF(B852="iFood",F852*0.27,(VLOOKUP(VENDAS!C852,Bairros!$A$2:$B$90,2,0))))</f>
        <v/>
      </c>
      <c r="J852" s="7" t="str">
        <f t="shared" si="53"/>
        <v/>
      </c>
      <c r="K852" s="9">
        <f t="shared" ca="1" si="54"/>
        <v>45404.878290046297</v>
      </c>
      <c r="L852" s="10">
        <f t="shared" ca="1" si="55"/>
        <v>45404.878290046297</v>
      </c>
    </row>
    <row r="853" spans="6:12" x14ac:dyDescent="0.25">
      <c r="F853" s="11" t="str">
        <f>IF(ISBLANK(D853),"",(VLOOKUP(D853,Cardápio!$A$2:$B$16,2,0))*E853)</f>
        <v/>
      </c>
      <c r="H853" s="7" t="str">
        <f t="shared" si="52"/>
        <v/>
      </c>
      <c r="I853" s="7" t="str">
        <f>IF(AND(ISBLANK(D853),ISBLANK(C853)),"",((VLOOKUP(D853,Cardápio!$A$2:$C$16,3,0))*E853)+IF(B853="iFood",F853*0.27,(VLOOKUP(VENDAS!C853,Bairros!$A$2:$B$90,2,0))))</f>
        <v/>
      </c>
      <c r="J853" s="7" t="str">
        <f t="shared" si="53"/>
        <v/>
      </c>
      <c r="K853" s="9">
        <f t="shared" ca="1" si="54"/>
        <v>45404.878290162036</v>
      </c>
      <c r="L853" s="10">
        <f t="shared" ca="1" si="55"/>
        <v>45404.878290046297</v>
      </c>
    </row>
    <row r="854" spans="6:12" x14ac:dyDescent="0.25">
      <c r="F854" s="11" t="str">
        <f>IF(ISBLANK(D854),"",(VLOOKUP(D854,Cardápio!$A$2:$B$16,2,0))*E854)</f>
        <v/>
      </c>
      <c r="H854" s="7" t="str">
        <f t="shared" si="52"/>
        <v/>
      </c>
      <c r="I854" s="7" t="str">
        <f>IF(AND(ISBLANK(D854),ISBLANK(C854)),"",((VLOOKUP(D854,Cardápio!$A$2:$C$16,3,0))*E854)+IF(B854="iFood",F854*0.27,(VLOOKUP(VENDAS!C854,Bairros!$A$2:$B$90,2,0))))</f>
        <v/>
      </c>
      <c r="J854" s="7" t="str">
        <f t="shared" si="53"/>
        <v/>
      </c>
      <c r="K854" s="9">
        <f t="shared" ca="1" si="54"/>
        <v>45404.878290162036</v>
      </c>
      <c r="L854" s="10">
        <f t="shared" ca="1" si="55"/>
        <v>45404.878290046297</v>
      </c>
    </row>
    <row r="855" spans="6:12" x14ac:dyDescent="0.25">
      <c r="F855" s="11" t="str">
        <f>IF(ISBLANK(D855),"",(VLOOKUP(D855,Cardápio!$A$2:$B$16,2,0))*E855)</f>
        <v/>
      </c>
      <c r="H855" s="7" t="str">
        <f t="shared" si="52"/>
        <v/>
      </c>
      <c r="I855" s="7" t="str">
        <f>IF(AND(ISBLANK(D855),ISBLANK(C855)),"",((VLOOKUP(D855,Cardápio!$A$2:$C$16,3,0))*E855)+IF(B855="iFood",F855*0.27,(VLOOKUP(VENDAS!C855,Bairros!$A$2:$B$90,2,0))))</f>
        <v/>
      </c>
      <c r="J855" s="7" t="str">
        <f t="shared" si="53"/>
        <v/>
      </c>
      <c r="K855" s="9">
        <f t="shared" ca="1" si="54"/>
        <v>45404.878290046297</v>
      </c>
      <c r="L855" s="10">
        <f t="shared" ca="1" si="55"/>
        <v>45404.878290046297</v>
      </c>
    </row>
    <row r="856" spans="6:12" x14ac:dyDescent="0.25">
      <c r="F856" s="11" t="str">
        <f>IF(ISBLANK(D856),"",(VLOOKUP(D856,Cardápio!$A$2:$B$16,2,0))*E856)</f>
        <v/>
      </c>
      <c r="H856" s="7" t="str">
        <f t="shared" si="52"/>
        <v/>
      </c>
      <c r="I856" s="7" t="str">
        <f>IF(AND(ISBLANK(D856),ISBLANK(C856)),"",((VLOOKUP(D856,Cardápio!$A$2:$C$16,3,0))*E856)+IF(B856="iFood",F856*0.27,(VLOOKUP(VENDAS!C856,Bairros!$A$2:$B$90,2,0))))</f>
        <v/>
      </c>
      <c r="J856" s="7" t="str">
        <f t="shared" si="53"/>
        <v/>
      </c>
      <c r="K856" s="9">
        <f t="shared" ca="1" si="54"/>
        <v>45404.878290046297</v>
      </c>
      <c r="L856" s="10">
        <f t="shared" ca="1" si="55"/>
        <v>45404.878290046297</v>
      </c>
    </row>
    <row r="857" spans="6:12" x14ac:dyDescent="0.25">
      <c r="F857" s="11" t="str">
        <f>IF(ISBLANK(D857),"",(VLOOKUP(D857,Cardápio!$A$2:$B$16,2,0))*E857)</f>
        <v/>
      </c>
      <c r="H857" s="7" t="str">
        <f t="shared" si="52"/>
        <v/>
      </c>
      <c r="I857" s="7" t="str">
        <f>IF(AND(ISBLANK(D857),ISBLANK(C857)),"",((VLOOKUP(D857,Cardápio!$A$2:$C$16,3,0))*E857)+IF(B857="iFood",F857*0.27,(VLOOKUP(VENDAS!C857,Bairros!$A$2:$B$90,2,0))))</f>
        <v/>
      </c>
      <c r="J857" s="7" t="str">
        <f t="shared" si="53"/>
        <v/>
      </c>
      <c r="K857" s="9">
        <f t="shared" ca="1" si="54"/>
        <v>45404.878290162036</v>
      </c>
      <c r="L857" s="10">
        <f t="shared" ca="1" si="55"/>
        <v>45404.878290046297</v>
      </c>
    </row>
    <row r="858" spans="6:12" x14ac:dyDescent="0.25">
      <c r="F858" s="11" t="str">
        <f>IF(ISBLANK(D858),"",(VLOOKUP(D858,Cardápio!$A$2:$B$16,2,0))*E858)</f>
        <v/>
      </c>
      <c r="H858" s="7" t="str">
        <f t="shared" si="52"/>
        <v/>
      </c>
      <c r="I858" s="7" t="str">
        <f>IF(AND(ISBLANK(D858),ISBLANK(C858)),"",((VLOOKUP(D858,Cardápio!$A$2:$C$16,3,0))*E858)+IF(B858="iFood",F858*0.27,(VLOOKUP(VENDAS!C858,Bairros!$A$2:$B$90,2,0))))</f>
        <v/>
      </c>
      <c r="J858" s="7" t="str">
        <f t="shared" si="53"/>
        <v/>
      </c>
      <c r="K858" s="9">
        <f t="shared" ca="1" si="54"/>
        <v>45404.878290162036</v>
      </c>
      <c r="L858" s="10">
        <f t="shared" ca="1" si="55"/>
        <v>45404.878290046297</v>
      </c>
    </row>
    <row r="859" spans="6:12" x14ac:dyDescent="0.25">
      <c r="F859" s="11" t="str">
        <f>IF(ISBLANK(D859),"",(VLOOKUP(D859,Cardápio!$A$2:$B$16,2,0))*E859)</f>
        <v/>
      </c>
      <c r="H859" s="7" t="str">
        <f t="shared" si="52"/>
        <v/>
      </c>
      <c r="I859" s="7" t="str">
        <f>IF(AND(ISBLANK(D859),ISBLANK(C859)),"",((VLOOKUP(D859,Cardápio!$A$2:$C$16,3,0))*E859)+IF(B859="iFood",F859*0.27,(VLOOKUP(VENDAS!C859,Bairros!$A$2:$B$90,2,0))))</f>
        <v/>
      </c>
      <c r="J859" s="7" t="str">
        <f t="shared" si="53"/>
        <v/>
      </c>
      <c r="K859" s="9">
        <f t="shared" ca="1" si="54"/>
        <v>45404.878290046297</v>
      </c>
      <c r="L859" s="10">
        <f t="shared" ca="1" si="55"/>
        <v>45404.878290046297</v>
      </c>
    </row>
    <row r="860" spans="6:12" x14ac:dyDescent="0.25">
      <c r="F860" s="11" t="str">
        <f>IF(ISBLANK(D860),"",(VLOOKUP(D860,Cardápio!$A$2:$B$16,2,0))*E860)</f>
        <v/>
      </c>
      <c r="H860" s="7" t="str">
        <f t="shared" si="52"/>
        <v/>
      </c>
      <c r="I860" s="7" t="str">
        <f>IF(AND(ISBLANK(D860),ISBLANK(C860)),"",((VLOOKUP(D860,Cardápio!$A$2:$C$16,3,0))*E860)+IF(B860="iFood",F860*0.27,(VLOOKUP(VENDAS!C860,Bairros!$A$2:$B$90,2,0))))</f>
        <v/>
      </c>
      <c r="J860" s="7" t="str">
        <f t="shared" si="53"/>
        <v/>
      </c>
      <c r="K860" s="9">
        <f t="shared" ca="1" si="54"/>
        <v>45404.878290046297</v>
      </c>
      <c r="L860" s="10">
        <f t="shared" ca="1" si="55"/>
        <v>45404.878290046297</v>
      </c>
    </row>
    <row r="861" spans="6:12" x14ac:dyDescent="0.25">
      <c r="F861" s="11" t="str">
        <f>IF(ISBLANK(D861),"",(VLOOKUP(D861,Cardápio!$A$2:$B$16,2,0))*E861)</f>
        <v/>
      </c>
      <c r="H861" s="7" t="str">
        <f t="shared" si="52"/>
        <v/>
      </c>
      <c r="I861" s="7" t="str">
        <f>IF(AND(ISBLANK(D861),ISBLANK(C861)),"",((VLOOKUP(D861,Cardápio!$A$2:$C$16,3,0))*E861)+IF(B861="iFood",F861*0.27,(VLOOKUP(VENDAS!C861,Bairros!$A$2:$B$90,2,0))))</f>
        <v/>
      </c>
      <c r="J861" s="7" t="str">
        <f t="shared" si="53"/>
        <v/>
      </c>
      <c r="K861" s="9">
        <f t="shared" ca="1" si="54"/>
        <v>45404.878290162036</v>
      </c>
      <c r="L861" s="10">
        <f t="shared" ca="1" si="55"/>
        <v>45404.878290046297</v>
      </c>
    </row>
    <row r="862" spans="6:12" x14ac:dyDescent="0.25">
      <c r="F862" s="11" t="str">
        <f>IF(ISBLANK(D862),"",(VLOOKUP(D862,Cardápio!$A$2:$B$16,2,0))*E862)</f>
        <v/>
      </c>
      <c r="H862" s="7" t="str">
        <f t="shared" si="52"/>
        <v/>
      </c>
      <c r="I862" s="7" t="str">
        <f>IF(AND(ISBLANK(D862),ISBLANK(C862)),"",((VLOOKUP(D862,Cardápio!$A$2:$C$16,3,0))*E862)+IF(B862="iFood",F862*0.27,(VLOOKUP(VENDAS!C862,Bairros!$A$2:$B$90,2,0))))</f>
        <v/>
      </c>
      <c r="J862" s="7" t="str">
        <f t="shared" si="53"/>
        <v/>
      </c>
      <c r="K862" s="9">
        <f t="shared" ca="1" si="54"/>
        <v>45404.878290162036</v>
      </c>
      <c r="L862" s="10">
        <f t="shared" ca="1" si="55"/>
        <v>45404.878290046297</v>
      </c>
    </row>
    <row r="863" spans="6:12" x14ac:dyDescent="0.25">
      <c r="F863" s="11" t="str">
        <f>IF(ISBLANK(D863),"",(VLOOKUP(D863,Cardápio!$A$2:$B$16,2,0))*E863)</f>
        <v/>
      </c>
      <c r="H863" s="7" t="str">
        <f t="shared" si="52"/>
        <v/>
      </c>
      <c r="I863" s="7" t="str">
        <f>IF(AND(ISBLANK(D863),ISBLANK(C863)),"",((VLOOKUP(D863,Cardápio!$A$2:$C$16,3,0))*E863)+IF(B863="iFood",F863*0.27,(VLOOKUP(VENDAS!C863,Bairros!$A$2:$B$90,2,0))))</f>
        <v/>
      </c>
      <c r="J863" s="7" t="str">
        <f t="shared" si="53"/>
        <v/>
      </c>
      <c r="K863" s="9">
        <f t="shared" ca="1" si="54"/>
        <v>45404.878290046297</v>
      </c>
      <c r="L863" s="10">
        <f t="shared" ca="1" si="55"/>
        <v>45404.878290046297</v>
      </c>
    </row>
    <row r="864" spans="6:12" x14ac:dyDescent="0.25">
      <c r="F864" s="11" t="str">
        <f>IF(ISBLANK(D864),"",(VLOOKUP(D864,Cardápio!$A$2:$B$16,2,0))*E864)</f>
        <v/>
      </c>
      <c r="H864" s="7" t="str">
        <f t="shared" si="52"/>
        <v/>
      </c>
      <c r="I864" s="7" t="str">
        <f>IF(AND(ISBLANK(D864),ISBLANK(C864)),"",((VLOOKUP(D864,Cardápio!$A$2:$C$16,3,0))*E864)+IF(B864="iFood",F864*0.27,(VLOOKUP(VENDAS!C864,Bairros!$A$2:$B$90,2,0))))</f>
        <v/>
      </c>
      <c r="J864" s="7" t="str">
        <f t="shared" si="53"/>
        <v/>
      </c>
      <c r="K864" s="9">
        <f t="shared" ca="1" si="54"/>
        <v>45404.878290046297</v>
      </c>
      <c r="L864" s="10">
        <f t="shared" ca="1" si="55"/>
        <v>45404.878290046297</v>
      </c>
    </row>
    <row r="865" spans="6:12" x14ac:dyDescent="0.25">
      <c r="F865" s="11" t="str">
        <f>IF(ISBLANK(D865),"",(VLOOKUP(D865,Cardápio!$A$2:$B$16,2,0))*E865)</f>
        <v/>
      </c>
      <c r="H865" s="7" t="str">
        <f t="shared" si="52"/>
        <v/>
      </c>
      <c r="I865" s="7" t="str">
        <f>IF(AND(ISBLANK(D865),ISBLANK(C865)),"",((VLOOKUP(D865,Cardápio!$A$2:$C$16,3,0))*E865)+IF(B865="iFood",F865*0.27,(VLOOKUP(VENDAS!C865,Bairros!$A$2:$B$90,2,0))))</f>
        <v/>
      </c>
      <c r="J865" s="7" t="str">
        <f t="shared" si="53"/>
        <v/>
      </c>
      <c r="K865" s="9">
        <f t="shared" ca="1" si="54"/>
        <v>45404.878290162036</v>
      </c>
      <c r="L865" s="10">
        <f t="shared" ca="1" si="55"/>
        <v>45404.878290046297</v>
      </c>
    </row>
    <row r="866" spans="6:12" x14ac:dyDescent="0.25">
      <c r="F866" s="11" t="str">
        <f>IF(ISBLANK(D866),"",(VLOOKUP(D866,Cardápio!$A$2:$B$16,2,0))*E866)</f>
        <v/>
      </c>
      <c r="H866" s="7" t="str">
        <f t="shared" si="52"/>
        <v/>
      </c>
      <c r="I866" s="7" t="str">
        <f>IF(AND(ISBLANK(D866),ISBLANK(C866)),"",((VLOOKUP(D866,Cardápio!$A$2:$C$16,3,0))*E866)+IF(B866="iFood",F866*0.27,(VLOOKUP(VENDAS!C866,Bairros!$A$2:$B$90,2,0))))</f>
        <v/>
      </c>
      <c r="J866" s="7" t="str">
        <f t="shared" si="53"/>
        <v/>
      </c>
      <c r="K866" s="9">
        <f t="shared" ca="1" si="54"/>
        <v>45404.878290162036</v>
      </c>
      <c r="L866" s="10">
        <f t="shared" ca="1" si="55"/>
        <v>45404.878290046297</v>
      </c>
    </row>
    <row r="867" spans="6:12" x14ac:dyDescent="0.25">
      <c r="F867" s="11" t="str">
        <f>IF(ISBLANK(D867),"",(VLOOKUP(D867,Cardápio!$A$2:$B$16,2,0))*E867)</f>
        <v/>
      </c>
      <c r="H867" s="7" t="str">
        <f t="shared" si="52"/>
        <v/>
      </c>
      <c r="I867" s="7" t="str">
        <f>IF(AND(ISBLANK(D867),ISBLANK(C867)),"",((VLOOKUP(D867,Cardápio!$A$2:$C$16,3,0))*E867)+IF(B867="iFood",F867*0.27,(VLOOKUP(VENDAS!C867,Bairros!$A$2:$B$90,2,0))))</f>
        <v/>
      </c>
      <c r="J867" s="7" t="str">
        <f t="shared" si="53"/>
        <v/>
      </c>
      <c r="K867" s="9">
        <f t="shared" ca="1" si="54"/>
        <v>45404.878290046297</v>
      </c>
      <c r="L867" s="10">
        <f t="shared" ca="1" si="55"/>
        <v>45404.878290046297</v>
      </c>
    </row>
    <row r="868" spans="6:12" x14ac:dyDescent="0.25">
      <c r="F868" s="11" t="str">
        <f>IF(ISBLANK(D868),"",(VLOOKUP(D868,Cardápio!$A$2:$B$16,2,0))*E868)</f>
        <v/>
      </c>
      <c r="H868" s="7" t="str">
        <f t="shared" si="52"/>
        <v/>
      </c>
      <c r="I868" s="7" t="str">
        <f>IF(AND(ISBLANK(D868),ISBLANK(C868)),"",((VLOOKUP(D868,Cardápio!$A$2:$C$16,3,0))*E868)+IF(B868="iFood",F868*0.27,(VLOOKUP(VENDAS!C868,Bairros!$A$2:$B$90,2,0))))</f>
        <v/>
      </c>
      <c r="J868" s="7" t="str">
        <f t="shared" si="53"/>
        <v/>
      </c>
      <c r="K868" s="9">
        <f t="shared" ca="1" si="54"/>
        <v>45404.878290046297</v>
      </c>
      <c r="L868" s="10">
        <f t="shared" ca="1" si="55"/>
        <v>45404.878290046297</v>
      </c>
    </row>
    <row r="869" spans="6:12" x14ac:dyDescent="0.25">
      <c r="F869" s="11" t="str">
        <f>IF(ISBLANK(D869),"",(VLOOKUP(D869,Cardápio!$A$2:$B$16,2,0))*E869)</f>
        <v/>
      </c>
      <c r="H869" s="7" t="str">
        <f t="shared" si="52"/>
        <v/>
      </c>
      <c r="I869" s="7" t="str">
        <f>IF(AND(ISBLANK(D869),ISBLANK(C869)),"",((VLOOKUP(D869,Cardápio!$A$2:$C$16,3,0))*E869)+IF(B869="iFood",F869*0.27,(VLOOKUP(VENDAS!C869,Bairros!$A$2:$B$90,2,0))))</f>
        <v/>
      </c>
      <c r="J869" s="7" t="str">
        <f t="shared" si="53"/>
        <v/>
      </c>
      <c r="K869" s="9">
        <f t="shared" ca="1" si="54"/>
        <v>45404.878290162036</v>
      </c>
      <c r="L869" s="10">
        <f t="shared" ca="1" si="55"/>
        <v>45404.878290046297</v>
      </c>
    </row>
    <row r="870" spans="6:12" x14ac:dyDescent="0.25">
      <c r="F870" s="11" t="str">
        <f>IF(ISBLANK(D870),"",(VLOOKUP(D870,Cardápio!$A$2:$B$16,2,0))*E870)</f>
        <v/>
      </c>
      <c r="H870" s="7" t="str">
        <f t="shared" si="52"/>
        <v/>
      </c>
      <c r="I870" s="7" t="str">
        <f>IF(AND(ISBLANK(D870),ISBLANK(C870)),"",((VLOOKUP(D870,Cardápio!$A$2:$C$16,3,0))*E870)+IF(B870="iFood",F870*0.27,(VLOOKUP(VENDAS!C870,Bairros!$A$2:$B$90,2,0))))</f>
        <v/>
      </c>
      <c r="J870" s="7" t="str">
        <f t="shared" si="53"/>
        <v/>
      </c>
      <c r="K870" s="9">
        <f t="shared" ca="1" si="54"/>
        <v>45404.878290162036</v>
      </c>
      <c r="L870" s="10">
        <f t="shared" ca="1" si="55"/>
        <v>45404.878290046297</v>
      </c>
    </row>
    <row r="871" spans="6:12" x14ac:dyDescent="0.25">
      <c r="F871" s="11" t="str">
        <f>IF(ISBLANK(D871),"",(VLOOKUP(D871,Cardápio!$A$2:$B$16,2,0))*E871)</f>
        <v/>
      </c>
      <c r="H871" s="7" t="str">
        <f t="shared" si="52"/>
        <v/>
      </c>
      <c r="I871" s="7" t="str">
        <f>IF(AND(ISBLANK(D871),ISBLANK(C871)),"",((VLOOKUP(D871,Cardápio!$A$2:$C$16,3,0))*E871)+IF(B871="iFood",F871*0.27,(VLOOKUP(VENDAS!C871,Bairros!$A$2:$B$90,2,0))))</f>
        <v/>
      </c>
      <c r="J871" s="7" t="str">
        <f t="shared" si="53"/>
        <v/>
      </c>
      <c r="K871" s="9">
        <f t="shared" ca="1" si="54"/>
        <v>45404.878290046297</v>
      </c>
      <c r="L871" s="10">
        <f t="shared" ca="1" si="55"/>
        <v>45404.878290046297</v>
      </c>
    </row>
    <row r="872" spans="6:12" x14ac:dyDescent="0.25">
      <c r="F872" s="11" t="str">
        <f>IF(ISBLANK(D872),"",(VLOOKUP(D872,Cardápio!$A$2:$B$16,2,0))*E872)</f>
        <v/>
      </c>
      <c r="H872" s="7" t="str">
        <f t="shared" si="52"/>
        <v/>
      </c>
      <c r="I872" s="7" t="str">
        <f>IF(AND(ISBLANK(D872),ISBLANK(C872)),"",((VLOOKUP(D872,Cardápio!$A$2:$C$16,3,0))*E872)+IF(B872="iFood",F872*0.27,(VLOOKUP(VENDAS!C872,Bairros!$A$2:$B$90,2,0))))</f>
        <v/>
      </c>
      <c r="J872" s="7" t="str">
        <f t="shared" si="53"/>
        <v/>
      </c>
      <c r="K872" s="9">
        <f t="shared" ca="1" si="54"/>
        <v>45404.878290046297</v>
      </c>
      <c r="L872" s="10">
        <f t="shared" ca="1" si="55"/>
        <v>45404.878290046297</v>
      </c>
    </row>
    <row r="873" spans="6:12" x14ac:dyDescent="0.25">
      <c r="F873" s="11" t="str">
        <f>IF(ISBLANK(D873),"",(VLOOKUP(D873,Cardápio!$A$2:$B$16,2,0))*E873)</f>
        <v/>
      </c>
      <c r="H873" s="7" t="str">
        <f t="shared" si="52"/>
        <v/>
      </c>
      <c r="I873" s="7" t="str">
        <f>IF(AND(ISBLANK(D873),ISBLANK(C873)),"",((VLOOKUP(D873,Cardápio!$A$2:$C$16,3,0))*E873)+IF(B873="iFood",F873*0.27,(VLOOKUP(VENDAS!C873,Bairros!$A$2:$B$90,2,0))))</f>
        <v/>
      </c>
      <c r="J873" s="7" t="str">
        <f t="shared" si="53"/>
        <v/>
      </c>
      <c r="K873" s="9">
        <f t="shared" ca="1" si="54"/>
        <v>45404.878290162036</v>
      </c>
      <c r="L873" s="10">
        <f t="shared" ca="1" si="55"/>
        <v>45404.878290046297</v>
      </c>
    </row>
    <row r="874" spans="6:12" x14ac:dyDescent="0.25">
      <c r="F874" s="11" t="str">
        <f>IF(ISBLANK(D874),"",(VLOOKUP(D874,Cardápio!$A$2:$B$16,2,0))*E874)</f>
        <v/>
      </c>
      <c r="H874" s="7" t="str">
        <f t="shared" si="52"/>
        <v/>
      </c>
      <c r="I874" s="7" t="str">
        <f>IF(AND(ISBLANK(D874),ISBLANK(C874)),"",((VLOOKUP(D874,Cardápio!$A$2:$C$16,3,0))*E874)+IF(B874="iFood",F874*0.27,(VLOOKUP(VENDAS!C874,Bairros!$A$2:$B$90,2,0))))</f>
        <v/>
      </c>
      <c r="J874" s="7" t="str">
        <f t="shared" si="53"/>
        <v/>
      </c>
      <c r="K874" s="9">
        <f t="shared" ca="1" si="54"/>
        <v>45404.878290162036</v>
      </c>
      <c r="L874" s="10">
        <f t="shared" ca="1" si="55"/>
        <v>45404.878290046297</v>
      </c>
    </row>
    <row r="875" spans="6:12" x14ac:dyDescent="0.25">
      <c r="F875" s="11" t="str">
        <f>IF(ISBLANK(D875),"",(VLOOKUP(D875,Cardápio!$A$2:$B$16,2,0))*E875)</f>
        <v/>
      </c>
      <c r="H875" s="7" t="str">
        <f t="shared" si="52"/>
        <v/>
      </c>
      <c r="I875" s="7" t="str">
        <f>IF(AND(ISBLANK(D875),ISBLANK(C875)),"",((VLOOKUP(D875,Cardápio!$A$2:$C$16,3,0))*E875)+IF(B875="iFood",F875*0.27,(VLOOKUP(VENDAS!C875,Bairros!$A$2:$B$90,2,0))))</f>
        <v/>
      </c>
      <c r="J875" s="7" t="str">
        <f t="shared" si="53"/>
        <v/>
      </c>
      <c r="K875" s="9">
        <f t="shared" ca="1" si="54"/>
        <v>45404.878290046297</v>
      </c>
      <c r="L875" s="10">
        <f t="shared" ca="1" si="55"/>
        <v>45404.878290046297</v>
      </c>
    </row>
    <row r="876" spans="6:12" x14ac:dyDescent="0.25">
      <c r="F876" s="11" t="str">
        <f>IF(ISBLANK(D876),"",(VLOOKUP(D876,Cardápio!$A$2:$B$16,2,0))*E876)</f>
        <v/>
      </c>
      <c r="H876" s="7" t="str">
        <f t="shared" si="52"/>
        <v/>
      </c>
      <c r="I876" s="7" t="str">
        <f>IF(AND(ISBLANK(D876),ISBLANK(C876)),"",((VLOOKUP(D876,Cardápio!$A$2:$C$16,3,0))*E876)+IF(B876="iFood",F876*0.27,(VLOOKUP(VENDAS!C876,Bairros!$A$2:$B$90,2,0))))</f>
        <v/>
      </c>
      <c r="J876" s="7" t="str">
        <f t="shared" si="53"/>
        <v/>
      </c>
      <c r="K876" s="9">
        <f t="shared" ca="1" si="54"/>
        <v>45404.878290046297</v>
      </c>
      <c r="L876" s="10">
        <f t="shared" ca="1" si="55"/>
        <v>45404.878290046297</v>
      </c>
    </row>
    <row r="877" spans="6:12" x14ac:dyDescent="0.25">
      <c r="F877" s="11" t="str">
        <f>IF(ISBLANK(D877),"",(VLOOKUP(D877,Cardápio!$A$2:$B$16,2,0))*E877)</f>
        <v/>
      </c>
      <c r="H877" s="7" t="str">
        <f t="shared" si="52"/>
        <v/>
      </c>
      <c r="I877" s="7" t="str">
        <f>IF(AND(ISBLANK(D877),ISBLANK(C877)),"",((VLOOKUP(D877,Cardápio!$A$2:$C$16,3,0))*E877)+IF(B877="iFood",F877*0.27,(VLOOKUP(VENDAS!C877,Bairros!$A$2:$B$90,2,0))))</f>
        <v/>
      </c>
      <c r="J877" s="7" t="str">
        <f t="shared" si="53"/>
        <v/>
      </c>
      <c r="K877" s="9">
        <f t="shared" ca="1" si="54"/>
        <v>45404.878290162036</v>
      </c>
      <c r="L877" s="10">
        <f t="shared" ca="1" si="55"/>
        <v>45404.878290046297</v>
      </c>
    </row>
    <row r="878" spans="6:12" x14ac:dyDescent="0.25">
      <c r="F878" s="11" t="str">
        <f>IF(ISBLANK(D878),"",(VLOOKUP(D878,Cardápio!$A$2:$B$16,2,0))*E878)</f>
        <v/>
      </c>
      <c r="H878" s="7" t="str">
        <f t="shared" si="52"/>
        <v/>
      </c>
      <c r="I878" s="7" t="str">
        <f>IF(AND(ISBLANK(D878),ISBLANK(C878)),"",((VLOOKUP(D878,Cardápio!$A$2:$C$16,3,0))*E878)+IF(B878="iFood",F878*0.27,(VLOOKUP(VENDAS!C878,Bairros!$A$2:$B$90,2,0))))</f>
        <v/>
      </c>
      <c r="J878" s="7" t="str">
        <f t="shared" si="53"/>
        <v/>
      </c>
      <c r="K878" s="9">
        <f t="shared" ca="1" si="54"/>
        <v>45404.878290162036</v>
      </c>
      <c r="L878" s="10">
        <f t="shared" ca="1" si="55"/>
        <v>45404.878290046297</v>
      </c>
    </row>
    <row r="879" spans="6:12" x14ac:dyDescent="0.25">
      <c r="F879" s="11" t="str">
        <f>IF(ISBLANK(D879),"",(VLOOKUP(D879,Cardápio!$A$2:$B$16,2,0))*E879)</f>
        <v/>
      </c>
      <c r="H879" s="7" t="str">
        <f t="shared" si="52"/>
        <v/>
      </c>
      <c r="I879" s="7" t="str">
        <f>IF(AND(ISBLANK(D879),ISBLANK(C879)),"",((VLOOKUP(D879,Cardápio!$A$2:$C$16,3,0))*E879)+IF(B879="iFood",F879*0.27,(VLOOKUP(VENDAS!C879,Bairros!$A$2:$B$90,2,0))))</f>
        <v/>
      </c>
      <c r="J879" s="7" t="str">
        <f t="shared" si="53"/>
        <v/>
      </c>
      <c r="K879" s="9">
        <f t="shared" ca="1" si="54"/>
        <v>45404.878290046297</v>
      </c>
      <c r="L879" s="10">
        <f t="shared" ca="1" si="55"/>
        <v>45404.878290046297</v>
      </c>
    </row>
    <row r="880" spans="6:12" x14ac:dyDescent="0.25">
      <c r="F880" s="11" t="str">
        <f>IF(ISBLANK(D880),"",(VLOOKUP(D880,Cardápio!$A$2:$B$16,2,0))*E880)</f>
        <v/>
      </c>
      <c r="H880" s="7" t="str">
        <f t="shared" si="52"/>
        <v/>
      </c>
      <c r="I880" s="7" t="str">
        <f>IF(AND(ISBLANK(D880),ISBLANK(C880)),"",((VLOOKUP(D880,Cardápio!$A$2:$C$16,3,0))*E880)+IF(B880="iFood",F880*0.27,(VLOOKUP(VENDAS!C880,Bairros!$A$2:$B$90,2,0))))</f>
        <v/>
      </c>
      <c r="J880" s="7" t="str">
        <f t="shared" si="53"/>
        <v/>
      </c>
      <c r="K880" s="9">
        <f t="shared" ca="1" si="54"/>
        <v>45404.878290046297</v>
      </c>
      <c r="L880" s="10">
        <f t="shared" ca="1" si="55"/>
        <v>45404.878290046297</v>
      </c>
    </row>
    <row r="881" spans="6:12" x14ac:dyDescent="0.25">
      <c r="F881" s="11" t="str">
        <f>IF(ISBLANK(D881),"",(VLOOKUP(D881,Cardápio!$A$2:$B$16,2,0))*E881)</f>
        <v/>
      </c>
      <c r="H881" s="7" t="str">
        <f t="shared" si="52"/>
        <v/>
      </c>
      <c r="I881" s="7" t="str">
        <f>IF(AND(ISBLANK(D881),ISBLANK(C881)),"",((VLOOKUP(D881,Cardápio!$A$2:$C$16,3,0))*E881)+IF(B881="iFood",F881*0.27,(VLOOKUP(VENDAS!C881,Bairros!$A$2:$B$90,2,0))))</f>
        <v/>
      </c>
      <c r="J881" s="7" t="str">
        <f t="shared" si="53"/>
        <v/>
      </c>
      <c r="K881" s="9">
        <f t="shared" ca="1" si="54"/>
        <v>45404.878290162036</v>
      </c>
      <c r="L881" s="10">
        <f t="shared" ca="1" si="55"/>
        <v>45404.878290046297</v>
      </c>
    </row>
    <row r="882" spans="6:12" x14ac:dyDescent="0.25">
      <c r="F882" s="11" t="str">
        <f>IF(ISBLANK(D882),"",(VLOOKUP(D882,Cardápio!$A$2:$B$16,2,0))*E882)</f>
        <v/>
      </c>
      <c r="H882" s="7" t="str">
        <f t="shared" si="52"/>
        <v/>
      </c>
      <c r="I882" s="7" t="str">
        <f>IF(AND(ISBLANK(D882),ISBLANK(C882)),"",((VLOOKUP(D882,Cardápio!$A$2:$C$16,3,0))*E882)+IF(B882="iFood",F882*0.27,(VLOOKUP(VENDAS!C882,Bairros!$A$2:$B$90,2,0))))</f>
        <v/>
      </c>
      <c r="J882" s="7" t="str">
        <f t="shared" si="53"/>
        <v/>
      </c>
      <c r="K882" s="9">
        <f t="shared" ca="1" si="54"/>
        <v>45404.878290162036</v>
      </c>
      <c r="L882" s="10">
        <f t="shared" ca="1" si="55"/>
        <v>45404.878290046297</v>
      </c>
    </row>
    <row r="883" spans="6:12" x14ac:dyDescent="0.25">
      <c r="F883" s="11" t="str">
        <f>IF(ISBLANK(D883),"",(VLOOKUP(D883,Cardápio!$A$2:$B$16,2,0))*E883)</f>
        <v/>
      </c>
      <c r="H883" s="7" t="str">
        <f t="shared" si="52"/>
        <v/>
      </c>
      <c r="I883" s="7" t="str">
        <f>IF(AND(ISBLANK(D883),ISBLANK(C883)),"",((VLOOKUP(D883,Cardápio!$A$2:$C$16,3,0))*E883)+IF(B883="iFood",F883*0.27,(VLOOKUP(VENDAS!C883,Bairros!$A$2:$B$90,2,0))))</f>
        <v/>
      </c>
      <c r="J883" s="7" t="str">
        <f t="shared" si="53"/>
        <v/>
      </c>
      <c r="K883" s="9">
        <f t="shared" ca="1" si="54"/>
        <v>45404.878290046297</v>
      </c>
      <c r="L883" s="10">
        <f t="shared" ca="1" si="55"/>
        <v>45404.878290046297</v>
      </c>
    </row>
    <row r="884" spans="6:12" x14ac:dyDescent="0.25">
      <c r="F884" s="11" t="str">
        <f>IF(ISBLANK(D884),"",(VLOOKUP(D884,Cardápio!$A$2:$B$16,2,0))*E884)</f>
        <v/>
      </c>
      <c r="H884" s="7" t="str">
        <f t="shared" si="52"/>
        <v/>
      </c>
      <c r="I884" s="7" t="str">
        <f>IF(AND(ISBLANK(D884),ISBLANK(C884)),"",((VLOOKUP(D884,Cardápio!$A$2:$C$16,3,0))*E884)+IF(B884="iFood",F884*0.27,(VLOOKUP(VENDAS!C884,Bairros!$A$2:$B$90,2,0))))</f>
        <v/>
      </c>
      <c r="J884" s="7" t="str">
        <f t="shared" si="53"/>
        <v/>
      </c>
      <c r="K884" s="9">
        <f t="shared" ca="1" si="54"/>
        <v>45404.878290046297</v>
      </c>
      <c r="L884" s="10">
        <f t="shared" ca="1" si="55"/>
        <v>45404.878290046297</v>
      </c>
    </row>
    <row r="885" spans="6:12" x14ac:dyDescent="0.25">
      <c r="F885" s="11" t="str">
        <f>IF(ISBLANK(D885),"",(VLOOKUP(D885,Cardápio!$A$2:$B$16,2,0))*E885)</f>
        <v/>
      </c>
      <c r="H885" s="7" t="str">
        <f t="shared" ref="H885:H948" si="56">IF(ISBLANK(D885),"",F885-G885)</f>
        <v/>
      </c>
      <c r="I885" s="7" t="str">
        <f>IF(AND(ISBLANK(D885),ISBLANK(C885)),"",((VLOOKUP(D885,Cardápio!$A$2:$C$16,3,0))*E885)+IF(B885="iFood",F885*0.27,(VLOOKUP(VENDAS!C885,Bairros!$A$2:$B$90,2,0))))</f>
        <v/>
      </c>
      <c r="J885" s="7" t="str">
        <f t="shared" ref="J885:J948" si="57">IF(OR(AND(ISBLANK(H885),ISBLANK(I885)),(AND(H885="",I885=""))),"",H885-I885)</f>
        <v/>
      </c>
      <c r="K885" s="9">
        <f t="shared" ref="K885:K948" ca="1" si="58">IF(D885&lt;&gt;"",K885,NOW())</f>
        <v>45404.878290162036</v>
      </c>
      <c r="L885" s="10">
        <f t="shared" ref="L885:L948" ca="1" si="59">IF(D885&lt;&gt;"",L885,NOW())</f>
        <v>45404.878290046297</v>
      </c>
    </row>
    <row r="886" spans="6:12" x14ac:dyDescent="0.25">
      <c r="F886" s="11" t="str">
        <f>IF(ISBLANK(D886),"",(VLOOKUP(D886,Cardápio!$A$2:$B$16,2,0))*E886)</f>
        <v/>
      </c>
      <c r="H886" s="7" t="str">
        <f t="shared" si="56"/>
        <v/>
      </c>
      <c r="I886" s="7" t="str">
        <f>IF(AND(ISBLANK(D886),ISBLANK(C886)),"",((VLOOKUP(D886,Cardápio!$A$2:$C$16,3,0))*E886)+IF(B886="iFood",F886*0.27,(VLOOKUP(VENDAS!C886,Bairros!$A$2:$B$90,2,0))))</f>
        <v/>
      </c>
      <c r="J886" s="7" t="str">
        <f t="shared" si="57"/>
        <v/>
      </c>
      <c r="K886" s="9">
        <f t="shared" ca="1" si="58"/>
        <v>45404.878290162036</v>
      </c>
      <c r="L886" s="10">
        <f t="shared" ca="1" si="59"/>
        <v>45404.878290046297</v>
      </c>
    </row>
    <row r="887" spans="6:12" x14ac:dyDescent="0.25">
      <c r="F887" s="11" t="str">
        <f>IF(ISBLANK(D887),"",(VLOOKUP(D887,Cardápio!$A$2:$B$16,2,0))*E887)</f>
        <v/>
      </c>
      <c r="H887" s="7" t="str">
        <f t="shared" si="56"/>
        <v/>
      </c>
      <c r="I887" s="7" t="str">
        <f>IF(AND(ISBLANK(D887),ISBLANK(C887)),"",((VLOOKUP(D887,Cardápio!$A$2:$C$16,3,0))*E887)+IF(B887="iFood",F887*0.27,(VLOOKUP(VENDAS!C887,Bairros!$A$2:$B$90,2,0))))</f>
        <v/>
      </c>
      <c r="J887" s="7" t="str">
        <f t="shared" si="57"/>
        <v/>
      </c>
      <c r="K887" s="9">
        <f t="shared" ca="1" si="58"/>
        <v>45404.878290046297</v>
      </c>
      <c r="L887" s="10">
        <f t="shared" ca="1" si="59"/>
        <v>45404.878290046297</v>
      </c>
    </row>
    <row r="888" spans="6:12" x14ac:dyDescent="0.25">
      <c r="F888" s="11" t="str">
        <f>IF(ISBLANK(D888),"",(VLOOKUP(D888,Cardápio!$A$2:$B$16,2,0))*E888)</f>
        <v/>
      </c>
      <c r="H888" s="7" t="str">
        <f t="shared" si="56"/>
        <v/>
      </c>
      <c r="I888" s="7" t="str">
        <f>IF(AND(ISBLANK(D888),ISBLANK(C888)),"",((VLOOKUP(D888,Cardápio!$A$2:$C$16,3,0))*E888)+IF(B888="iFood",F888*0.27,(VLOOKUP(VENDAS!C888,Bairros!$A$2:$B$90,2,0))))</f>
        <v/>
      </c>
      <c r="J888" s="7" t="str">
        <f t="shared" si="57"/>
        <v/>
      </c>
      <c r="K888" s="9">
        <f t="shared" ca="1" si="58"/>
        <v>45404.878290046297</v>
      </c>
      <c r="L888" s="10">
        <f t="shared" ca="1" si="59"/>
        <v>45404.878290046297</v>
      </c>
    </row>
    <row r="889" spans="6:12" x14ac:dyDescent="0.25">
      <c r="F889" s="11" t="str">
        <f>IF(ISBLANK(D889),"",(VLOOKUP(D889,Cardápio!$A$2:$B$16,2,0))*E889)</f>
        <v/>
      </c>
      <c r="H889" s="7" t="str">
        <f t="shared" si="56"/>
        <v/>
      </c>
      <c r="I889" s="7" t="str">
        <f>IF(AND(ISBLANK(D889),ISBLANK(C889)),"",((VLOOKUP(D889,Cardápio!$A$2:$C$16,3,0))*E889)+IF(B889="iFood",F889*0.27,(VLOOKUP(VENDAS!C889,Bairros!$A$2:$B$90,2,0))))</f>
        <v/>
      </c>
      <c r="J889" s="7" t="str">
        <f t="shared" si="57"/>
        <v/>
      </c>
      <c r="K889" s="9">
        <f t="shared" ca="1" si="58"/>
        <v>45404.878290162036</v>
      </c>
      <c r="L889" s="10">
        <f t="shared" ca="1" si="59"/>
        <v>45404.878290046297</v>
      </c>
    </row>
    <row r="890" spans="6:12" x14ac:dyDescent="0.25">
      <c r="F890" s="11" t="str">
        <f>IF(ISBLANK(D890),"",(VLOOKUP(D890,Cardápio!$A$2:$B$16,2,0))*E890)</f>
        <v/>
      </c>
      <c r="H890" s="7" t="str">
        <f t="shared" si="56"/>
        <v/>
      </c>
      <c r="I890" s="7" t="str">
        <f>IF(AND(ISBLANK(D890),ISBLANK(C890)),"",((VLOOKUP(D890,Cardápio!$A$2:$C$16,3,0))*E890)+IF(B890="iFood",F890*0.27,(VLOOKUP(VENDAS!C890,Bairros!$A$2:$B$90,2,0))))</f>
        <v/>
      </c>
      <c r="J890" s="7" t="str">
        <f t="shared" si="57"/>
        <v/>
      </c>
      <c r="K890" s="9">
        <f t="shared" ca="1" si="58"/>
        <v>45404.878290162036</v>
      </c>
      <c r="L890" s="10">
        <f t="shared" ca="1" si="59"/>
        <v>45404.878290046297</v>
      </c>
    </row>
    <row r="891" spans="6:12" x14ac:dyDescent="0.25">
      <c r="F891" s="11" t="str">
        <f>IF(ISBLANK(D891),"",(VLOOKUP(D891,Cardápio!$A$2:$B$16,2,0))*E891)</f>
        <v/>
      </c>
      <c r="H891" s="7" t="str">
        <f t="shared" si="56"/>
        <v/>
      </c>
      <c r="I891" s="7" t="str">
        <f>IF(AND(ISBLANK(D891),ISBLANK(C891)),"",((VLOOKUP(D891,Cardápio!$A$2:$C$16,3,0))*E891)+IF(B891="iFood",F891*0.27,(VLOOKUP(VENDAS!C891,Bairros!$A$2:$B$90,2,0))))</f>
        <v/>
      </c>
      <c r="J891" s="7" t="str">
        <f t="shared" si="57"/>
        <v/>
      </c>
      <c r="K891" s="9">
        <f t="shared" ca="1" si="58"/>
        <v>45404.878290046297</v>
      </c>
      <c r="L891" s="10">
        <f t="shared" ca="1" si="59"/>
        <v>45404.878290046297</v>
      </c>
    </row>
    <row r="892" spans="6:12" x14ac:dyDescent="0.25">
      <c r="F892" s="11" t="str">
        <f>IF(ISBLANK(D892),"",(VLOOKUP(D892,Cardápio!$A$2:$B$16,2,0))*E892)</f>
        <v/>
      </c>
      <c r="H892" s="7" t="str">
        <f t="shared" si="56"/>
        <v/>
      </c>
      <c r="I892" s="7" t="str">
        <f>IF(AND(ISBLANK(D892),ISBLANK(C892)),"",((VLOOKUP(D892,Cardápio!$A$2:$C$16,3,0))*E892)+IF(B892="iFood",F892*0.27,(VLOOKUP(VENDAS!C892,Bairros!$A$2:$B$90,2,0))))</f>
        <v/>
      </c>
      <c r="J892" s="7" t="str">
        <f t="shared" si="57"/>
        <v/>
      </c>
      <c r="K892" s="9">
        <f t="shared" ca="1" si="58"/>
        <v>45404.878290046297</v>
      </c>
      <c r="L892" s="10">
        <f t="shared" ca="1" si="59"/>
        <v>45404.878290046297</v>
      </c>
    </row>
    <row r="893" spans="6:12" x14ac:dyDescent="0.25">
      <c r="F893" s="11" t="str">
        <f>IF(ISBLANK(D893),"",(VLOOKUP(D893,Cardápio!$A$2:$B$16,2,0))*E893)</f>
        <v/>
      </c>
      <c r="H893" s="7" t="str">
        <f t="shared" si="56"/>
        <v/>
      </c>
      <c r="I893" s="7" t="str">
        <f>IF(AND(ISBLANK(D893),ISBLANK(C893)),"",((VLOOKUP(D893,Cardápio!$A$2:$C$16,3,0))*E893)+IF(B893="iFood",F893*0.27,(VLOOKUP(VENDAS!C893,Bairros!$A$2:$B$90,2,0))))</f>
        <v/>
      </c>
      <c r="J893" s="7" t="str">
        <f t="shared" si="57"/>
        <v/>
      </c>
      <c r="K893" s="9">
        <f t="shared" ca="1" si="58"/>
        <v>45404.878290162036</v>
      </c>
      <c r="L893" s="10">
        <f t="shared" ca="1" si="59"/>
        <v>45404.878290046297</v>
      </c>
    </row>
    <row r="894" spans="6:12" x14ac:dyDescent="0.25">
      <c r="F894" s="11" t="str">
        <f>IF(ISBLANK(D894),"",(VLOOKUP(D894,Cardápio!$A$2:$B$16,2,0))*E894)</f>
        <v/>
      </c>
      <c r="H894" s="7" t="str">
        <f t="shared" si="56"/>
        <v/>
      </c>
      <c r="I894" s="7" t="str">
        <f>IF(AND(ISBLANK(D894),ISBLANK(C894)),"",((VLOOKUP(D894,Cardápio!$A$2:$C$16,3,0))*E894)+IF(B894="iFood",F894*0.27,(VLOOKUP(VENDAS!C894,Bairros!$A$2:$B$90,2,0))))</f>
        <v/>
      </c>
      <c r="J894" s="7" t="str">
        <f t="shared" si="57"/>
        <v/>
      </c>
      <c r="K894" s="9">
        <f t="shared" ca="1" si="58"/>
        <v>45404.878290162036</v>
      </c>
      <c r="L894" s="10">
        <f t="shared" ca="1" si="59"/>
        <v>45404.878290046297</v>
      </c>
    </row>
    <row r="895" spans="6:12" x14ac:dyDescent="0.25">
      <c r="F895" s="11" t="str">
        <f>IF(ISBLANK(D895),"",(VLOOKUP(D895,Cardápio!$A$2:$B$16,2,0))*E895)</f>
        <v/>
      </c>
      <c r="H895" s="7" t="str">
        <f t="shared" si="56"/>
        <v/>
      </c>
      <c r="I895" s="7" t="str">
        <f>IF(AND(ISBLANK(D895),ISBLANK(C895)),"",((VLOOKUP(D895,Cardápio!$A$2:$C$16,3,0))*E895)+IF(B895="iFood",F895*0.27,(VLOOKUP(VENDAS!C895,Bairros!$A$2:$B$90,2,0))))</f>
        <v/>
      </c>
      <c r="J895" s="7" t="str">
        <f t="shared" si="57"/>
        <v/>
      </c>
      <c r="K895" s="9">
        <f t="shared" ca="1" si="58"/>
        <v>45404.878290046297</v>
      </c>
      <c r="L895" s="10">
        <f t="shared" ca="1" si="59"/>
        <v>45404.878290046297</v>
      </c>
    </row>
    <row r="896" spans="6:12" x14ac:dyDescent="0.25">
      <c r="F896" s="11" t="str">
        <f>IF(ISBLANK(D896),"",(VLOOKUP(D896,Cardápio!$A$2:$B$16,2,0))*E896)</f>
        <v/>
      </c>
      <c r="H896" s="7" t="str">
        <f t="shared" si="56"/>
        <v/>
      </c>
      <c r="I896" s="7" t="str">
        <f>IF(AND(ISBLANK(D896),ISBLANK(C896)),"",((VLOOKUP(D896,Cardápio!$A$2:$C$16,3,0))*E896)+IF(B896="iFood",F896*0.27,(VLOOKUP(VENDAS!C896,Bairros!$A$2:$B$90,2,0))))</f>
        <v/>
      </c>
      <c r="J896" s="7" t="str">
        <f t="shared" si="57"/>
        <v/>
      </c>
      <c r="K896" s="9">
        <f t="shared" ca="1" si="58"/>
        <v>45404.878290046297</v>
      </c>
      <c r="L896" s="10">
        <f t="shared" ca="1" si="59"/>
        <v>45404.878290046297</v>
      </c>
    </row>
    <row r="897" spans="6:12" x14ac:dyDescent="0.25">
      <c r="F897" s="11" t="str">
        <f>IF(ISBLANK(D897),"",(VLOOKUP(D897,Cardápio!$A$2:$B$16,2,0))*E897)</f>
        <v/>
      </c>
      <c r="H897" s="7" t="str">
        <f t="shared" si="56"/>
        <v/>
      </c>
      <c r="I897" s="7" t="str">
        <f>IF(AND(ISBLANK(D897),ISBLANK(C897)),"",((VLOOKUP(D897,Cardápio!$A$2:$C$16,3,0))*E897)+IF(B897="iFood",F897*0.27,(VLOOKUP(VENDAS!C897,Bairros!$A$2:$B$90,2,0))))</f>
        <v/>
      </c>
      <c r="J897" s="7" t="str">
        <f t="shared" si="57"/>
        <v/>
      </c>
      <c r="K897" s="9">
        <f t="shared" ca="1" si="58"/>
        <v>45404.878290162036</v>
      </c>
      <c r="L897" s="10">
        <f t="shared" ca="1" si="59"/>
        <v>45404.878290046297</v>
      </c>
    </row>
    <row r="898" spans="6:12" x14ac:dyDescent="0.25">
      <c r="F898" s="11" t="str">
        <f>IF(ISBLANK(D898),"",(VLOOKUP(D898,Cardápio!$A$2:$B$16,2,0))*E898)</f>
        <v/>
      </c>
      <c r="H898" s="7" t="str">
        <f t="shared" si="56"/>
        <v/>
      </c>
      <c r="I898" s="7" t="str">
        <f>IF(AND(ISBLANK(D898),ISBLANK(C898)),"",((VLOOKUP(D898,Cardápio!$A$2:$C$16,3,0))*E898)+IF(B898="iFood",F898*0.27,(VLOOKUP(VENDAS!C898,Bairros!$A$2:$B$90,2,0))))</f>
        <v/>
      </c>
      <c r="J898" s="7" t="str">
        <f t="shared" si="57"/>
        <v/>
      </c>
      <c r="K898" s="9">
        <f t="shared" ca="1" si="58"/>
        <v>45404.878290162036</v>
      </c>
      <c r="L898" s="10">
        <f t="shared" ca="1" si="59"/>
        <v>45404.878290046297</v>
      </c>
    </row>
    <row r="899" spans="6:12" x14ac:dyDescent="0.25">
      <c r="F899" s="11" t="str">
        <f>IF(ISBLANK(D899),"",(VLOOKUP(D899,Cardápio!$A$2:$B$16,2,0))*E899)</f>
        <v/>
      </c>
      <c r="H899" s="7" t="str">
        <f t="shared" si="56"/>
        <v/>
      </c>
      <c r="I899" s="7" t="str">
        <f>IF(AND(ISBLANK(D899),ISBLANK(C899)),"",((VLOOKUP(D899,Cardápio!$A$2:$C$16,3,0))*E899)+IF(B899="iFood",F899*0.27,(VLOOKUP(VENDAS!C899,Bairros!$A$2:$B$90,2,0))))</f>
        <v/>
      </c>
      <c r="J899" s="7" t="str">
        <f t="shared" si="57"/>
        <v/>
      </c>
      <c r="K899" s="9">
        <f t="shared" ca="1" si="58"/>
        <v>45404.878290046297</v>
      </c>
      <c r="L899" s="10">
        <f t="shared" ca="1" si="59"/>
        <v>45404.878290046297</v>
      </c>
    </row>
    <row r="900" spans="6:12" x14ac:dyDescent="0.25">
      <c r="F900" s="11" t="str">
        <f>IF(ISBLANK(D900),"",(VLOOKUP(D900,Cardápio!$A$2:$B$16,2,0))*E900)</f>
        <v/>
      </c>
      <c r="H900" s="7" t="str">
        <f t="shared" si="56"/>
        <v/>
      </c>
      <c r="I900" s="7" t="str">
        <f>IF(AND(ISBLANK(D900),ISBLANK(C900)),"",((VLOOKUP(D900,Cardápio!$A$2:$C$16,3,0))*E900)+IF(B900="iFood",F900*0.27,(VLOOKUP(VENDAS!C900,Bairros!$A$2:$B$90,2,0))))</f>
        <v/>
      </c>
      <c r="J900" s="7" t="str">
        <f t="shared" si="57"/>
        <v/>
      </c>
      <c r="K900" s="9">
        <f t="shared" ca="1" si="58"/>
        <v>45404.878290046297</v>
      </c>
      <c r="L900" s="10">
        <f t="shared" ca="1" si="59"/>
        <v>45404.878290046297</v>
      </c>
    </row>
    <row r="901" spans="6:12" x14ac:dyDescent="0.25">
      <c r="F901" s="11" t="str">
        <f>IF(ISBLANK(D901),"",(VLOOKUP(D901,Cardápio!$A$2:$B$16,2,0))*E901)</f>
        <v/>
      </c>
      <c r="H901" s="7" t="str">
        <f t="shared" si="56"/>
        <v/>
      </c>
      <c r="I901" s="7" t="str">
        <f>IF(AND(ISBLANK(D901),ISBLANK(C901)),"",((VLOOKUP(D901,Cardápio!$A$2:$C$16,3,0))*E901)+IF(B901="iFood",F901*0.27,(VLOOKUP(VENDAS!C901,Bairros!$A$2:$B$90,2,0))))</f>
        <v/>
      </c>
      <c r="J901" s="7" t="str">
        <f t="shared" si="57"/>
        <v/>
      </c>
      <c r="K901" s="9">
        <f t="shared" ca="1" si="58"/>
        <v>45404.878290162036</v>
      </c>
      <c r="L901" s="10">
        <f t="shared" ca="1" si="59"/>
        <v>45404.878290046297</v>
      </c>
    </row>
    <row r="902" spans="6:12" x14ac:dyDescent="0.25">
      <c r="F902" s="11" t="str">
        <f>IF(ISBLANK(D902),"",(VLOOKUP(D902,Cardápio!$A$2:$B$16,2,0))*E902)</f>
        <v/>
      </c>
      <c r="H902" s="7" t="str">
        <f t="shared" si="56"/>
        <v/>
      </c>
      <c r="I902" s="7" t="str">
        <f>IF(AND(ISBLANK(D902),ISBLANK(C902)),"",((VLOOKUP(D902,Cardápio!$A$2:$C$16,3,0))*E902)+IF(B902="iFood",F902*0.27,(VLOOKUP(VENDAS!C902,Bairros!$A$2:$B$90,2,0))))</f>
        <v/>
      </c>
      <c r="J902" s="7" t="str">
        <f t="shared" si="57"/>
        <v/>
      </c>
      <c r="K902" s="9">
        <f t="shared" ca="1" si="58"/>
        <v>45404.878290162036</v>
      </c>
      <c r="L902" s="10">
        <f t="shared" ca="1" si="59"/>
        <v>45404.878290046297</v>
      </c>
    </row>
    <row r="903" spans="6:12" x14ac:dyDescent="0.25">
      <c r="F903" s="11" t="str">
        <f>IF(ISBLANK(D903),"",(VLOOKUP(D903,Cardápio!$A$2:$B$16,2,0))*E903)</f>
        <v/>
      </c>
      <c r="H903" s="7" t="str">
        <f t="shared" si="56"/>
        <v/>
      </c>
      <c r="I903" s="7" t="str">
        <f>IF(AND(ISBLANK(D903),ISBLANK(C903)),"",((VLOOKUP(D903,Cardápio!$A$2:$C$16,3,0))*E903)+IF(B903="iFood",F903*0.27,(VLOOKUP(VENDAS!C903,Bairros!$A$2:$B$90,2,0))))</f>
        <v/>
      </c>
      <c r="J903" s="7" t="str">
        <f t="shared" si="57"/>
        <v/>
      </c>
      <c r="K903" s="9">
        <f t="shared" ca="1" si="58"/>
        <v>45404.878290046297</v>
      </c>
      <c r="L903" s="10">
        <f t="shared" ca="1" si="59"/>
        <v>45404.878290046297</v>
      </c>
    </row>
    <row r="904" spans="6:12" x14ac:dyDescent="0.25">
      <c r="F904" s="11" t="str">
        <f>IF(ISBLANK(D904),"",(VLOOKUP(D904,Cardápio!$A$2:$B$16,2,0))*E904)</f>
        <v/>
      </c>
      <c r="H904" s="7" t="str">
        <f t="shared" si="56"/>
        <v/>
      </c>
      <c r="I904" s="7" t="str">
        <f>IF(AND(ISBLANK(D904),ISBLANK(C904)),"",((VLOOKUP(D904,Cardápio!$A$2:$C$16,3,0))*E904)+IF(B904="iFood",F904*0.27,(VLOOKUP(VENDAS!C904,Bairros!$A$2:$B$90,2,0))))</f>
        <v/>
      </c>
      <c r="J904" s="7" t="str">
        <f t="shared" si="57"/>
        <v/>
      </c>
      <c r="K904" s="9">
        <f t="shared" ca="1" si="58"/>
        <v>45404.878290046297</v>
      </c>
      <c r="L904" s="10">
        <f t="shared" ca="1" si="59"/>
        <v>45404.878290046297</v>
      </c>
    </row>
    <row r="905" spans="6:12" x14ac:dyDescent="0.25">
      <c r="F905" s="11" t="str">
        <f>IF(ISBLANK(D905),"",(VLOOKUP(D905,Cardápio!$A$2:$B$16,2,0))*E905)</f>
        <v/>
      </c>
      <c r="H905" s="7" t="str">
        <f t="shared" si="56"/>
        <v/>
      </c>
      <c r="I905" s="7" t="str">
        <f>IF(AND(ISBLANK(D905),ISBLANK(C905)),"",((VLOOKUP(D905,Cardápio!$A$2:$C$16,3,0))*E905)+IF(B905="iFood",F905*0.27,(VLOOKUP(VENDAS!C905,Bairros!$A$2:$B$90,2,0))))</f>
        <v/>
      </c>
      <c r="J905" s="7" t="str">
        <f t="shared" si="57"/>
        <v/>
      </c>
      <c r="K905" s="9">
        <f t="shared" ca="1" si="58"/>
        <v>45404.878290162036</v>
      </c>
      <c r="L905" s="10">
        <f t="shared" ca="1" si="59"/>
        <v>45404.878290046297</v>
      </c>
    </row>
    <row r="906" spans="6:12" x14ac:dyDescent="0.25">
      <c r="F906" s="11" t="str">
        <f>IF(ISBLANK(D906),"",(VLOOKUP(D906,Cardápio!$A$2:$B$16,2,0))*E906)</f>
        <v/>
      </c>
      <c r="H906" s="7" t="str">
        <f t="shared" si="56"/>
        <v/>
      </c>
      <c r="I906" s="7" t="str">
        <f>IF(AND(ISBLANK(D906),ISBLANK(C906)),"",((VLOOKUP(D906,Cardápio!$A$2:$C$16,3,0))*E906)+IF(B906="iFood",F906*0.27,(VLOOKUP(VENDAS!C906,Bairros!$A$2:$B$90,2,0))))</f>
        <v/>
      </c>
      <c r="J906" s="7" t="str">
        <f t="shared" si="57"/>
        <v/>
      </c>
      <c r="K906" s="9">
        <f t="shared" ca="1" si="58"/>
        <v>45404.878290162036</v>
      </c>
      <c r="L906" s="10">
        <f t="shared" ca="1" si="59"/>
        <v>45404.878290046297</v>
      </c>
    </row>
    <row r="907" spans="6:12" x14ac:dyDescent="0.25">
      <c r="F907" s="11" t="str">
        <f>IF(ISBLANK(D907),"",(VLOOKUP(D907,Cardápio!$A$2:$B$16,2,0))*E907)</f>
        <v/>
      </c>
      <c r="H907" s="7" t="str">
        <f t="shared" si="56"/>
        <v/>
      </c>
      <c r="I907" s="7" t="str">
        <f>IF(AND(ISBLANK(D907),ISBLANK(C907)),"",((VLOOKUP(D907,Cardápio!$A$2:$C$16,3,0))*E907)+IF(B907="iFood",F907*0.27,(VLOOKUP(VENDAS!C907,Bairros!$A$2:$B$90,2,0))))</f>
        <v/>
      </c>
      <c r="J907" s="7" t="str">
        <f t="shared" si="57"/>
        <v/>
      </c>
      <c r="K907" s="9">
        <f t="shared" ca="1" si="58"/>
        <v>45404.878290046297</v>
      </c>
      <c r="L907" s="10">
        <f t="shared" ca="1" si="59"/>
        <v>45404.878290046297</v>
      </c>
    </row>
    <row r="908" spans="6:12" x14ac:dyDescent="0.25">
      <c r="F908" s="11" t="str">
        <f>IF(ISBLANK(D908),"",(VLOOKUP(D908,Cardápio!$A$2:$B$16,2,0))*E908)</f>
        <v/>
      </c>
      <c r="H908" s="7" t="str">
        <f t="shared" si="56"/>
        <v/>
      </c>
      <c r="I908" s="7" t="str">
        <f>IF(AND(ISBLANK(D908),ISBLANK(C908)),"",((VLOOKUP(D908,Cardápio!$A$2:$C$16,3,0))*E908)+IF(B908="iFood",F908*0.27,(VLOOKUP(VENDAS!C908,Bairros!$A$2:$B$90,2,0))))</f>
        <v/>
      </c>
      <c r="J908" s="7" t="str">
        <f t="shared" si="57"/>
        <v/>
      </c>
      <c r="K908" s="9">
        <f t="shared" ca="1" si="58"/>
        <v>45404.878290046297</v>
      </c>
      <c r="L908" s="10">
        <f t="shared" ca="1" si="59"/>
        <v>45404.878290046297</v>
      </c>
    </row>
    <row r="909" spans="6:12" x14ac:dyDescent="0.25">
      <c r="F909" s="11" t="str">
        <f>IF(ISBLANK(D909),"",(VLOOKUP(D909,Cardápio!$A$2:$B$16,2,0))*E909)</f>
        <v/>
      </c>
      <c r="H909" s="7" t="str">
        <f t="shared" si="56"/>
        <v/>
      </c>
      <c r="I909" s="7" t="str">
        <f>IF(AND(ISBLANK(D909),ISBLANK(C909)),"",((VLOOKUP(D909,Cardápio!$A$2:$C$16,3,0))*E909)+IF(B909="iFood",F909*0.27,(VLOOKUP(VENDAS!C909,Bairros!$A$2:$B$90,2,0))))</f>
        <v/>
      </c>
      <c r="J909" s="7" t="str">
        <f t="shared" si="57"/>
        <v/>
      </c>
      <c r="K909" s="9">
        <f t="shared" ca="1" si="58"/>
        <v>45404.878290162036</v>
      </c>
      <c r="L909" s="10">
        <f t="shared" ca="1" si="59"/>
        <v>45404.878290046297</v>
      </c>
    </row>
    <row r="910" spans="6:12" x14ac:dyDescent="0.25">
      <c r="F910" s="11" t="str">
        <f>IF(ISBLANK(D910),"",(VLOOKUP(D910,Cardápio!$A$2:$B$16,2,0))*E910)</f>
        <v/>
      </c>
      <c r="H910" s="7" t="str">
        <f t="shared" si="56"/>
        <v/>
      </c>
      <c r="I910" s="7" t="str">
        <f>IF(AND(ISBLANK(D910),ISBLANK(C910)),"",((VLOOKUP(D910,Cardápio!$A$2:$C$16,3,0))*E910)+IF(B910="iFood",F910*0.27,(VLOOKUP(VENDAS!C910,Bairros!$A$2:$B$90,2,0))))</f>
        <v/>
      </c>
      <c r="J910" s="7" t="str">
        <f t="shared" si="57"/>
        <v/>
      </c>
      <c r="K910" s="9">
        <f t="shared" ca="1" si="58"/>
        <v>45404.878290162036</v>
      </c>
      <c r="L910" s="10">
        <f t="shared" ca="1" si="59"/>
        <v>45404.878290046297</v>
      </c>
    </row>
    <row r="911" spans="6:12" x14ac:dyDescent="0.25">
      <c r="F911" s="11" t="str">
        <f>IF(ISBLANK(D911),"",(VLOOKUP(D911,Cardápio!$A$2:$B$16,2,0))*E911)</f>
        <v/>
      </c>
      <c r="H911" s="7" t="str">
        <f t="shared" si="56"/>
        <v/>
      </c>
      <c r="I911" s="7" t="str">
        <f>IF(AND(ISBLANK(D911),ISBLANK(C911)),"",((VLOOKUP(D911,Cardápio!$A$2:$C$16,3,0))*E911)+IF(B911="iFood",F911*0.27,(VLOOKUP(VENDAS!C911,Bairros!$A$2:$B$90,2,0))))</f>
        <v/>
      </c>
      <c r="J911" s="7" t="str">
        <f t="shared" si="57"/>
        <v/>
      </c>
      <c r="K911" s="9">
        <f t="shared" ca="1" si="58"/>
        <v>45404.878290046297</v>
      </c>
      <c r="L911" s="10">
        <f t="shared" ca="1" si="59"/>
        <v>45404.878290046297</v>
      </c>
    </row>
    <row r="912" spans="6:12" x14ac:dyDescent="0.25">
      <c r="F912" s="11" t="str">
        <f>IF(ISBLANK(D912),"",(VLOOKUP(D912,Cardápio!$A$2:$B$16,2,0))*E912)</f>
        <v/>
      </c>
      <c r="H912" s="7" t="str">
        <f t="shared" si="56"/>
        <v/>
      </c>
      <c r="I912" s="7" t="str">
        <f>IF(AND(ISBLANK(D912),ISBLANK(C912)),"",((VLOOKUP(D912,Cardápio!$A$2:$C$16,3,0))*E912)+IF(B912="iFood",F912*0.27,(VLOOKUP(VENDAS!C912,Bairros!$A$2:$B$90,2,0))))</f>
        <v/>
      </c>
      <c r="J912" s="7" t="str">
        <f t="shared" si="57"/>
        <v/>
      </c>
      <c r="K912" s="9">
        <f t="shared" ca="1" si="58"/>
        <v>45404.878290046297</v>
      </c>
      <c r="L912" s="10">
        <f t="shared" ca="1" si="59"/>
        <v>45404.878290046297</v>
      </c>
    </row>
    <row r="913" spans="6:12" x14ac:dyDescent="0.25">
      <c r="F913" s="11" t="str">
        <f>IF(ISBLANK(D913),"",(VLOOKUP(D913,Cardápio!$A$2:$B$16,2,0))*E913)</f>
        <v/>
      </c>
      <c r="H913" s="7" t="str">
        <f t="shared" si="56"/>
        <v/>
      </c>
      <c r="I913" s="7" t="str">
        <f>IF(AND(ISBLANK(D913),ISBLANK(C913)),"",((VLOOKUP(D913,Cardápio!$A$2:$C$16,3,0))*E913)+IF(B913="iFood",F913*0.27,(VLOOKUP(VENDAS!C913,Bairros!$A$2:$B$90,2,0))))</f>
        <v/>
      </c>
      <c r="J913" s="7" t="str">
        <f t="shared" si="57"/>
        <v/>
      </c>
      <c r="K913" s="9">
        <f t="shared" ca="1" si="58"/>
        <v>45404.878290162036</v>
      </c>
      <c r="L913" s="10">
        <f t="shared" ca="1" si="59"/>
        <v>45404.878290046297</v>
      </c>
    </row>
    <row r="914" spans="6:12" x14ac:dyDescent="0.25">
      <c r="F914" s="11" t="str">
        <f>IF(ISBLANK(D914),"",(VLOOKUP(D914,Cardápio!$A$2:$B$16,2,0))*E914)</f>
        <v/>
      </c>
      <c r="H914" s="7" t="str">
        <f t="shared" si="56"/>
        <v/>
      </c>
      <c r="I914" s="7" t="str">
        <f>IF(AND(ISBLANK(D914),ISBLANK(C914)),"",((VLOOKUP(D914,Cardápio!$A$2:$C$16,3,0))*E914)+IF(B914="iFood",F914*0.27,(VLOOKUP(VENDAS!C914,Bairros!$A$2:$B$90,2,0))))</f>
        <v/>
      </c>
      <c r="J914" s="7" t="str">
        <f t="shared" si="57"/>
        <v/>
      </c>
      <c r="K914" s="9">
        <f t="shared" ca="1" si="58"/>
        <v>45404.878290162036</v>
      </c>
      <c r="L914" s="10">
        <f t="shared" ca="1" si="59"/>
        <v>45404.878290046297</v>
      </c>
    </row>
    <row r="915" spans="6:12" x14ac:dyDescent="0.25">
      <c r="F915" s="11" t="str">
        <f>IF(ISBLANK(D915),"",(VLOOKUP(D915,Cardápio!$A$2:$B$16,2,0))*E915)</f>
        <v/>
      </c>
      <c r="H915" s="7" t="str">
        <f t="shared" si="56"/>
        <v/>
      </c>
      <c r="I915" s="7" t="str">
        <f>IF(AND(ISBLANK(D915),ISBLANK(C915)),"",((VLOOKUP(D915,Cardápio!$A$2:$C$16,3,0))*E915)+IF(B915="iFood",F915*0.27,(VLOOKUP(VENDAS!C915,Bairros!$A$2:$B$90,2,0))))</f>
        <v/>
      </c>
      <c r="J915" s="7" t="str">
        <f t="shared" si="57"/>
        <v/>
      </c>
      <c r="K915" s="9">
        <f t="shared" ca="1" si="58"/>
        <v>45404.878290046297</v>
      </c>
      <c r="L915" s="10">
        <f t="shared" ca="1" si="59"/>
        <v>45404.878290046297</v>
      </c>
    </row>
    <row r="916" spans="6:12" x14ac:dyDescent="0.25">
      <c r="F916" s="11" t="str">
        <f>IF(ISBLANK(D916),"",(VLOOKUP(D916,Cardápio!$A$2:$B$16,2,0))*E916)</f>
        <v/>
      </c>
      <c r="H916" s="7" t="str">
        <f t="shared" si="56"/>
        <v/>
      </c>
      <c r="I916" s="7" t="str">
        <f>IF(AND(ISBLANK(D916),ISBLANK(C916)),"",((VLOOKUP(D916,Cardápio!$A$2:$C$16,3,0))*E916)+IF(B916="iFood",F916*0.27,(VLOOKUP(VENDAS!C916,Bairros!$A$2:$B$90,2,0))))</f>
        <v/>
      </c>
      <c r="J916" s="7" t="str">
        <f t="shared" si="57"/>
        <v/>
      </c>
      <c r="K916" s="9">
        <f t="shared" ca="1" si="58"/>
        <v>45404.878290046297</v>
      </c>
      <c r="L916" s="10">
        <f t="shared" ca="1" si="59"/>
        <v>45404.878290046297</v>
      </c>
    </row>
    <row r="917" spans="6:12" x14ac:dyDescent="0.25">
      <c r="F917" s="11" t="str">
        <f>IF(ISBLANK(D917),"",(VLOOKUP(D917,Cardápio!$A$2:$B$16,2,0))*E917)</f>
        <v/>
      </c>
      <c r="H917" s="7" t="str">
        <f t="shared" si="56"/>
        <v/>
      </c>
      <c r="I917" s="7" t="str">
        <f>IF(AND(ISBLANK(D917),ISBLANK(C917)),"",((VLOOKUP(D917,Cardápio!$A$2:$C$16,3,0))*E917)+IF(B917="iFood",F917*0.27,(VLOOKUP(VENDAS!C917,Bairros!$A$2:$B$90,2,0))))</f>
        <v/>
      </c>
      <c r="J917" s="7" t="str">
        <f t="shared" si="57"/>
        <v/>
      </c>
      <c r="K917" s="9">
        <f t="shared" ca="1" si="58"/>
        <v>45404.878290162036</v>
      </c>
      <c r="L917" s="10">
        <f t="shared" ca="1" si="59"/>
        <v>45404.878290046297</v>
      </c>
    </row>
    <row r="918" spans="6:12" x14ac:dyDescent="0.25">
      <c r="F918" s="11" t="str">
        <f>IF(ISBLANK(D918),"",(VLOOKUP(D918,Cardápio!$A$2:$B$16,2,0))*E918)</f>
        <v/>
      </c>
      <c r="H918" s="7" t="str">
        <f t="shared" si="56"/>
        <v/>
      </c>
      <c r="I918" s="7" t="str">
        <f>IF(AND(ISBLANK(D918),ISBLANK(C918)),"",((VLOOKUP(D918,Cardápio!$A$2:$C$16,3,0))*E918)+IF(B918="iFood",F918*0.27,(VLOOKUP(VENDAS!C918,Bairros!$A$2:$B$90,2,0))))</f>
        <v/>
      </c>
      <c r="J918" s="7" t="str">
        <f t="shared" si="57"/>
        <v/>
      </c>
      <c r="K918" s="9">
        <f t="shared" ca="1" si="58"/>
        <v>45404.878290162036</v>
      </c>
      <c r="L918" s="10">
        <f t="shared" ca="1" si="59"/>
        <v>45404.878290046297</v>
      </c>
    </row>
    <row r="919" spans="6:12" x14ac:dyDescent="0.25">
      <c r="F919" s="11" t="str">
        <f>IF(ISBLANK(D919),"",(VLOOKUP(D919,Cardápio!$A$2:$B$16,2,0))*E919)</f>
        <v/>
      </c>
      <c r="H919" s="7" t="str">
        <f t="shared" si="56"/>
        <v/>
      </c>
      <c r="I919" s="7" t="str">
        <f>IF(AND(ISBLANK(D919),ISBLANK(C919)),"",((VLOOKUP(D919,Cardápio!$A$2:$C$16,3,0))*E919)+IF(B919="iFood",F919*0.27,(VLOOKUP(VENDAS!C919,Bairros!$A$2:$B$90,2,0))))</f>
        <v/>
      </c>
      <c r="J919" s="7" t="str">
        <f t="shared" si="57"/>
        <v/>
      </c>
      <c r="K919" s="9">
        <f t="shared" ca="1" si="58"/>
        <v>45404.878290046297</v>
      </c>
      <c r="L919" s="10">
        <f t="shared" ca="1" si="59"/>
        <v>45404.878290046297</v>
      </c>
    </row>
    <row r="920" spans="6:12" x14ac:dyDescent="0.25">
      <c r="F920" s="11" t="str">
        <f>IF(ISBLANK(D920),"",(VLOOKUP(D920,Cardápio!$A$2:$B$16,2,0))*E920)</f>
        <v/>
      </c>
      <c r="H920" s="7" t="str">
        <f t="shared" si="56"/>
        <v/>
      </c>
      <c r="I920" s="7" t="str">
        <f>IF(AND(ISBLANK(D920),ISBLANK(C920)),"",((VLOOKUP(D920,Cardápio!$A$2:$C$16,3,0))*E920)+IF(B920="iFood",F920*0.27,(VLOOKUP(VENDAS!C920,Bairros!$A$2:$B$90,2,0))))</f>
        <v/>
      </c>
      <c r="J920" s="7" t="str">
        <f t="shared" si="57"/>
        <v/>
      </c>
      <c r="K920" s="9">
        <f t="shared" ca="1" si="58"/>
        <v>45404.878290046297</v>
      </c>
      <c r="L920" s="10">
        <f t="shared" ca="1" si="59"/>
        <v>45404.878290046297</v>
      </c>
    </row>
    <row r="921" spans="6:12" x14ac:dyDescent="0.25">
      <c r="F921" s="11" t="str">
        <f>IF(ISBLANK(D921),"",(VLOOKUP(D921,Cardápio!$A$2:$B$16,2,0))*E921)</f>
        <v/>
      </c>
      <c r="H921" s="7" t="str">
        <f t="shared" si="56"/>
        <v/>
      </c>
      <c r="I921" s="7" t="str">
        <f>IF(AND(ISBLANK(D921),ISBLANK(C921)),"",((VLOOKUP(D921,Cardápio!$A$2:$C$16,3,0))*E921)+IF(B921="iFood",F921*0.27,(VLOOKUP(VENDAS!C921,Bairros!$A$2:$B$90,2,0))))</f>
        <v/>
      </c>
      <c r="J921" s="7" t="str">
        <f t="shared" si="57"/>
        <v/>
      </c>
      <c r="K921" s="9">
        <f t="shared" ca="1" si="58"/>
        <v>45404.878290162036</v>
      </c>
      <c r="L921" s="10">
        <f t="shared" ca="1" si="59"/>
        <v>45404.878290046297</v>
      </c>
    </row>
    <row r="922" spans="6:12" x14ac:dyDescent="0.25">
      <c r="F922" s="11" t="str">
        <f>IF(ISBLANK(D922),"",(VLOOKUP(D922,Cardápio!$A$2:$B$16,2,0))*E922)</f>
        <v/>
      </c>
      <c r="H922" s="7" t="str">
        <f t="shared" si="56"/>
        <v/>
      </c>
      <c r="I922" s="7" t="str">
        <f>IF(AND(ISBLANK(D922),ISBLANK(C922)),"",((VLOOKUP(D922,Cardápio!$A$2:$C$16,3,0))*E922)+IF(B922="iFood",F922*0.27,(VLOOKUP(VENDAS!C922,Bairros!$A$2:$B$90,2,0))))</f>
        <v/>
      </c>
      <c r="J922" s="7" t="str">
        <f t="shared" si="57"/>
        <v/>
      </c>
      <c r="K922" s="9">
        <f t="shared" ca="1" si="58"/>
        <v>45404.878290162036</v>
      </c>
      <c r="L922" s="10">
        <f t="shared" ca="1" si="59"/>
        <v>45404.878290046297</v>
      </c>
    </row>
    <row r="923" spans="6:12" x14ac:dyDescent="0.25">
      <c r="F923" s="11" t="str">
        <f>IF(ISBLANK(D923),"",(VLOOKUP(D923,Cardápio!$A$2:$B$16,2,0))*E923)</f>
        <v/>
      </c>
      <c r="H923" s="7" t="str">
        <f t="shared" si="56"/>
        <v/>
      </c>
      <c r="I923" s="7" t="str">
        <f>IF(AND(ISBLANK(D923),ISBLANK(C923)),"",((VLOOKUP(D923,Cardápio!$A$2:$C$16,3,0))*E923)+IF(B923="iFood",F923*0.27,(VLOOKUP(VENDAS!C923,Bairros!$A$2:$B$90,2,0))))</f>
        <v/>
      </c>
      <c r="J923" s="7" t="str">
        <f t="shared" si="57"/>
        <v/>
      </c>
      <c r="K923" s="9">
        <f t="shared" ca="1" si="58"/>
        <v>45404.878290046297</v>
      </c>
      <c r="L923" s="10">
        <f t="shared" ca="1" si="59"/>
        <v>45404.878290046297</v>
      </c>
    </row>
    <row r="924" spans="6:12" x14ac:dyDescent="0.25">
      <c r="F924" s="11" t="str">
        <f>IF(ISBLANK(D924),"",(VLOOKUP(D924,Cardápio!$A$2:$B$16,2,0))*E924)</f>
        <v/>
      </c>
      <c r="H924" s="7" t="str">
        <f t="shared" si="56"/>
        <v/>
      </c>
      <c r="I924" s="7" t="str">
        <f>IF(AND(ISBLANK(D924),ISBLANK(C924)),"",((VLOOKUP(D924,Cardápio!$A$2:$C$16,3,0))*E924)+IF(B924="iFood",F924*0.27,(VLOOKUP(VENDAS!C924,Bairros!$A$2:$B$90,2,0))))</f>
        <v/>
      </c>
      <c r="J924" s="7" t="str">
        <f t="shared" si="57"/>
        <v/>
      </c>
      <c r="K924" s="9">
        <f t="shared" ca="1" si="58"/>
        <v>45404.878290046297</v>
      </c>
      <c r="L924" s="10">
        <f t="shared" ca="1" si="59"/>
        <v>45404.878290046297</v>
      </c>
    </row>
    <row r="925" spans="6:12" x14ac:dyDescent="0.25">
      <c r="F925" s="11" t="str">
        <f>IF(ISBLANK(D925),"",(VLOOKUP(D925,Cardápio!$A$2:$B$16,2,0))*E925)</f>
        <v/>
      </c>
      <c r="H925" s="7" t="str">
        <f t="shared" si="56"/>
        <v/>
      </c>
      <c r="I925" s="7" t="str">
        <f>IF(AND(ISBLANK(D925),ISBLANK(C925)),"",((VLOOKUP(D925,Cardápio!$A$2:$C$16,3,0))*E925)+IF(B925="iFood",F925*0.27,(VLOOKUP(VENDAS!C925,Bairros!$A$2:$B$90,2,0))))</f>
        <v/>
      </c>
      <c r="J925" s="7" t="str">
        <f t="shared" si="57"/>
        <v/>
      </c>
      <c r="K925" s="9">
        <f t="shared" ca="1" si="58"/>
        <v>45404.878290162036</v>
      </c>
      <c r="L925" s="10">
        <f t="shared" ca="1" si="59"/>
        <v>45404.878290046297</v>
      </c>
    </row>
    <row r="926" spans="6:12" x14ac:dyDescent="0.25">
      <c r="F926" s="11" t="str">
        <f>IF(ISBLANK(D926),"",(VLOOKUP(D926,Cardápio!$A$2:$B$16,2,0))*E926)</f>
        <v/>
      </c>
      <c r="H926" s="7" t="str">
        <f t="shared" si="56"/>
        <v/>
      </c>
      <c r="I926" s="7" t="str">
        <f>IF(AND(ISBLANK(D926),ISBLANK(C926)),"",((VLOOKUP(D926,Cardápio!$A$2:$C$16,3,0))*E926)+IF(B926="iFood",F926*0.27,(VLOOKUP(VENDAS!C926,Bairros!$A$2:$B$90,2,0))))</f>
        <v/>
      </c>
      <c r="J926" s="7" t="str">
        <f t="shared" si="57"/>
        <v/>
      </c>
      <c r="K926" s="9">
        <f t="shared" ca="1" si="58"/>
        <v>45404.878290162036</v>
      </c>
      <c r="L926" s="10">
        <f t="shared" ca="1" si="59"/>
        <v>45404.878290046297</v>
      </c>
    </row>
    <row r="927" spans="6:12" x14ac:dyDescent="0.25">
      <c r="F927" s="11" t="str">
        <f>IF(ISBLANK(D927),"",(VLOOKUP(D927,Cardápio!$A$2:$B$16,2,0))*E927)</f>
        <v/>
      </c>
      <c r="H927" s="7" t="str">
        <f t="shared" si="56"/>
        <v/>
      </c>
      <c r="I927" s="7" t="str">
        <f>IF(AND(ISBLANK(D927),ISBLANK(C927)),"",((VLOOKUP(D927,Cardápio!$A$2:$C$16,3,0))*E927)+IF(B927="iFood",F927*0.27,(VLOOKUP(VENDAS!C927,Bairros!$A$2:$B$90,2,0))))</f>
        <v/>
      </c>
      <c r="J927" s="7" t="str">
        <f t="shared" si="57"/>
        <v/>
      </c>
      <c r="K927" s="9">
        <f t="shared" ca="1" si="58"/>
        <v>45404.878290046297</v>
      </c>
      <c r="L927" s="10">
        <f t="shared" ca="1" si="59"/>
        <v>45404.878290046297</v>
      </c>
    </row>
    <row r="928" spans="6:12" x14ac:dyDescent="0.25">
      <c r="F928" s="11" t="str">
        <f>IF(ISBLANK(D928),"",(VLOOKUP(D928,Cardápio!$A$2:$B$16,2,0))*E928)</f>
        <v/>
      </c>
      <c r="H928" s="7" t="str">
        <f t="shared" si="56"/>
        <v/>
      </c>
      <c r="I928" s="7" t="str">
        <f>IF(AND(ISBLANK(D928),ISBLANK(C928)),"",((VLOOKUP(D928,Cardápio!$A$2:$C$16,3,0))*E928)+IF(B928="iFood",F928*0.27,(VLOOKUP(VENDAS!C928,Bairros!$A$2:$B$90,2,0))))</f>
        <v/>
      </c>
      <c r="J928" s="7" t="str">
        <f t="shared" si="57"/>
        <v/>
      </c>
      <c r="K928" s="9">
        <f t="shared" ca="1" si="58"/>
        <v>45404.878290046297</v>
      </c>
      <c r="L928" s="10">
        <f t="shared" ca="1" si="59"/>
        <v>45404.878290046297</v>
      </c>
    </row>
    <row r="929" spans="6:12" x14ac:dyDescent="0.25">
      <c r="F929" s="11" t="str">
        <f>IF(ISBLANK(D929),"",(VLOOKUP(D929,Cardápio!$A$2:$B$16,2,0))*E929)</f>
        <v/>
      </c>
      <c r="H929" s="7" t="str">
        <f t="shared" si="56"/>
        <v/>
      </c>
      <c r="I929" s="7" t="str">
        <f>IF(AND(ISBLANK(D929),ISBLANK(C929)),"",((VLOOKUP(D929,Cardápio!$A$2:$C$16,3,0))*E929)+IF(B929="iFood",F929*0.27,(VLOOKUP(VENDAS!C929,Bairros!$A$2:$B$90,2,0))))</f>
        <v/>
      </c>
      <c r="J929" s="7" t="str">
        <f t="shared" si="57"/>
        <v/>
      </c>
      <c r="K929" s="9">
        <f t="shared" ca="1" si="58"/>
        <v>45404.878290162036</v>
      </c>
      <c r="L929" s="10">
        <f t="shared" ca="1" si="59"/>
        <v>45404.878290046297</v>
      </c>
    </row>
    <row r="930" spans="6:12" x14ac:dyDescent="0.25">
      <c r="F930" s="11" t="str">
        <f>IF(ISBLANK(D930),"",(VLOOKUP(D930,Cardápio!$A$2:$B$16,2,0))*E930)</f>
        <v/>
      </c>
      <c r="H930" s="7" t="str">
        <f t="shared" si="56"/>
        <v/>
      </c>
      <c r="I930" s="7" t="str">
        <f>IF(AND(ISBLANK(D930),ISBLANK(C930)),"",((VLOOKUP(D930,Cardápio!$A$2:$C$16,3,0))*E930)+IF(B930="iFood",F930*0.27,(VLOOKUP(VENDAS!C930,Bairros!$A$2:$B$90,2,0))))</f>
        <v/>
      </c>
      <c r="J930" s="7" t="str">
        <f t="shared" si="57"/>
        <v/>
      </c>
      <c r="K930" s="9">
        <f t="shared" ca="1" si="58"/>
        <v>45404.878290162036</v>
      </c>
      <c r="L930" s="10">
        <f t="shared" ca="1" si="59"/>
        <v>45404.878290046297</v>
      </c>
    </row>
    <row r="931" spans="6:12" x14ac:dyDescent="0.25">
      <c r="F931" s="11" t="str">
        <f>IF(ISBLANK(D931),"",(VLOOKUP(D931,Cardápio!$A$2:$B$16,2,0))*E931)</f>
        <v/>
      </c>
      <c r="H931" s="7" t="str">
        <f t="shared" si="56"/>
        <v/>
      </c>
      <c r="I931" s="7" t="str">
        <f>IF(AND(ISBLANK(D931),ISBLANK(C931)),"",((VLOOKUP(D931,Cardápio!$A$2:$C$16,3,0))*E931)+IF(B931="iFood",F931*0.27,(VLOOKUP(VENDAS!C931,Bairros!$A$2:$B$90,2,0))))</f>
        <v/>
      </c>
      <c r="J931" s="7" t="str">
        <f t="shared" si="57"/>
        <v/>
      </c>
      <c r="K931" s="9">
        <f t="shared" ca="1" si="58"/>
        <v>45404.878290046297</v>
      </c>
      <c r="L931" s="10">
        <f t="shared" ca="1" si="59"/>
        <v>45404.878290046297</v>
      </c>
    </row>
    <row r="932" spans="6:12" x14ac:dyDescent="0.25">
      <c r="F932" s="11" t="str">
        <f>IF(ISBLANK(D932),"",(VLOOKUP(D932,Cardápio!$A$2:$B$16,2,0))*E932)</f>
        <v/>
      </c>
      <c r="H932" s="7" t="str">
        <f t="shared" si="56"/>
        <v/>
      </c>
      <c r="I932" s="7" t="str">
        <f>IF(AND(ISBLANK(D932),ISBLANK(C932)),"",((VLOOKUP(D932,Cardápio!$A$2:$C$16,3,0))*E932)+IF(B932="iFood",F932*0.27,(VLOOKUP(VENDAS!C932,Bairros!$A$2:$B$90,2,0))))</f>
        <v/>
      </c>
      <c r="J932" s="7" t="str">
        <f t="shared" si="57"/>
        <v/>
      </c>
      <c r="K932" s="9">
        <f t="shared" ca="1" si="58"/>
        <v>45404.878290046297</v>
      </c>
      <c r="L932" s="10">
        <f t="shared" ca="1" si="59"/>
        <v>45404.878290046297</v>
      </c>
    </row>
    <row r="933" spans="6:12" x14ac:dyDescent="0.25">
      <c r="F933" s="11" t="str">
        <f>IF(ISBLANK(D933),"",(VLOOKUP(D933,Cardápio!$A$2:$B$16,2,0))*E933)</f>
        <v/>
      </c>
      <c r="H933" s="7" t="str">
        <f t="shared" si="56"/>
        <v/>
      </c>
      <c r="I933" s="7" t="str">
        <f>IF(AND(ISBLANK(D933),ISBLANK(C933)),"",((VLOOKUP(D933,Cardápio!$A$2:$C$16,3,0))*E933)+IF(B933="iFood",F933*0.27,(VLOOKUP(VENDAS!C933,Bairros!$A$2:$B$90,2,0))))</f>
        <v/>
      </c>
      <c r="J933" s="7" t="str">
        <f t="shared" si="57"/>
        <v/>
      </c>
      <c r="K933" s="9">
        <f t="shared" ca="1" si="58"/>
        <v>45404.878290162036</v>
      </c>
      <c r="L933" s="10">
        <f t="shared" ca="1" si="59"/>
        <v>45404.878290046297</v>
      </c>
    </row>
    <row r="934" spans="6:12" x14ac:dyDescent="0.25">
      <c r="F934" s="11" t="str">
        <f>IF(ISBLANK(D934),"",(VLOOKUP(D934,Cardápio!$A$2:$B$16,2,0))*E934)</f>
        <v/>
      </c>
      <c r="H934" s="7" t="str">
        <f t="shared" si="56"/>
        <v/>
      </c>
      <c r="I934" s="7" t="str">
        <f>IF(AND(ISBLANK(D934),ISBLANK(C934)),"",((VLOOKUP(D934,Cardápio!$A$2:$C$16,3,0))*E934)+IF(B934="iFood",F934*0.27,(VLOOKUP(VENDAS!C934,Bairros!$A$2:$B$90,2,0))))</f>
        <v/>
      </c>
      <c r="J934" s="7" t="str">
        <f t="shared" si="57"/>
        <v/>
      </c>
      <c r="K934" s="9">
        <f t="shared" ca="1" si="58"/>
        <v>45404.878290162036</v>
      </c>
      <c r="L934" s="10">
        <f t="shared" ca="1" si="59"/>
        <v>45404.878290046297</v>
      </c>
    </row>
    <row r="935" spans="6:12" x14ac:dyDescent="0.25">
      <c r="F935" s="11" t="str">
        <f>IF(ISBLANK(D935),"",(VLOOKUP(D935,Cardápio!$A$2:$B$16,2,0))*E935)</f>
        <v/>
      </c>
      <c r="H935" s="7" t="str">
        <f t="shared" si="56"/>
        <v/>
      </c>
      <c r="I935" s="7" t="str">
        <f>IF(AND(ISBLANK(D935),ISBLANK(C935)),"",((VLOOKUP(D935,Cardápio!$A$2:$C$16,3,0))*E935)+IF(B935="iFood",F935*0.27,(VLOOKUP(VENDAS!C935,Bairros!$A$2:$B$90,2,0))))</f>
        <v/>
      </c>
      <c r="J935" s="7" t="str">
        <f t="shared" si="57"/>
        <v/>
      </c>
      <c r="K935" s="9">
        <f t="shared" ca="1" si="58"/>
        <v>45404.878290046297</v>
      </c>
      <c r="L935" s="10">
        <f t="shared" ca="1" si="59"/>
        <v>45404.878290046297</v>
      </c>
    </row>
    <row r="936" spans="6:12" x14ac:dyDescent="0.25">
      <c r="F936" s="11" t="str">
        <f>IF(ISBLANK(D936),"",(VLOOKUP(D936,Cardápio!$A$2:$B$16,2,0))*E936)</f>
        <v/>
      </c>
      <c r="H936" s="7" t="str">
        <f t="shared" si="56"/>
        <v/>
      </c>
      <c r="I936" s="7" t="str">
        <f>IF(AND(ISBLANK(D936),ISBLANK(C936)),"",((VLOOKUP(D936,Cardápio!$A$2:$C$16,3,0))*E936)+IF(B936="iFood",F936*0.27,(VLOOKUP(VENDAS!C936,Bairros!$A$2:$B$90,2,0))))</f>
        <v/>
      </c>
      <c r="J936" s="7" t="str">
        <f t="shared" si="57"/>
        <v/>
      </c>
      <c r="K936" s="9">
        <f t="shared" ca="1" si="58"/>
        <v>45404.878290046297</v>
      </c>
      <c r="L936" s="10">
        <f t="shared" ca="1" si="59"/>
        <v>45404.878290046297</v>
      </c>
    </row>
    <row r="937" spans="6:12" x14ac:dyDescent="0.25">
      <c r="F937" s="11" t="str">
        <f>IF(ISBLANK(D937),"",(VLOOKUP(D937,Cardápio!$A$2:$B$16,2,0))*E937)</f>
        <v/>
      </c>
      <c r="H937" s="7" t="str">
        <f t="shared" si="56"/>
        <v/>
      </c>
      <c r="I937" s="7" t="str">
        <f>IF(AND(ISBLANK(D937),ISBLANK(C937)),"",((VLOOKUP(D937,Cardápio!$A$2:$C$16,3,0))*E937)+IF(B937="iFood",F937*0.27,(VLOOKUP(VENDAS!C937,Bairros!$A$2:$B$90,2,0))))</f>
        <v/>
      </c>
      <c r="J937" s="7" t="str">
        <f t="shared" si="57"/>
        <v/>
      </c>
      <c r="K937" s="9">
        <f t="shared" ca="1" si="58"/>
        <v>45404.878290162036</v>
      </c>
      <c r="L937" s="10">
        <f t="shared" ca="1" si="59"/>
        <v>45404.878290046297</v>
      </c>
    </row>
    <row r="938" spans="6:12" x14ac:dyDescent="0.25">
      <c r="F938" s="11" t="str">
        <f>IF(ISBLANK(D938),"",(VLOOKUP(D938,Cardápio!$A$2:$B$16,2,0))*E938)</f>
        <v/>
      </c>
      <c r="H938" s="7" t="str">
        <f t="shared" si="56"/>
        <v/>
      </c>
      <c r="I938" s="7" t="str">
        <f>IF(AND(ISBLANK(D938),ISBLANK(C938)),"",((VLOOKUP(D938,Cardápio!$A$2:$C$16,3,0))*E938)+IF(B938="iFood",F938*0.27,(VLOOKUP(VENDAS!C938,Bairros!$A$2:$B$90,2,0))))</f>
        <v/>
      </c>
      <c r="J938" s="7" t="str">
        <f t="shared" si="57"/>
        <v/>
      </c>
      <c r="K938" s="9">
        <f t="shared" ca="1" si="58"/>
        <v>45404.878290162036</v>
      </c>
      <c r="L938" s="10">
        <f t="shared" ca="1" si="59"/>
        <v>45404.878290046297</v>
      </c>
    </row>
    <row r="939" spans="6:12" x14ac:dyDescent="0.25">
      <c r="F939" s="11" t="str">
        <f>IF(ISBLANK(D939),"",(VLOOKUP(D939,Cardápio!$A$2:$B$16,2,0))*E939)</f>
        <v/>
      </c>
      <c r="H939" s="7" t="str">
        <f t="shared" si="56"/>
        <v/>
      </c>
      <c r="I939" s="7" t="str">
        <f>IF(AND(ISBLANK(D939),ISBLANK(C939)),"",((VLOOKUP(D939,Cardápio!$A$2:$C$16,3,0))*E939)+IF(B939="iFood",F939*0.27,(VLOOKUP(VENDAS!C939,Bairros!$A$2:$B$90,2,0))))</f>
        <v/>
      </c>
      <c r="J939" s="7" t="str">
        <f t="shared" si="57"/>
        <v/>
      </c>
      <c r="K939" s="9">
        <f t="shared" ca="1" si="58"/>
        <v>45404.878290046297</v>
      </c>
      <c r="L939" s="10">
        <f t="shared" ca="1" si="59"/>
        <v>45404.878290046297</v>
      </c>
    </row>
    <row r="940" spans="6:12" x14ac:dyDescent="0.25">
      <c r="F940" s="11" t="str">
        <f>IF(ISBLANK(D940),"",(VLOOKUP(D940,Cardápio!$A$2:$B$16,2,0))*E940)</f>
        <v/>
      </c>
      <c r="H940" s="7" t="str">
        <f t="shared" si="56"/>
        <v/>
      </c>
      <c r="I940" s="7" t="str">
        <f>IF(AND(ISBLANK(D940),ISBLANK(C940)),"",((VLOOKUP(D940,Cardápio!$A$2:$C$16,3,0))*E940)+IF(B940="iFood",F940*0.27,(VLOOKUP(VENDAS!C940,Bairros!$A$2:$B$90,2,0))))</f>
        <v/>
      </c>
      <c r="J940" s="7" t="str">
        <f t="shared" si="57"/>
        <v/>
      </c>
      <c r="K940" s="9">
        <f t="shared" ca="1" si="58"/>
        <v>45404.878290046297</v>
      </c>
      <c r="L940" s="10">
        <f t="shared" ca="1" si="59"/>
        <v>45404.878290046297</v>
      </c>
    </row>
    <row r="941" spans="6:12" x14ac:dyDescent="0.25">
      <c r="F941" s="11" t="str">
        <f>IF(ISBLANK(D941),"",(VLOOKUP(D941,Cardápio!$A$2:$B$16,2,0))*E941)</f>
        <v/>
      </c>
      <c r="H941" s="7" t="str">
        <f t="shared" si="56"/>
        <v/>
      </c>
      <c r="I941" s="7" t="str">
        <f>IF(AND(ISBLANK(D941),ISBLANK(C941)),"",((VLOOKUP(D941,Cardápio!$A$2:$C$16,3,0))*E941)+IF(B941="iFood",F941*0.27,(VLOOKUP(VENDAS!C941,Bairros!$A$2:$B$90,2,0))))</f>
        <v/>
      </c>
      <c r="J941" s="7" t="str">
        <f t="shared" si="57"/>
        <v/>
      </c>
      <c r="K941" s="9">
        <f t="shared" ca="1" si="58"/>
        <v>45404.878290162036</v>
      </c>
      <c r="L941" s="10">
        <f t="shared" ca="1" si="59"/>
        <v>45404.878290046297</v>
      </c>
    </row>
    <row r="942" spans="6:12" x14ac:dyDescent="0.25">
      <c r="F942" s="11" t="str">
        <f>IF(ISBLANK(D942),"",(VLOOKUP(D942,Cardápio!$A$2:$B$16,2,0))*E942)</f>
        <v/>
      </c>
      <c r="H942" s="7" t="str">
        <f t="shared" si="56"/>
        <v/>
      </c>
      <c r="I942" s="7" t="str">
        <f>IF(AND(ISBLANK(D942),ISBLANK(C942)),"",((VLOOKUP(D942,Cardápio!$A$2:$C$16,3,0))*E942)+IF(B942="iFood",F942*0.27,(VLOOKUP(VENDAS!C942,Bairros!$A$2:$B$90,2,0))))</f>
        <v/>
      </c>
      <c r="J942" s="7" t="str">
        <f t="shared" si="57"/>
        <v/>
      </c>
      <c r="K942" s="9">
        <f t="shared" ca="1" si="58"/>
        <v>45404.878290162036</v>
      </c>
      <c r="L942" s="10">
        <f t="shared" ca="1" si="59"/>
        <v>45404.878290046297</v>
      </c>
    </row>
    <row r="943" spans="6:12" x14ac:dyDescent="0.25">
      <c r="F943" s="11" t="str">
        <f>IF(ISBLANK(D943),"",(VLOOKUP(D943,Cardápio!$A$2:$B$16,2,0))*E943)</f>
        <v/>
      </c>
      <c r="H943" s="7" t="str">
        <f t="shared" si="56"/>
        <v/>
      </c>
      <c r="I943" s="7" t="str">
        <f>IF(AND(ISBLANK(D943),ISBLANK(C943)),"",((VLOOKUP(D943,Cardápio!$A$2:$C$16,3,0))*E943)+IF(B943="iFood",F943*0.27,(VLOOKUP(VENDAS!C943,Bairros!$A$2:$B$90,2,0))))</f>
        <v/>
      </c>
      <c r="J943" s="7" t="str">
        <f t="shared" si="57"/>
        <v/>
      </c>
      <c r="K943" s="9">
        <f t="shared" ca="1" si="58"/>
        <v>45404.878290046297</v>
      </c>
      <c r="L943" s="10">
        <f t="shared" ca="1" si="59"/>
        <v>45404.878290046297</v>
      </c>
    </row>
    <row r="944" spans="6:12" x14ac:dyDescent="0.25">
      <c r="F944" s="11" t="str">
        <f>IF(ISBLANK(D944),"",(VLOOKUP(D944,Cardápio!$A$2:$B$16,2,0))*E944)</f>
        <v/>
      </c>
      <c r="H944" s="7" t="str">
        <f t="shared" si="56"/>
        <v/>
      </c>
      <c r="I944" s="7" t="str">
        <f>IF(AND(ISBLANK(D944),ISBLANK(C944)),"",((VLOOKUP(D944,Cardápio!$A$2:$C$16,3,0))*E944)+IF(B944="iFood",F944*0.27,(VLOOKUP(VENDAS!C944,Bairros!$A$2:$B$90,2,0))))</f>
        <v/>
      </c>
      <c r="J944" s="7" t="str">
        <f t="shared" si="57"/>
        <v/>
      </c>
      <c r="K944" s="9">
        <f t="shared" ca="1" si="58"/>
        <v>45404.878290046297</v>
      </c>
      <c r="L944" s="10">
        <f t="shared" ca="1" si="59"/>
        <v>45404.878290046297</v>
      </c>
    </row>
    <row r="945" spans="6:12" x14ac:dyDescent="0.25">
      <c r="F945" s="11" t="str">
        <f>IF(ISBLANK(D945),"",(VLOOKUP(D945,Cardápio!$A$2:$B$16,2,0))*E945)</f>
        <v/>
      </c>
      <c r="H945" s="7" t="str">
        <f t="shared" si="56"/>
        <v/>
      </c>
      <c r="I945" s="7" t="str">
        <f>IF(AND(ISBLANK(D945),ISBLANK(C945)),"",((VLOOKUP(D945,Cardápio!$A$2:$C$16,3,0))*E945)+IF(B945="iFood",F945*0.27,(VLOOKUP(VENDAS!C945,Bairros!$A$2:$B$90,2,0))))</f>
        <v/>
      </c>
      <c r="J945" s="7" t="str">
        <f t="shared" si="57"/>
        <v/>
      </c>
      <c r="K945" s="9">
        <f t="shared" ca="1" si="58"/>
        <v>45404.878290162036</v>
      </c>
      <c r="L945" s="10">
        <f t="shared" ca="1" si="59"/>
        <v>45404.878290046297</v>
      </c>
    </row>
    <row r="946" spans="6:12" x14ac:dyDescent="0.25">
      <c r="F946" s="11" t="str">
        <f>IF(ISBLANK(D946),"",(VLOOKUP(D946,Cardápio!$A$2:$B$16,2,0))*E946)</f>
        <v/>
      </c>
      <c r="H946" s="7" t="str">
        <f t="shared" si="56"/>
        <v/>
      </c>
      <c r="I946" s="7" t="str">
        <f>IF(AND(ISBLANK(D946),ISBLANK(C946)),"",((VLOOKUP(D946,Cardápio!$A$2:$C$16,3,0))*E946)+IF(B946="iFood",F946*0.27,(VLOOKUP(VENDAS!C946,Bairros!$A$2:$B$90,2,0))))</f>
        <v/>
      </c>
      <c r="J946" s="7" t="str">
        <f t="shared" si="57"/>
        <v/>
      </c>
      <c r="K946" s="9">
        <f t="shared" ca="1" si="58"/>
        <v>45404.878290162036</v>
      </c>
      <c r="L946" s="10">
        <f t="shared" ca="1" si="59"/>
        <v>45404.878290046297</v>
      </c>
    </row>
    <row r="947" spans="6:12" x14ac:dyDescent="0.25">
      <c r="F947" s="11" t="str">
        <f>IF(ISBLANK(D947),"",(VLOOKUP(D947,Cardápio!$A$2:$B$16,2,0))*E947)</f>
        <v/>
      </c>
      <c r="H947" s="7" t="str">
        <f t="shared" si="56"/>
        <v/>
      </c>
      <c r="I947" s="7" t="str">
        <f>IF(AND(ISBLANK(D947),ISBLANK(C947)),"",((VLOOKUP(D947,Cardápio!$A$2:$C$16,3,0))*E947)+IF(B947="iFood",F947*0.27,(VLOOKUP(VENDAS!C947,Bairros!$A$2:$B$90,2,0))))</f>
        <v/>
      </c>
      <c r="J947" s="7" t="str">
        <f t="shared" si="57"/>
        <v/>
      </c>
      <c r="K947" s="9">
        <f t="shared" ca="1" si="58"/>
        <v>45404.878290046297</v>
      </c>
      <c r="L947" s="10">
        <f t="shared" ca="1" si="59"/>
        <v>45404.878290046297</v>
      </c>
    </row>
    <row r="948" spans="6:12" x14ac:dyDescent="0.25">
      <c r="F948" s="11" t="str">
        <f>IF(ISBLANK(D948),"",(VLOOKUP(D948,Cardápio!$A$2:$B$16,2,0))*E948)</f>
        <v/>
      </c>
      <c r="H948" s="7" t="str">
        <f t="shared" si="56"/>
        <v/>
      </c>
      <c r="I948" s="7" t="str">
        <f>IF(AND(ISBLANK(D948),ISBLANK(C948)),"",((VLOOKUP(D948,Cardápio!$A$2:$C$16,3,0))*E948)+IF(B948="iFood",F948*0.27,(VLOOKUP(VENDAS!C948,Bairros!$A$2:$B$90,2,0))))</f>
        <v/>
      </c>
      <c r="J948" s="7" t="str">
        <f t="shared" si="57"/>
        <v/>
      </c>
      <c r="K948" s="9">
        <f t="shared" ca="1" si="58"/>
        <v>45404.878290046297</v>
      </c>
      <c r="L948" s="10">
        <f t="shared" ca="1" si="59"/>
        <v>45404.878290046297</v>
      </c>
    </row>
    <row r="949" spans="6:12" x14ac:dyDescent="0.25">
      <c r="F949" s="11" t="str">
        <f>IF(ISBLANK(D949),"",(VLOOKUP(D949,Cardápio!$A$2:$B$16,2,0))*E949)</f>
        <v/>
      </c>
      <c r="H949" s="7" t="str">
        <f t="shared" ref="H949:H1012" si="60">IF(ISBLANK(D949),"",F949-G949)</f>
        <v/>
      </c>
      <c r="I949" s="7" t="str">
        <f>IF(AND(ISBLANK(D949),ISBLANK(C949)),"",((VLOOKUP(D949,Cardápio!$A$2:$C$16,3,0))*E949)+IF(B949="iFood",F949*0.27,(VLOOKUP(VENDAS!C949,Bairros!$A$2:$B$90,2,0))))</f>
        <v/>
      </c>
      <c r="J949" s="7" t="str">
        <f t="shared" ref="J949:J1012" si="61">IF(OR(AND(ISBLANK(H949),ISBLANK(I949)),(AND(H949="",I949=""))),"",H949-I949)</f>
        <v/>
      </c>
      <c r="K949" s="9">
        <f t="shared" ref="K949:K1012" ca="1" si="62">IF(D949&lt;&gt;"",K949,NOW())</f>
        <v>45404.878290162036</v>
      </c>
      <c r="L949" s="10">
        <f t="shared" ref="L949:L1012" ca="1" si="63">IF(D949&lt;&gt;"",L949,NOW())</f>
        <v>45404.878290046297</v>
      </c>
    </row>
    <row r="950" spans="6:12" x14ac:dyDescent="0.25">
      <c r="F950" s="11" t="str">
        <f>IF(ISBLANK(D950),"",(VLOOKUP(D950,Cardápio!$A$2:$B$16,2,0))*E950)</f>
        <v/>
      </c>
      <c r="H950" s="7" t="str">
        <f t="shared" si="60"/>
        <v/>
      </c>
      <c r="I950" s="7" t="str">
        <f>IF(AND(ISBLANK(D950),ISBLANK(C950)),"",((VLOOKUP(D950,Cardápio!$A$2:$C$16,3,0))*E950)+IF(B950="iFood",F950*0.27,(VLOOKUP(VENDAS!C950,Bairros!$A$2:$B$90,2,0))))</f>
        <v/>
      </c>
      <c r="J950" s="7" t="str">
        <f t="shared" si="61"/>
        <v/>
      </c>
      <c r="K950" s="9">
        <f t="shared" ca="1" si="62"/>
        <v>45404.878290162036</v>
      </c>
      <c r="L950" s="10">
        <f t="shared" ca="1" si="63"/>
        <v>45404.878290046297</v>
      </c>
    </row>
    <row r="951" spans="6:12" x14ac:dyDescent="0.25">
      <c r="F951" s="11" t="str">
        <f>IF(ISBLANK(D951),"",(VLOOKUP(D951,Cardápio!$A$2:$B$16,2,0))*E951)</f>
        <v/>
      </c>
      <c r="H951" s="7" t="str">
        <f t="shared" si="60"/>
        <v/>
      </c>
      <c r="I951" s="7" t="str">
        <f>IF(AND(ISBLANK(D951),ISBLANK(C951)),"",((VLOOKUP(D951,Cardápio!$A$2:$C$16,3,0))*E951)+IF(B951="iFood",F951*0.27,(VLOOKUP(VENDAS!C951,Bairros!$A$2:$B$90,2,0))))</f>
        <v/>
      </c>
      <c r="J951" s="7" t="str">
        <f t="shared" si="61"/>
        <v/>
      </c>
      <c r="K951" s="9">
        <f t="shared" ca="1" si="62"/>
        <v>45404.878290046297</v>
      </c>
      <c r="L951" s="10">
        <f t="shared" ca="1" si="63"/>
        <v>45404.878290046297</v>
      </c>
    </row>
    <row r="952" spans="6:12" x14ac:dyDescent="0.25">
      <c r="F952" s="11" t="str">
        <f>IF(ISBLANK(D952),"",(VLOOKUP(D952,Cardápio!$A$2:$B$16,2,0))*E952)</f>
        <v/>
      </c>
      <c r="H952" s="7" t="str">
        <f t="shared" si="60"/>
        <v/>
      </c>
      <c r="I952" s="7" t="str">
        <f>IF(AND(ISBLANK(D952),ISBLANK(C952)),"",((VLOOKUP(D952,Cardápio!$A$2:$C$16,3,0))*E952)+IF(B952="iFood",F952*0.27,(VLOOKUP(VENDAS!C952,Bairros!$A$2:$B$90,2,0))))</f>
        <v/>
      </c>
      <c r="J952" s="7" t="str">
        <f t="shared" si="61"/>
        <v/>
      </c>
      <c r="K952" s="9">
        <f t="shared" ca="1" si="62"/>
        <v>45404.878290046297</v>
      </c>
      <c r="L952" s="10">
        <f t="shared" ca="1" si="63"/>
        <v>45404.878290046297</v>
      </c>
    </row>
    <row r="953" spans="6:12" x14ac:dyDescent="0.25">
      <c r="F953" s="11" t="str">
        <f>IF(ISBLANK(D953),"",(VLOOKUP(D953,Cardápio!$A$2:$B$16,2,0))*E953)</f>
        <v/>
      </c>
      <c r="H953" s="7" t="str">
        <f t="shared" si="60"/>
        <v/>
      </c>
      <c r="I953" s="7" t="str">
        <f>IF(AND(ISBLANK(D953),ISBLANK(C953)),"",((VLOOKUP(D953,Cardápio!$A$2:$C$16,3,0))*E953)+IF(B953="iFood",F953*0.27,(VLOOKUP(VENDAS!C953,Bairros!$A$2:$B$90,2,0))))</f>
        <v/>
      </c>
      <c r="J953" s="7" t="str">
        <f t="shared" si="61"/>
        <v/>
      </c>
      <c r="K953" s="9">
        <f t="shared" ca="1" si="62"/>
        <v>45404.878290162036</v>
      </c>
      <c r="L953" s="10">
        <f t="shared" ca="1" si="63"/>
        <v>45404.878290046297</v>
      </c>
    </row>
    <row r="954" spans="6:12" x14ac:dyDescent="0.25">
      <c r="F954" s="11" t="str">
        <f>IF(ISBLANK(D954),"",(VLOOKUP(D954,Cardápio!$A$2:$B$16,2,0))*E954)</f>
        <v/>
      </c>
      <c r="H954" s="7" t="str">
        <f t="shared" si="60"/>
        <v/>
      </c>
      <c r="I954" s="7" t="str">
        <f>IF(AND(ISBLANK(D954),ISBLANK(C954)),"",((VLOOKUP(D954,Cardápio!$A$2:$C$16,3,0))*E954)+IF(B954="iFood",F954*0.27,(VLOOKUP(VENDAS!C954,Bairros!$A$2:$B$90,2,0))))</f>
        <v/>
      </c>
      <c r="J954" s="7" t="str">
        <f t="shared" si="61"/>
        <v/>
      </c>
      <c r="K954" s="9">
        <f t="shared" ca="1" si="62"/>
        <v>45404.878290162036</v>
      </c>
      <c r="L954" s="10">
        <f t="shared" ca="1" si="63"/>
        <v>45404.878290046297</v>
      </c>
    </row>
    <row r="955" spans="6:12" x14ac:dyDescent="0.25">
      <c r="F955" s="11" t="str">
        <f>IF(ISBLANK(D955),"",(VLOOKUP(D955,Cardápio!$A$2:$B$16,2,0))*E955)</f>
        <v/>
      </c>
      <c r="H955" s="7" t="str">
        <f t="shared" si="60"/>
        <v/>
      </c>
      <c r="I955" s="7" t="str">
        <f>IF(AND(ISBLANK(D955),ISBLANK(C955)),"",((VLOOKUP(D955,Cardápio!$A$2:$C$16,3,0))*E955)+IF(B955="iFood",F955*0.27,(VLOOKUP(VENDAS!C955,Bairros!$A$2:$B$90,2,0))))</f>
        <v/>
      </c>
      <c r="J955" s="7" t="str">
        <f t="shared" si="61"/>
        <v/>
      </c>
      <c r="K955" s="9">
        <f t="shared" ca="1" si="62"/>
        <v>45404.878290046297</v>
      </c>
      <c r="L955" s="10">
        <f t="shared" ca="1" si="63"/>
        <v>45404.878290046297</v>
      </c>
    </row>
    <row r="956" spans="6:12" x14ac:dyDescent="0.25">
      <c r="F956" s="11" t="str">
        <f>IF(ISBLANK(D956),"",(VLOOKUP(D956,Cardápio!$A$2:$B$16,2,0))*E956)</f>
        <v/>
      </c>
      <c r="H956" s="7" t="str">
        <f t="shared" si="60"/>
        <v/>
      </c>
      <c r="I956" s="7" t="str">
        <f>IF(AND(ISBLANK(D956),ISBLANK(C956)),"",((VLOOKUP(D956,Cardápio!$A$2:$C$16,3,0))*E956)+IF(B956="iFood",F956*0.27,(VLOOKUP(VENDAS!C956,Bairros!$A$2:$B$90,2,0))))</f>
        <v/>
      </c>
      <c r="J956" s="7" t="str">
        <f t="shared" si="61"/>
        <v/>
      </c>
      <c r="K956" s="9">
        <f t="shared" ca="1" si="62"/>
        <v>45404.878290046297</v>
      </c>
      <c r="L956" s="10">
        <f t="shared" ca="1" si="63"/>
        <v>45404.878290046297</v>
      </c>
    </row>
    <row r="957" spans="6:12" x14ac:dyDescent="0.25">
      <c r="F957" s="11" t="str">
        <f>IF(ISBLANK(D957),"",(VLOOKUP(D957,Cardápio!$A$2:$B$16,2,0))*E957)</f>
        <v/>
      </c>
      <c r="H957" s="7" t="str">
        <f t="shared" si="60"/>
        <v/>
      </c>
      <c r="I957" s="7" t="str">
        <f>IF(AND(ISBLANK(D957),ISBLANK(C957)),"",((VLOOKUP(D957,Cardápio!$A$2:$C$16,3,0))*E957)+IF(B957="iFood",F957*0.27,(VLOOKUP(VENDAS!C957,Bairros!$A$2:$B$90,2,0))))</f>
        <v/>
      </c>
      <c r="J957" s="7" t="str">
        <f t="shared" si="61"/>
        <v/>
      </c>
      <c r="K957" s="9">
        <f t="shared" ca="1" si="62"/>
        <v>45404.878290162036</v>
      </c>
      <c r="L957" s="10">
        <f t="shared" ca="1" si="63"/>
        <v>45404.878290046297</v>
      </c>
    </row>
    <row r="958" spans="6:12" x14ac:dyDescent="0.25">
      <c r="F958" s="11" t="str">
        <f>IF(ISBLANK(D958),"",(VLOOKUP(D958,Cardápio!$A$2:$B$16,2,0))*E958)</f>
        <v/>
      </c>
      <c r="H958" s="7" t="str">
        <f t="shared" si="60"/>
        <v/>
      </c>
      <c r="I958" s="7" t="str">
        <f>IF(AND(ISBLANK(D958),ISBLANK(C958)),"",((VLOOKUP(D958,Cardápio!$A$2:$C$16,3,0))*E958)+IF(B958="iFood",F958*0.27,(VLOOKUP(VENDAS!C958,Bairros!$A$2:$B$90,2,0))))</f>
        <v/>
      </c>
      <c r="J958" s="7" t="str">
        <f t="shared" si="61"/>
        <v/>
      </c>
      <c r="K958" s="9">
        <f t="shared" ca="1" si="62"/>
        <v>45404.878290162036</v>
      </c>
      <c r="L958" s="10">
        <f t="shared" ca="1" si="63"/>
        <v>45404.878290046297</v>
      </c>
    </row>
    <row r="959" spans="6:12" x14ac:dyDescent="0.25">
      <c r="F959" s="11" t="str">
        <f>IF(ISBLANK(D959),"",(VLOOKUP(D959,Cardápio!$A$2:$B$16,2,0))*E959)</f>
        <v/>
      </c>
      <c r="H959" s="7" t="str">
        <f t="shared" si="60"/>
        <v/>
      </c>
      <c r="I959" s="7" t="str">
        <f>IF(AND(ISBLANK(D959),ISBLANK(C959)),"",((VLOOKUP(D959,Cardápio!$A$2:$C$16,3,0))*E959)+IF(B959="iFood",F959*0.27,(VLOOKUP(VENDAS!C959,Bairros!$A$2:$B$90,2,0))))</f>
        <v/>
      </c>
      <c r="J959" s="7" t="str">
        <f t="shared" si="61"/>
        <v/>
      </c>
      <c r="K959" s="9">
        <f t="shared" ca="1" si="62"/>
        <v>45404.878290046297</v>
      </c>
      <c r="L959" s="10">
        <f t="shared" ca="1" si="63"/>
        <v>45404.878290046297</v>
      </c>
    </row>
    <row r="960" spans="6:12" x14ac:dyDescent="0.25">
      <c r="F960" s="11" t="str">
        <f>IF(ISBLANK(D960),"",(VLOOKUP(D960,Cardápio!$A$2:$B$16,2,0))*E960)</f>
        <v/>
      </c>
      <c r="H960" s="7" t="str">
        <f t="shared" si="60"/>
        <v/>
      </c>
      <c r="I960" s="7" t="str">
        <f>IF(AND(ISBLANK(D960),ISBLANK(C960)),"",((VLOOKUP(D960,Cardápio!$A$2:$C$16,3,0))*E960)+IF(B960="iFood",F960*0.27,(VLOOKUP(VENDAS!C960,Bairros!$A$2:$B$90,2,0))))</f>
        <v/>
      </c>
      <c r="J960" s="7" t="str">
        <f t="shared" si="61"/>
        <v/>
      </c>
      <c r="K960" s="9">
        <f t="shared" ca="1" si="62"/>
        <v>45404.878290046297</v>
      </c>
      <c r="L960" s="10">
        <f t="shared" ca="1" si="63"/>
        <v>45404.878290046297</v>
      </c>
    </row>
    <row r="961" spans="6:12" x14ac:dyDescent="0.25">
      <c r="F961" s="11" t="str">
        <f>IF(ISBLANK(D961),"",(VLOOKUP(D961,Cardápio!$A$2:$B$16,2,0))*E961)</f>
        <v/>
      </c>
      <c r="H961" s="7" t="str">
        <f t="shared" si="60"/>
        <v/>
      </c>
      <c r="I961" s="7" t="str">
        <f>IF(AND(ISBLANK(D961),ISBLANK(C961)),"",((VLOOKUP(D961,Cardápio!$A$2:$C$16,3,0))*E961)+IF(B961="iFood",F961*0.27,(VLOOKUP(VENDAS!C961,Bairros!$A$2:$B$90,2,0))))</f>
        <v/>
      </c>
      <c r="J961" s="7" t="str">
        <f t="shared" si="61"/>
        <v/>
      </c>
      <c r="K961" s="9">
        <f t="shared" ca="1" si="62"/>
        <v>45404.878290162036</v>
      </c>
      <c r="L961" s="10">
        <f t="shared" ca="1" si="63"/>
        <v>45404.878290046297</v>
      </c>
    </row>
    <row r="962" spans="6:12" x14ac:dyDescent="0.25">
      <c r="F962" s="11" t="str">
        <f>IF(ISBLANK(D962),"",(VLOOKUP(D962,Cardápio!$A$2:$B$16,2,0))*E962)</f>
        <v/>
      </c>
      <c r="H962" s="7" t="str">
        <f t="shared" si="60"/>
        <v/>
      </c>
      <c r="I962" s="7" t="str">
        <f>IF(AND(ISBLANK(D962),ISBLANK(C962)),"",((VLOOKUP(D962,Cardápio!$A$2:$C$16,3,0))*E962)+IF(B962="iFood",F962*0.27,(VLOOKUP(VENDAS!C962,Bairros!$A$2:$B$90,2,0))))</f>
        <v/>
      </c>
      <c r="J962" s="7" t="str">
        <f t="shared" si="61"/>
        <v/>
      </c>
      <c r="K962" s="9">
        <f t="shared" ca="1" si="62"/>
        <v>45404.878290162036</v>
      </c>
      <c r="L962" s="10">
        <f t="shared" ca="1" si="63"/>
        <v>45404.878290046297</v>
      </c>
    </row>
    <row r="963" spans="6:12" x14ac:dyDescent="0.25">
      <c r="F963" s="11" t="str">
        <f>IF(ISBLANK(D963),"",(VLOOKUP(D963,Cardápio!$A$2:$B$16,2,0))*E963)</f>
        <v/>
      </c>
      <c r="H963" s="7" t="str">
        <f t="shared" si="60"/>
        <v/>
      </c>
      <c r="I963" s="7" t="str">
        <f>IF(AND(ISBLANK(D963),ISBLANK(C963)),"",((VLOOKUP(D963,Cardápio!$A$2:$C$16,3,0))*E963)+IF(B963="iFood",F963*0.27,(VLOOKUP(VENDAS!C963,Bairros!$A$2:$B$90,2,0))))</f>
        <v/>
      </c>
      <c r="J963" s="7" t="str">
        <f t="shared" si="61"/>
        <v/>
      </c>
      <c r="K963" s="9">
        <f t="shared" ca="1" si="62"/>
        <v>45404.878290046297</v>
      </c>
      <c r="L963" s="10">
        <f t="shared" ca="1" si="63"/>
        <v>45404.878290046297</v>
      </c>
    </row>
    <row r="964" spans="6:12" x14ac:dyDescent="0.25">
      <c r="F964" s="11" t="str">
        <f>IF(ISBLANK(D964),"",(VLOOKUP(D964,Cardápio!$A$2:$B$16,2,0))*E964)</f>
        <v/>
      </c>
      <c r="H964" s="7" t="str">
        <f t="shared" si="60"/>
        <v/>
      </c>
      <c r="I964" s="7" t="str">
        <f>IF(AND(ISBLANK(D964),ISBLANK(C964)),"",((VLOOKUP(D964,Cardápio!$A$2:$C$16,3,0))*E964)+IF(B964="iFood",F964*0.27,(VLOOKUP(VENDAS!C964,Bairros!$A$2:$B$90,2,0))))</f>
        <v/>
      </c>
      <c r="J964" s="7" t="str">
        <f t="shared" si="61"/>
        <v/>
      </c>
      <c r="K964" s="9">
        <f t="shared" ca="1" si="62"/>
        <v>45404.878290046297</v>
      </c>
      <c r="L964" s="10">
        <f t="shared" ca="1" si="63"/>
        <v>45404.878290046297</v>
      </c>
    </row>
    <row r="965" spans="6:12" x14ac:dyDescent="0.25">
      <c r="F965" s="11" t="str">
        <f>IF(ISBLANK(D965),"",(VLOOKUP(D965,Cardápio!$A$2:$B$16,2,0))*E965)</f>
        <v/>
      </c>
      <c r="H965" s="7" t="str">
        <f t="shared" si="60"/>
        <v/>
      </c>
      <c r="I965" s="7" t="str">
        <f>IF(AND(ISBLANK(D965),ISBLANK(C965)),"",((VLOOKUP(D965,Cardápio!$A$2:$C$16,3,0))*E965)+IF(B965="iFood",F965*0.27,(VLOOKUP(VENDAS!C965,Bairros!$A$2:$B$90,2,0))))</f>
        <v/>
      </c>
      <c r="J965" s="7" t="str">
        <f t="shared" si="61"/>
        <v/>
      </c>
      <c r="K965" s="9">
        <f t="shared" ca="1" si="62"/>
        <v>45404.878290162036</v>
      </c>
      <c r="L965" s="10">
        <f t="shared" ca="1" si="63"/>
        <v>45404.878290046297</v>
      </c>
    </row>
    <row r="966" spans="6:12" x14ac:dyDescent="0.25">
      <c r="F966" s="11" t="str">
        <f>IF(ISBLANK(D966),"",(VLOOKUP(D966,Cardápio!$A$2:$B$16,2,0))*E966)</f>
        <v/>
      </c>
      <c r="H966" s="7" t="str">
        <f t="shared" si="60"/>
        <v/>
      </c>
      <c r="I966" s="7" t="str">
        <f>IF(AND(ISBLANK(D966),ISBLANK(C966)),"",((VLOOKUP(D966,Cardápio!$A$2:$C$16,3,0))*E966)+IF(B966="iFood",F966*0.27,(VLOOKUP(VENDAS!C966,Bairros!$A$2:$B$90,2,0))))</f>
        <v/>
      </c>
      <c r="J966" s="7" t="str">
        <f t="shared" si="61"/>
        <v/>
      </c>
      <c r="K966" s="9">
        <f t="shared" ca="1" si="62"/>
        <v>45404.878290162036</v>
      </c>
      <c r="L966" s="10">
        <f t="shared" ca="1" si="63"/>
        <v>45404.878290046297</v>
      </c>
    </row>
    <row r="967" spans="6:12" x14ac:dyDescent="0.25">
      <c r="F967" s="11" t="str">
        <f>IF(ISBLANK(D967),"",(VLOOKUP(D967,Cardápio!$A$2:$B$16,2,0))*E967)</f>
        <v/>
      </c>
      <c r="H967" s="7" t="str">
        <f t="shared" si="60"/>
        <v/>
      </c>
      <c r="I967" s="7" t="str">
        <f>IF(AND(ISBLANK(D967),ISBLANK(C967)),"",((VLOOKUP(D967,Cardápio!$A$2:$C$16,3,0))*E967)+IF(B967="iFood",F967*0.27,(VLOOKUP(VENDAS!C967,Bairros!$A$2:$B$90,2,0))))</f>
        <v/>
      </c>
      <c r="J967" s="7" t="str">
        <f t="shared" si="61"/>
        <v/>
      </c>
      <c r="K967" s="9">
        <f t="shared" ca="1" si="62"/>
        <v>45404.878290046297</v>
      </c>
      <c r="L967" s="10">
        <f t="shared" ca="1" si="63"/>
        <v>45404.878290046297</v>
      </c>
    </row>
    <row r="968" spans="6:12" x14ac:dyDescent="0.25">
      <c r="F968" s="11" t="str">
        <f>IF(ISBLANK(D968),"",(VLOOKUP(D968,Cardápio!$A$2:$B$16,2,0))*E968)</f>
        <v/>
      </c>
      <c r="H968" s="7" t="str">
        <f t="shared" si="60"/>
        <v/>
      </c>
      <c r="I968" s="7" t="str">
        <f>IF(AND(ISBLANK(D968),ISBLANK(C968)),"",((VLOOKUP(D968,Cardápio!$A$2:$C$16,3,0))*E968)+IF(B968="iFood",F968*0.27,(VLOOKUP(VENDAS!C968,Bairros!$A$2:$B$90,2,0))))</f>
        <v/>
      </c>
      <c r="J968" s="7" t="str">
        <f t="shared" si="61"/>
        <v/>
      </c>
      <c r="K968" s="9">
        <f t="shared" ca="1" si="62"/>
        <v>45404.878290046297</v>
      </c>
      <c r="L968" s="10">
        <f t="shared" ca="1" si="63"/>
        <v>45404.878290046297</v>
      </c>
    </row>
    <row r="969" spans="6:12" x14ac:dyDescent="0.25">
      <c r="F969" s="11" t="str">
        <f>IF(ISBLANK(D969),"",(VLOOKUP(D969,Cardápio!$A$2:$B$16,2,0))*E969)</f>
        <v/>
      </c>
      <c r="H969" s="7" t="str">
        <f t="shared" si="60"/>
        <v/>
      </c>
      <c r="I969" s="7" t="str">
        <f>IF(AND(ISBLANK(D969),ISBLANK(C969)),"",((VLOOKUP(D969,Cardápio!$A$2:$C$16,3,0))*E969)+IF(B969="iFood",F969*0.27,(VLOOKUP(VENDAS!C969,Bairros!$A$2:$B$90,2,0))))</f>
        <v/>
      </c>
      <c r="J969" s="7" t="str">
        <f t="shared" si="61"/>
        <v/>
      </c>
      <c r="K969" s="9">
        <f t="shared" ca="1" si="62"/>
        <v>45404.878290162036</v>
      </c>
      <c r="L969" s="10">
        <f t="shared" ca="1" si="63"/>
        <v>45404.878290046297</v>
      </c>
    </row>
    <row r="970" spans="6:12" x14ac:dyDescent="0.25">
      <c r="F970" s="11" t="str">
        <f>IF(ISBLANK(D970),"",(VLOOKUP(D970,Cardápio!$A$2:$B$16,2,0))*E970)</f>
        <v/>
      </c>
      <c r="H970" s="7" t="str">
        <f t="shared" si="60"/>
        <v/>
      </c>
      <c r="I970" s="7" t="str">
        <f>IF(AND(ISBLANK(D970),ISBLANK(C970)),"",((VLOOKUP(D970,Cardápio!$A$2:$C$16,3,0))*E970)+IF(B970="iFood",F970*0.27,(VLOOKUP(VENDAS!C970,Bairros!$A$2:$B$90,2,0))))</f>
        <v/>
      </c>
      <c r="J970" s="7" t="str">
        <f t="shared" si="61"/>
        <v/>
      </c>
      <c r="K970" s="9">
        <f t="shared" ca="1" si="62"/>
        <v>45404.878290162036</v>
      </c>
      <c r="L970" s="10">
        <f t="shared" ca="1" si="63"/>
        <v>45404.878290046297</v>
      </c>
    </row>
    <row r="971" spans="6:12" x14ac:dyDescent="0.25">
      <c r="F971" s="11" t="str">
        <f>IF(ISBLANK(D971),"",(VLOOKUP(D971,Cardápio!$A$2:$B$16,2,0))*E971)</f>
        <v/>
      </c>
      <c r="H971" s="7" t="str">
        <f t="shared" si="60"/>
        <v/>
      </c>
      <c r="I971" s="7" t="str">
        <f>IF(AND(ISBLANK(D971),ISBLANK(C971)),"",((VLOOKUP(D971,Cardápio!$A$2:$C$16,3,0))*E971)+IF(B971="iFood",F971*0.27,(VLOOKUP(VENDAS!C971,Bairros!$A$2:$B$90,2,0))))</f>
        <v/>
      </c>
      <c r="J971" s="7" t="str">
        <f t="shared" si="61"/>
        <v/>
      </c>
      <c r="K971" s="9">
        <f t="shared" ca="1" si="62"/>
        <v>45404.878290046297</v>
      </c>
      <c r="L971" s="10">
        <f t="shared" ca="1" si="63"/>
        <v>45404.878290046297</v>
      </c>
    </row>
    <row r="972" spans="6:12" x14ac:dyDescent="0.25">
      <c r="F972" s="11" t="str">
        <f>IF(ISBLANK(D972),"",(VLOOKUP(D972,Cardápio!$A$2:$B$16,2,0))*E972)</f>
        <v/>
      </c>
      <c r="H972" s="7" t="str">
        <f t="shared" si="60"/>
        <v/>
      </c>
      <c r="I972" s="7" t="str">
        <f>IF(AND(ISBLANK(D972),ISBLANK(C972)),"",((VLOOKUP(D972,Cardápio!$A$2:$C$16,3,0))*E972)+IF(B972="iFood",F972*0.27,(VLOOKUP(VENDAS!C972,Bairros!$A$2:$B$90,2,0))))</f>
        <v/>
      </c>
      <c r="J972" s="7" t="str">
        <f t="shared" si="61"/>
        <v/>
      </c>
      <c r="K972" s="9">
        <f t="shared" ca="1" si="62"/>
        <v>45404.878290162036</v>
      </c>
      <c r="L972" s="10">
        <f t="shared" ca="1" si="63"/>
        <v>45404.878290046297</v>
      </c>
    </row>
    <row r="973" spans="6:12" x14ac:dyDescent="0.25">
      <c r="F973" s="11" t="str">
        <f>IF(ISBLANK(D973),"",(VLOOKUP(D973,Cardápio!$A$2:$B$16,2,0))*E973)</f>
        <v/>
      </c>
      <c r="H973" s="7" t="str">
        <f t="shared" si="60"/>
        <v/>
      </c>
      <c r="I973" s="7" t="str">
        <f>IF(AND(ISBLANK(D973),ISBLANK(C973)),"",((VLOOKUP(D973,Cardápio!$A$2:$C$16,3,0))*E973)+IF(B973="iFood",F973*0.27,(VLOOKUP(VENDAS!C973,Bairros!$A$2:$B$90,2,0))))</f>
        <v/>
      </c>
      <c r="J973" s="7" t="str">
        <f t="shared" si="61"/>
        <v/>
      </c>
      <c r="K973" s="9">
        <f t="shared" ca="1" si="62"/>
        <v>45404.878290162036</v>
      </c>
      <c r="L973" s="10">
        <f t="shared" ca="1" si="63"/>
        <v>45404.878290046297</v>
      </c>
    </row>
    <row r="974" spans="6:12" x14ac:dyDescent="0.25">
      <c r="F974" s="11" t="str">
        <f>IF(ISBLANK(D974),"",(VLOOKUP(D974,Cardápio!$A$2:$B$16,2,0))*E974)</f>
        <v/>
      </c>
      <c r="H974" s="7" t="str">
        <f t="shared" si="60"/>
        <v/>
      </c>
      <c r="I974" s="7" t="str">
        <f>IF(AND(ISBLANK(D974),ISBLANK(C974)),"",((VLOOKUP(D974,Cardápio!$A$2:$C$16,3,0))*E974)+IF(B974="iFood",F974*0.27,(VLOOKUP(VENDAS!C974,Bairros!$A$2:$B$90,2,0))))</f>
        <v/>
      </c>
      <c r="J974" s="7" t="str">
        <f t="shared" si="61"/>
        <v/>
      </c>
      <c r="K974" s="9">
        <f t="shared" ca="1" si="62"/>
        <v>45404.878290162036</v>
      </c>
      <c r="L974" s="10">
        <f t="shared" ca="1" si="63"/>
        <v>45404.878290046297</v>
      </c>
    </row>
    <row r="975" spans="6:12" x14ac:dyDescent="0.25">
      <c r="F975" s="11" t="str">
        <f>IF(ISBLANK(D975),"",(VLOOKUP(D975,Cardápio!$A$2:$B$16,2,0))*E975)</f>
        <v/>
      </c>
      <c r="H975" s="7" t="str">
        <f t="shared" si="60"/>
        <v/>
      </c>
      <c r="I975" s="7" t="str">
        <f>IF(AND(ISBLANK(D975),ISBLANK(C975)),"",((VLOOKUP(D975,Cardápio!$A$2:$C$16,3,0))*E975)+IF(B975="iFood",F975*0.27,(VLOOKUP(VENDAS!C975,Bairros!$A$2:$B$90,2,0))))</f>
        <v/>
      </c>
      <c r="J975" s="7" t="str">
        <f t="shared" si="61"/>
        <v/>
      </c>
      <c r="K975" s="9">
        <f t="shared" ca="1" si="62"/>
        <v>45404.878290046297</v>
      </c>
      <c r="L975" s="10">
        <f t="shared" ca="1" si="63"/>
        <v>45404.878290046297</v>
      </c>
    </row>
    <row r="976" spans="6:12" x14ac:dyDescent="0.25">
      <c r="F976" s="11" t="str">
        <f>IF(ISBLANK(D976),"",(VLOOKUP(D976,Cardápio!$A$2:$B$16,2,0))*E976)</f>
        <v/>
      </c>
      <c r="H976" s="7" t="str">
        <f t="shared" si="60"/>
        <v/>
      </c>
      <c r="I976" s="7" t="str">
        <f>IF(AND(ISBLANK(D976),ISBLANK(C976)),"",((VLOOKUP(D976,Cardápio!$A$2:$C$16,3,0))*E976)+IF(B976="iFood",F976*0.27,(VLOOKUP(VENDAS!C976,Bairros!$A$2:$B$90,2,0))))</f>
        <v/>
      </c>
      <c r="J976" s="7" t="str">
        <f t="shared" si="61"/>
        <v/>
      </c>
      <c r="K976" s="9">
        <f t="shared" ca="1" si="62"/>
        <v>45404.878290162036</v>
      </c>
      <c r="L976" s="10">
        <f t="shared" ca="1" si="63"/>
        <v>45404.878290046297</v>
      </c>
    </row>
    <row r="977" spans="6:12" x14ac:dyDescent="0.25">
      <c r="F977" s="11" t="str">
        <f>IF(ISBLANK(D977),"",(VLOOKUP(D977,Cardápio!$A$2:$B$16,2,0))*E977)</f>
        <v/>
      </c>
      <c r="H977" s="7" t="str">
        <f t="shared" si="60"/>
        <v/>
      </c>
      <c r="I977" s="7" t="str">
        <f>IF(AND(ISBLANK(D977),ISBLANK(C977)),"",((VLOOKUP(D977,Cardápio!$A$2:$C$16,3,0))*E977)+IF(B977="iFood",F977*0.27,(VLOOKUP(VENDAS!C977,Bairros!$A$2:$B$90,2,0))))</f>
        <v/>
      </c>
      <c r="J977" s="7" t="str">
        <f t="shared" si="61"/>
        <v/>
      </c>
      <c r="K977" s="9">
        <f t="shared" ca="1" si="62"/>
        <v>45404.878290162036</v>
      </c>
      <c r="L977" s="10">
        <f t="shared" ca="1" si="63"/>
        <v>45404.878290046297</v>
      </c>
    </row>
    <row r="978" spans="6:12" x14ac:dyDescent="0.25">
      <c r="F978" s="11" t="str">
        <f>IF(ISBLANK(D978),"",(VLOOKUP(D978,Cardápio!$A$2:$B$16,2,0))*E978)</f>
        <v/>
      </c>
      <c r="H978" s="7" t="str">
        <f t="shared" si="60"/>
        <v/>
      </c>
      <c r="I978" s="7" t="str">
        <f>IF(AND(ISBLANK(D978),ISBLANK(C978)),"",((VLOOKUP(D978,Cardápio!$A$2:$C$16,3,0))*E978)+IF(B978="iFood",F978*0.27,(VLOOKUP(VENDAS!C978,Bairros!$A$2:$B$90,2,0))))</f>
        <v/>
      </c>
      <c r="J978" s="7" t="str">
        <f t="shared" si="61"/>
        <v/>
      </c>
      <c r="K978" s="9">
        <f t="shared" ca="1" si="62"/>
        <v>45404.878290162036</v>
      </c>
      <c r="L978" s="10">
        <f t="shared" ca="1" si="63"/>
        <v>45404.878290046297</v>
      </c>
    </row>
    <row r="979" spans="6:12" x14ac:dyDescent="0.25">
      <c r="F979" s="11" t="str">
        <f>IF(ISBLANK(D979),"",(VLOOKUP(D979,Cardápio!$A$2:$B$16,2,0))*E979)</f>
        <v/>
      </c>
      <c r="H979" s="7" t="str">
        <f t="shared" si="60"/>
        <v/>
      </c>
      <c r="I979" s="7" t="str">
        <f>IF(AND(ISBLANK(D979),ISBLANK(C979)),"",((VLOOKUP(D979,Cardápio!$A$2:$C$16,3,0))*E979)+IF(B979="iFood",F979*0.27,(VLOOKUP(VENDAS!C979,Bairros!$A$2:$B$90,2,0))))</f>
        <v/>
      </c>
      <c r="J979" s="7" t="str">
        <f t="shared" si="61"/>
        <v/>
      </c>
      <c r="K979" s="9">
        <f t="shared" ca="1" si="62"/>
        <v>45404.878290046297</v>
      </c>
      <c r="L979" s="10">
        <f t="shared" ca="1" si="63"/>
        <v>45404.878290046297</v>
      </c>
    </row>
    <row r="980" spans="6:12" x14ac:dyDescent="0.25">
      <c r="F980" s="11" t="str">
        <f>IF(ISBLANK(D980),"",(VLOOKUP(D980,Cardápio!$A$2:$B$16,2,0))*E980)</f>
        <v/>
      </c>
      <c r="H980" s="7" t="str">
        <f t="shared" si="60"/>
        <v/>
      </c>
      <c r="I980" s="7" t="str">
        <f>IF(AND(ISBLANK(D980),ISBLANK(C980)),"",((VLOOKUP(D980,Cardápio!$A$2:$C$16,3,0))*E980)+IF(B980="iFood",F980*0.27,(VLOOKUP(VENDAS!C980,Bairros!$A$2:$B$90,2,0))))</f>
        <v/>
      </c>
      <c r="J980" s="7" t="str">
        <f t="shared" si="61"/>
        <v/>
      </c>
      <c r="K980" s="9">
        <f t="shared" ca="1" si="62"/>
        <v>45404.878290162036</v>
      </c>
      <c r="L980" s="10">
        <f t="shared" ca="1" si="63"/>
        <v>45404.878290046297</v>
      </c>
    </row>
    <row r="981" spans="6:12" x14ac:dyDescent="0.25">
      <c r="F981" s="11" t="str">
        <f>IF(ISBLANK(D981),"",(VLOOKUP(D981,Cardápio!$A$2:$B$16,2,0))*E981)</f>
        <v/>
      </c>
      <c r="H981" s="7" t="str">
        <f t="shared" si="60"/>
        <v/>
      </c>
      <c r="I981" s="7" t="str">
        <f>IF(AND(ISBLANK(D981),ISBLANK(C981)),"",((VLOOKUP(D981,Cardápio!$A$2:$C$16,3,0))*E981)+IF(B981="iFood",F981*0.27,(VLOOKUP(VENDAS!C981,Bairros!$A$2:$B$90,2,0))))</f>
        <v/>
      </c>
      <c r="J981" s="7" t="str">
        <f t="shared" si="61"/>
        <v/>
      </c>
      <c r="K981" s="9">
        <f t="shared" ca="1" si="62"/>
        <v>45404.878290162036</v>
      </c>
      <c r="L981" s="10">
        <f t="shared" ca="1" si="63"/>
        <v>45404.878290046297</v>
      </c>
    </row>
    <row r="982" spans="6:12" x14ac:dyDescent="0.25">
      <c r="F982" s="11" t="str">
        <f>IF(ISBLANK(D982),"",(VLOOKUP(D982,Cardápio!$A$2:$B$16,2,0))*E982)</f>
        <v/>
      </c>
      <c r="H982" s="7" t="str">
        <f t="shared" si="60"/>
        <v/>
      </c>
      <c r="I982" s="7" t="str">
        <f>IF(AND(ISBLANK(D982),ISBLANK(C982)),"",((VLOOKUP(D982,Cardápio!$A$2:$C$16,3,0))*E982)+IF(B982="iFood",F982*0.27,(VLOOKUP(VENDAS!C982,Bairros!$A$2:$B$90,2,0))))</f>
        <v/>
      </c>
      <c r="J982" s="7" t="str">
        <f t="shared" si="61"/>
        <v/>
      </c>
      <c r="K982" s="9">
        <f t="shared" ca="1" si="62"/>
        <v>45404.878290162036</v>
      </c>
      <c r="L982" s="10">
        <f t="shared" ca="1" si="63"/>
        <v>45404.878290046297</v>
      </c>
    </row>
    <row r="983" spans="6:12" x14ac:dyDescent="0.25">
      <c r="F983" s="11" t="str">
        <f>IF(ISBLANK(D983),"",(VLOOKUP(D983,Cardápio!$A$2:$B$16,2,0))*E983)</f>
        <v/>
      </c>
      <c r="H983" s="7" t="str">
        <f t="shared" si="60"/>
        <v/>
      </c>
      <c r="I983" s="7" t="str">
        <f>IF(AND(ISBLANK(D983),ISBLANK(C983)),"",((VLOOKUP(D983,Cardápio!$A$2:$C$16,3,0))*E983)+IF(B983="iFood",F983*0.27,(VLOOKUP(VENDAS!C983,Bairros!$A$2:$B$90,2,0))))</f>
        <v/>
      </c>
      <c r="J983" s="7" t="str">
        <f t="shared" si="61"/>
        <v/>
      </c>
      <c r="K983" s="9">
        <f t="shared" ca="1" si="62"/>
        <v>45404.878290046297</v>
      </c>
      <c r="L983" s="10">
        <f t="shared" ca="1" si="63"/>
        <v>45404.878290046297</v>
      </c>
    </row>
    <row r="984" spans="6:12" x14ac:dyDescent="0.25">
      <c r="F984" s="11" t="str">
        <f>IF(ISBLANK(D984),"",(VLOOKUP(D984,Cardápio!$A$2:$B$16,2,0))*E984)</f>
        <v/>
      </c>
      <c r="H984" s="7" t="str">
        <f t="shared" si="60"/>
        <v/>
      </c>
      <c r="I984" s="7" t="str">
        <f>IF(AND(ISBLANK(D984),ISBLANK(C984)),"",((VLOOKUP(D984,Cardápio!$A$2:$C$16,3,0))*E984)+IF(B984="iFood",F984*0.27,(VLOOKUP(VENDAS!C984,Bairros!$A$2:$B$90,2,0))))</f>
        <v/>
      </c>
      <c r="J984" s="7" t="str">
        <f t="shared" si="61"/>
        <v/>
      </c>
      <c r="K984" s="9">
        <f t="shared" ca="1" si="62"/>
        <v>45404.878290162036</v>
      </c>
      <c r="L984" s="10">
        <f t="shared" ca="1" si="63"/>
        <v>45404.878290046297</v>
      </c>
    </row>
    <row r="985" spans="6:12" x14ac:dyDescent="0.25">
      <c r="F985" s="11" t="str">
        <f>IF(ISBLANK(D985),"",(VLOOKUP(D985,Cardápio!$A$2:$B$16,2,0))*E985)</f>
        <v/>
      </c>
      <c r="H985" s="7" t="str">
        <f t="shared" si="60"/>
        <v/>
      </c>
      <c r="I985" s="7" t="str">
        <f>IF(AND(ISBLANK(D985),ISBLANK(C985)),"",((VLOOKUP(D985,Cardápio!$A$2:$C$16,3,0))*E985)+IF(B985="iFood",F985*0.27,(VLOOKUP(VENDAS!C985,Bairros!$A$2:$B$90,2,0))))</f>
        <v/>
      </c>
      <c r="J985" s="7" t="str">
        <f t="shared" si="61"/>
        <v/>
      </c>
      <c r="K985" s="9">
        <f t="shared" ca="1" si="62"/>
        <v>45404.878290162036</v>
      </c>
      <c r="L985" s="10">
        <f t="shared" ca="1" si="63"/>
        <v>45404.878290046297</v>
      </c>
    </row>
    <row r="986" spans="6:12" x14ac:dyDescent="0.25">
      <c r="F986" s="11" t="str">
        <f>IF(ISBLANK(D986),"",(VLOOKUP(D986,Cardápio!$A$2:$B$16,2,0))*E986)</f>
        <v/>
      </c>
      <c r="H986" s="7" t="str">
        <f t="shared" si="60"/>
        <v/>
      </c>
      <c r="I986" s="7" t="str">
        <f>IF(AND(ISBLANK(D986),ISBLANK(C986)),"",((VLOOKUP(D986,Cardápio!$A$2:$C$16,3,0))*E986)+IF(B986="iFood",F986*0.27,(VLOOKUP(VENDAS!C986,Bairros!$A$2:$B$90,2,0))))</f>
        <v/>
      </c>
      <c r="J986" s="7" t="str">
        <f t="shared" si="61"/>
        <v/>
      </c>
      <c r="K986" s="9">
        <f t="shared" ca="1" si="62"/>
        <v>45404.878290162036</v>
      </c>
      <c r="L986" s="10">
        <f t="shared" ca="1" si="63"/>
        <v>45404.878290046297</v>
      </c>
    </row>
    <row r="987" spans="6:12" x14ac:dyDescent="0.25">
      <c r="F987" s="11" t="str">
        <f>IF(ISBLANK(D987),"",(VLOOKUP(D987,Cardápio!$A$2:$B$16,2,0))*E987)</f>
        <v/>
      </c>
      <c r="H987" s="7" t="str">
        <f t="shared" si="60"/>
        <v/>
      </c>
      <c r="I987" s="7" t="str">
        <f>IF(AND(ISBLANK(D987),ISBLANK(C987)),"",((VLOOKUP(D987,Cardápio!$A$2:$C$16,3,0))*E987)+IF(B987="iFood",F987*0.27,(VLOOKUP(VENDAS!C987,Bairros!$A$2:$B$90,2,0))))</f>
        <v/>
      </c>
      <c r="J987" s="7" t="str">
        <f t="shared" si="61"/>
        <v/>
      </c>
      <c r="K987" s="9">
        <f t="shared" ca="1" si="62"/>
        <v>45404.878290046297</v>
      </c>
      <c r="L987" s="10">
        <f t="shared" ca="1" si="63"/>
        <v>45404.878290046297</v>
      </c>
    </row>
    <row r="988" spans="6:12" x14ac:dyDescent="0.25">
      <c r="F988" s="11" t="str">
        <f>IF(ISBLANK(D988),"",(VLOOKUP(D988,Cardápio!$A$2:$B$16,2,0))*E988)</f>
        <v/>
      </c>
      <c r="H988" s="7" t="str">
        <f t="shared" si="60"/>
        <v/>
      </c>
      <c r="I988" s="7" t="str">
        <f>IF(AND(ISBLANK(D988),ISBLANK(C988)),"",((VLOOKUP(D988,Cardápio!$A$2:$C$16,3,0))*E988)+IF(B988="iFood",F988*0.27,(VLOOKUP(VENDAS!C988,Bairros!$A$2:$B$90,2,0))))</f>
        <v/>
      </c>
      <c r="J988" s="7" t="str">
        <f t="shared" si="61"/>
        <v/>
      </c>
      <c r="K988" s="9">
        <f t="shared" ca="1" si="62"/>
        <v>45404.878290162036</v>
      </c>
      <c r="L988" s="10">
        <f t="shared" ca="1" si="63"/>
        <v>45404.878290046297</v>
      </c>
    </row>
    <row r="989" spans="6:12" x14ac:dyDescent="0.25">
      <c r="F989" s="11" t="str">
        <f>IF(ISBLANK(D989),"",(VLOOKUP(D989,Cardápio!$A$2:$B$16,2,0))*E989)</f>
        <v/>
      </c>
      <c r="H989" s="7" t="str">
        <f t="shared" si="60"/>
        <v/>
      </c>
      <c r="I989" s="7" t="str">
        <f>IF(AND(ISBLANK(D989),ISBLANK(C989)),"",((VLOOKUP(D989,Cardápio!$A$2:$C$16,3,0))*E989)+IF(B989="iFood",F989*0.27,(VLOOKUP(VENDAS!C989,Bairros!$A$2:$B$90,2,0))))</f>
        <v/>
      </c>
      <c r="J989" s="7" t="str">
        <f t="shared" si="61"/>
        <v/>
      </c>
      <c r="K989" s="9">
        <f t="shared" ca="1" si="62"/>
        <v>45404.878290162036</v>
      </c>
      <c r="L989" s="10">
        <f t="shared" ca="1" si="63"/>
        <v>45404.878290046297</v>
      </c>
    </row>
    <row r="990" spans="6:12" x14ac:dyDescent="0.25">
      <c r="F990" s="11" t="str">
        <f>IF(ISBLANK(D990),"",(VLOOKUP(D990,Cardápio!$A$2:$B$16,2,0))*E990)</f>
        <v/>
      </c>
      <c r="H990" s="7" t="str">
        <f t="shared" si="60"/>
        <v/>
      </c>
      <c r="I990" s="7" t="str">
        <f>IF(AND(ISBLANK(D990),ISBLANK(C990)),"",((VLOOKUP(D990,Cardápio!$A$2:$C$16,3,0))*E990)+IF(B990="iFood",F990*0.27,(VLOOKUP(VENDAS!C990,Bairros!$A$2:$B$90,2,0))))</f>
        <v/>
      </c>
      <c r="J990" s="7" t="str">
        <f t="shared" si="61"/>
        <v/>
      </c>
      <c r="K990" s="9">
        <f t="shared" ca="1" si="62"/>
        <v>45404.878290162036</v>
      </c>
      <c r="L990" s="10">
        <f t="shared" ca="1" si="63"/>
        <v>45404.878290046297</v>
      </c>
    </row>
    <row r="991" spans="6:12" x14ac:dyDescent="0.25">
      <c r="F991" s="11" t="str">
        <f>IF(ISBLANK(D991),"",(VLOOKUP(D991,Cardápio!$A$2:$B$16,2,0))*E991)</f>
        <v/>
      </c>
      <c r="H991" s="7" t="str">
        <f t="shared" si="60"/>
        <v/>
      </c>
      <c r="I991" s="7" t="str">
        <f>IF(AND(ISBLANK(D991),ISBLANK(C991)),"",((VLOOKUP(D991,Cardápio!$A$2:$C$16,3,0))*E991)+IF(B991="iFood",F991*0.27,(VLOOKUP(VENDAS!C991,Bairros!$A$2:$B$90,2,0))))</f>
        <v/>
      </c>
      <c r="J991" s="7" t="str">
        <f t="shared" si="61"/>
        <v/>
      </c>
      <c r="K991" s="9">
        <f t="shared" ca="1" si="62"/>
        <v>45404.878290046297</v>
      </c>
      <c r="L991" s="10">
        <f t="shared" ca="1" si="63"/>
        <v>45404.878290046297</v>
      </c>
    </row>
    <row r="992" spans="6:12" x14ac:dyDescent="0.25">
      <c r="F992" s="11" t="str">
        <f>IF(ISBLANK(D992),"",(VLOOKUP(D992,Cardápio!$A$2:$B$16,2,0))*E992)</f>
        <v/>
      </c>
      <c r="H992" s="7" t="str">
        <f t="shared" si="60"/>
        <v/>
      </c>
      <c r="I992" s="7" t="str">
        <f>IF(AND(ISBLANK(D992),ISBLANK(C992)),"",((VLOOKUP(D992,Cardápio!$A$2:$C$16,3,0))*E992)+IF(B992="iFood",F992*0.27,(VLOOKUP(VENDAS!C992,Bairros!$A$2:$B$90,2,0))))</f>
        <v/>
      </c>
      <c r="J992" s="7" t="str">
        <f t="shared" si="61"/>
        <v/>
      </c>
      <c r="K992" s="9">
        <f t="shared" ca="1" si="62"/>
        <v>45404.878290162036</v>
      </c>
      <c r="L992" s="10">
        <f t="shared" ca="1" si="63"/>
        <v>45404.878290046297</v>
      </c>
    </row>
    <row r="993" spans="6:12" x14ac:dyDescent="0.25">
      <c r="F993" s="11" t="str">
        <f>IF(ISBLANK(D993),"",(VLOOKUP(D993,Cardápio!$A$2:$B$16,2,0))*E993)</f>
        <v/>
      </c>
      <c r="H993" s="7" t="str">
        <f t="shared" si="60"/>
        <v/>
      </c>
      <c r="I993" s="7" t="str">
        <f>IF(AND(ISBLANK(D993),ISBLANK(C993)),"",((VLOOKUP(D993,Cardápio!$A$2:$C$16,3,0))*E993)+IF(B993="iFood",F993*0.27,(VLOOKUP(VENDAS!C993,Bairros!$A$2:$B$90,2,0))))</f>
        <v/>
      </c>
      <c r="J993" s="7" t="str">
        <f t="shared" si="61"/>
        <v/>
      </c>
      <c r="K993" s="9">
        <f t="shared" ca="1" si="62"/>
        <v>45404.878290162036</v>
      </c>
      <c r="L993" s="10">
        <f t="shared" ca="1" si="63"/>
        <v>45404.878290046297</v>
      </c>
    </row>
    <row r="994" spans="6:12" x14ac:dyDescent="0.25">
      <c r="F994" s="11" t="str">
        <f>IF(ISBLANK(D994),"",(VLOOKUP(D994,Cardápio!$A$2:$B$16,2,0))*E994)</f>
        <v/>
      </c>
      <c r="H994" s="7" t="str">
        <f t="shared" si="60"/>
        <v/>
      </c>
      <c r="I994" s="7" t="str">
        <f>IF(AND(ISBLANK(D994),ISBLANK(C994)),"",((VLOOKUP(D994,Cardápio!$A$2:$C$16,3,0))*E994)+IF(B994="iFood",F994*0.27,(VLOOKUP(VENDAS!C994,Bairros!$A$2:$B$90,2,0))))</f>
        <v/>
      </c>
      <c r="J994" s="7" t="str">
        <f t="shared" si="61"/>
        <v/>
      </c>
      <c r="K994" s="9">
        <f t="shared" ca="1" si="62"/>
        <v>45404.878290162036</v>
      </c>
      <c r="L994" s="10">
        <f t="shared" ca="1" si="63"/>
        <v>45404.878290046297</v>
      </c>
    </row>
    <row r="995" spans="6:12" x14ac:dyDescent="0.25">
      <c r="F995" s="11" t="str">
        <f>IF(ISBLANK(D995),"",(VLOOKUP(D995,Cardápio!$A$2:$B$16,2,0))*E995)</f>
        <v/>
      </c>
      <c r="H995" s="7" t="str">
        <f t="shared" si="60"/>
        <v/>
      </c>
      <c r="I995" s="7" t="str">
        <f>IF(AND(ISBLANK(D995),ISBLANK(C995)),"",((VLOOKUP(D995,Cardápio!$A$2:$C$16,3,0))*E995)+IF(B995="iFood",F995*0.27,(VLOOKUP(VENDAS!C995,Bairros!$A$2:$B$90,2,0))))</f>
        <v/>
      </c>
      <c r="J995" s="7" t="str">
        <f t="shared" si="61"/>
        <v/>
      </c>
      <c r="K995" s="9">
        <f t="shared" ca="1" si="62"/>
        <v>45404.878290046297</v>
      </c>
      <c r="L995" s="10">
        <f t="shared" ca="1" si="63"/>
        <v>45404.878290046297</v>
      </c>
    </row>
    <row r="996" spans="6:12" x14ac:dyDescent="0.25">
      <c r="F996" s="11" t="str">
        <f>IF(ISBLANK(D996),"",(VLOOKUP(D996,Cardápio!$A$2:$B$16,2,0))*E996)</f>
        <v/>
      </c>
      <c r="H996" s="7" t="str">
        <f t="shared" si="60"/>
        <v/>
      </c>
      <c r="I996" s="7" t="str">
        <f>IF(AND(ISBLANK(D996),ISBLANK(C996)),"",((VLOOKUP(D996,Cardápio!$A$2:$C$16,3,0))*E996)+IF(B996="iFood",F996*0.27,(VLOOKUP(VENDAS!C996,Bairros!$A$2:$B$90,2,0))))</f>
        <v/>
      </c>
      <c r="J996" s="7" t="str">
        <f t="shared" si="61"/>
        <v/>
      </c>
      <c r="K996" s="9">
        <f t="shared" ca="1" si="62"/>
        <v>45404.878290162036</v>
      </c>
      <c r="L996" s="10">
        <f t="shared" ca="1" si="63"/>
        <v>45404.878290046297</v>
      </c>
    </row>
    <row r="997" spans="6:12" x14ac:dyDescent="0.25">
      <c r="F997" s="11" t="str">
        <f>IF(ISBLANK(D997),"",(VLOOKUP(D997,Cardápio!$A$2:$B$16,2,0))*E997)</f>
        <v/>
      </c>
      <c r="H997" s="7" t="str">
        <f t="shared" si="60"/>
        <v/>
      </c>
      <c r="I997" s="7" t="str">
        <f>IF(AND(ISBLANK(D997),ISBLANK(C997)),"",((VLOOKUP(D997,Cardápio!$A$2:$C$16,3,0))*E997)+IF(B997="iFood",F997*0.27,(VLOOKUP(VENDAS!C997,Bairros!$A$2:$B$90,2,0))))</f>
        <v/>
      </c>
      <c r="J997" s="7" t="str">
        <f t="shared" si="61"/>
        <v/>
      </c>
      <c r="K997" s="9">
        <f t="shared" ca="1" si="62"/>
        <v>45404.878290162036</v>
      </c>
      <c r="L997" s="10">
        <f t="shared" ca="1" si="63"/>
        <v>45404.878290046297</v>
      </c>
    </row>
    <row r="998" spans="6:12" x14ac:dyDescent="0.25">
      <c r="F998" s="11" t="str">
        <f>IF(ISBLANK(D998),"",(VLOOKUP(D998,Cardápio!$A$2:$B$16,2,0))*E998)</f>
        <v/>
      </c>
      <c r="H998" s="7" t="str">
        <f t="shared" si="60"/>
        <v/>
      </c>
      <c r="I998" s="7" t="str">
        <f>IF(AND(ISBLANK(D998),ISBLANK(C998)),"",((VLOOKUP(D998,Cardápio!$A$2:$C$16,3,0))*E998)+IF(B998="iFood",F998*0.27,(VLOOKUP(VENDAS!C998,Bairros!$A$2:$B$90,2,0))))</f>
        <v/>
      </c>
      <c r="J998" s="7" t="str">
        <f t="shared" si="61"/>
        <v/>
      </c>
      <c r="K998" s="9">
        <f t="shared" ca="1" si="62"/>
        <v>45404.878290162036</v>
      </c>
      <c r="L998" s="10">
        <f t="shared" ca="1" si="63"/>
        <v>45404.878290046297</v>
      </c>
    </row>
    <row r="999" spans="6:12" x14ac:dyDescent="0.25">
      <c r="F999" s="11" t="str">
        <f>IF(ISBLANK(D999),"",(VLOOKUP(D999,Cardápio!$A$2:$B$16,2,0))*E999)</f>
        <v/>
      </c>
      <c r="H999" s="7" t="str">
        <f t="shared" si="60"/>
        <v/>
      </c>
      <c r="I999" s="7" t="str">
        <f>IF(AND(ISBLANK(D999),ISBLANK(C999)),"",((VLOOKUP(D999,Cardápio!$A$2:$C$16,3,0))*E999)+IF(B999="iFood",F999*0.27,(VLOOKUP(VENDAS!C999,Bairros!$A$2:$B$90,2,0))))</f>
        <v/>
      </c>
      <c r="J999" s="7" t="str">
        <f t="shared" si="61"/>
        <v/>
      </c>
      <c r="K999" s="9">
        <f t="shared" ca="1" si="62"/>
        <v>45404.878290046297</v>
      </c>
      <c r="L999" s="10">
        <f t="shared" ca="1" si="63"/>
        <v>45404.878290046297</v>
      </c>
    </row>
    <row r="1000" spans="6:12" x14ac:dyDescent="0.25">
      <c r="F1000" s="11" t="str">
        <f>IF(ISBLANK(D1000),"",(VLOOKUP(D1000,Cardápio!$A$2:$B$16,2,0))*E1000)</f>
        <v/>
      </c>
      <c r="H1000" s="7" t="str">
        <f t="shared" si="60"/>
        <v/>
      </c>
      <c r="I1000" s="7" t="str">
        <f>IF(AND(ISBLANK(D1000),ISBLANK(C1000)),"",((VLOOKUP(D1000,Cardápio!$A$2:$C$16,3,0))*E1000)+IF(B1000="iFood",F1000*0.27,(VLOOKUP(VENDAS!C1000,Bairros!$A$2:$B$90,2,0))))</f>
        <v/>
      </c>
      <c r="J1000" s="7" t="str">
        <f t="shared" si="61"/>
        <v/>
      </c>
      <c r="K1000" s="9">
        <f t="shared" ca="1" si="62"/>
        <v>45404.878290162036</v>
      </c>
      <c r="L1000" s="10">
        <f t="shared" ca="1" si="63"/>
        <v>45404.878290046297</v>
      </c>
    </row>
    <row r="1001" spans="6:12" x14ac:dyDescent="0.25">
      <c r="F1001" s="11" t="str">
        <f>IF(ISBLANK(D1001),"",(VLOOKUP(D1001,Cardápio!$A$2:$B$16,2,0))*E1001)</f>
        <v/>
      </c>
      <c r="H1001" s="7" t="str">
        <f t="shared" si="60"/>
        <v/>
      </c>
      <c r="I1001" s="7" t="str">
        <f>IF(AND(ISBLANK(D1001),ISBLANK(C1001)),"",((VLOOKUP(D1001,Cardápio!$A$2:$C$16,3,0))*E1001)+IF(B1001="iFood",F1001*0.27,(VLOOKUP(VENDAS!C1001,Bairros!$A$2:$B$90,2,0))))</f>
        <v/>
      </c>
      <c r="J1001" s="7" t="str">
        <f t="shared" si="61"/>
        <v/>
      </c>
      <c r="K1001" s="9">
        <f t="shared" ca="1" si="62"/>
        <v>45404.878290162036</v>
      </c>
      <c r="L1001" s="10">
        <f t="shared" ca="1" si="63"/>
        <v>45404.878290046297</v>
      </c>
    </row>
    <row r="1002" spans="6:12" x14ac:dyDescent="0.25">
      <c r="F1002" s="11" t="str">
        <f>IF(ISBLANK(D1002),"",(VLOOKUP(D1002,Cardápio!$A$2:$B$16,2,0))*E1002)</f>
        <v/>
      </c>
      <c r="H1002" s="7" t="str">
        <f t="shared" si="60"/>
        <v/>
      </c>
      <c r="I1002" s="7" t="str">
        <f>IF(AND(ISBLANK(D1002),ISBLANK(C1002)),"",((VLOOKUP(D1002,Cardápio!$A$2:$C$16,3,0))*E1002)+IF(B1002="iFood",F1002*0.27,(VLOOKUP(VENDAS!C1002,Bairros!$A$2:$B$90,2,0))))</f>
        <v/>
      </c>
      <c r="J1002" s="7" t="str">
        <f t="shared" si="61"/>
        <v/>
      </c>
      <c r="K1002" s="9">
        <f t="shared" ca="1" si="62"/>
        <v>45404.878290162036</v>
      </c>
      <c r="L1002" s="10">
        <f t="shared" ca="1" si="63"/>
        <v>45404.878290046297</v>
      </c>
    </row>
    <row r="1003" spans="6:12" x14ac:dyDescent="0.25">
      <c r="F1003" s="11" t="str">
        <f>IF(ISBLANK(D1003),"",(VLOOKUP(D1003,Cardápio!$A$2:$B$16,2,0))*E1003)</f>
        <v/>
      </c>
      <c r="H1003" s="7" t="str">
        <f t="shared" si="60"/>
        <v/>
      </c>
      <c r="I1003" s="7" t="str">
        <f>IF(AND(ISBLANK(D1003),ISBLANK(C1003)),"",((VLOOKUP(D1003,Cardápio!$A$2:$C$16,3,0))*E1003)+IF(B1003="iFood",F1003*0.27,(VLOOKUP(VENDAS!C1003,Bairros!$A$2:$B$90,2,0))))</f>
        <v/>
      </c>
      <c r="J1003" s="7" t="str">
        <f t="shared" si="61"/>
        <v/>
      </c>
      <c r="K1003" s="9">
        <f t="shared" ca="1" si="62"/>
        <v>45404.878290046297</v>
      </c>
      <c r="L1003" s="10">
        <f t="shared" ca="1" si="63"/>
        <v>45404.878290046297</v>
      </c>
    </row>
    <row r="1004" spans="6:12" x14ac:dyDescent="0.25">
      <c r="F1004" s="11" t="str">
        <f>IF(ISBLANK(D1004),"",(VLOOKUP(D1004,Cardápio!$A$2:$B$16,2,0))*E1004)</f>
        <v/>
      </c>
      <c r="H1004" s="7" t="str">
        <f t="shared" si="60"/>
        <v/>
      </c>
      <c r="I1004" s="7" t="str">
        <f>IF(AND(ISBLANK(D1004),ISBLANK(C1004)),"",((VLOOKUP(D1004,Cardápio!$A$2:$C$16,3,0))*E1004)+IF(B1004="iFood",F1004*0.27,(VLOOKUP(VENDAS!C1004,Bairros!$A$2:$B$90,2,0))))</f>
        <v/>
      </c>
      <c r="J1004" s="7" t="str">
        <f t="shared" si="61"/>
        <v/>
      </c>
      <c r="K1004" s="9">
        <f t="shared" ca="1" si="62"/>
        <v>45404.878290162036</v>
      </c>
      <c r="L1004" s="10">
        <f t="shared" ca="1" si="63"/>
        <v>45404.878290046297</v>
      </c>
    </row>
    <row r="1005" spans="6:12" x14ac:dyDescent="0.25">
      <c r="F1005" s="11" t="str">
        <f>IF(ISBLANK(D1005),"",(VLOOKUP(D1005,Cardápio!$A$2:$B$16,2,0))*E1005)</f>
        <v/>
      </c>
      <c r="H1005" s="7" t="str">
        <f t="shared" si="60"/>
        <v/>
      </c>
      <c r="I1005" s="7" t="str">
        <f>IF(AND(ISBLANK(D1005),ISBLANK(C1005)),"",((VLOOKUP(D1005,Cardápio!$A$2:$C$16,3,0))*E1005)+IF(B1005="iFood",F1005*0.27,(VLOOKUP(VENDAS!C1005,Bairros!$A$2:$B$90,2,0))))</f>
        <v/>
      </c>
      <c r="J1005" s="7" t="str">
        <f t="shared" si="61"/>
        <v/>
      </c>
      <c r="K1005" s="9">
        <f t="shared" ca="1" si="62"/>
        <v>45404.878290162036</v>
      </c>
      <c r="L1005" s="10">
        <f t="shared" ca="1" si="63"/>
        <v>45404.878290046297</v>
      </c>
    </row>
    <row r="1006" spans="6:12" x14ac:dyDescent="0.25">
      <c r="F1006" s="11" t="str">
        <f>IF(ISBLANK(D1006),"",(VLOOKUP(D1006,Cardápio!$A$2:$B$16,2,0))*E1006)</f>
        <v/>
      </c>
      <c r="H1006" s="7" t="str">
        <f t="shared" si="60"/>
        <v/>
      </c>
      <c r="I1006" s="7" t="str">
        <f>IF(AND(ISBLANK(D1006),ISBLANK(C1006)),"",((VLOOKUP(D1006,Cardápio!$A$2:$C$16,3,0))*E1006)+IF(B1006="iFood",F1006*0.27,(VLOOKUP(VENDAS!C1006,Bairros!$A$2:$B$90,2,0))))</f>
        <v/>
      </c>
      <c r="J1006" s="7" t="str">
        <f t="shared" si="61"/>
        <v/>
      </c>
      <c r="K1006" s="9">
        <f t="shared" ca="1" si="62"/>
        <v>45404.878290162036</v>
      </c>
      <c r="L1006" s="10">
        <f t="shared" ca="1" si="63"/>
        <v>45404.878290046297</v>
      </c>
    </row>
    <row r="1007" spans="6:12" x14ac:dyDescent="0.25">
      <c r="F1007" s="11" t="str">
        <f>IF(ISBLANK(D1007),"",(VLOOKUP(D1007,Cardápio!$A$2:$B$16,2,0))*E1007)</f>
        <v/>
      </c>
      <c r="H1007" s="7" t="str">
        <f t="shared" si="60"/>
        <v/>
      </c>
      <c r="I1007" s="7" t="str">
        <f>IF(AND(ISBLANK(D1007),ISBLANK(C1007)),"",((VLOOKUP(D1007,Cardápio!$A$2:$C$16,3,0))*E1007)+IF(B1007="iFood",F1007*0.27,(VLOOKUP(VENDAS!C1007,Bairros!$A$2:$B$90,2,0))))</f>
        <v/>
      </c>
      <c r="J1007" s="7" t="str">
        <f t="shared" si="61"/>
        <v/>
      </c>
      <c r="K1007" s="9">
        <f t="shared" ca="1" si="62"/>
        <v>45404.878290046297</v>
      </c>
      <c r="L1007" s="10">
        <f t="shared" ca="1" si="63"/>
        <v>45404.878290046297</v>
      </c>
    </row>
    <row r="1008" spans="6:12" x14ac:dyDescent="0.25">
      <c r="F1008" s="11" t="str">
        <f>IF(ISBLANK(D1008),"",(VLOOKUP(D1008,Cardápio!$A$2:$B$16,2,0))*E1008)</f>
        <v/>
      </c>
      <c r="H1008" s="7" t="str">
        <f t="shared" si="60"/>
        <v/>
      </c>
      <c r="I1008" s="7" t="str">
        <f>IF(AND(ISBLANK(D1008),ISBLANK(C1008)),"",((VLOOKUP(D1008,Cardápio!$A$2:$C$16,3,0))*E1008)+IF(B1008="iFood",F1008*0.27,(VLOOKUP(VENDAS!C1008,Bairros!$A$2:$B$90,2,0))))</f>
        <v/>
      </c>
      <c r="J1008" s="7" t="str">
        <f t="shared" si="61"/>
        <v/>
      </c>
      <c r="K1008" s="9">
        <f t="shared" ca="1" si="62"/>
        <v>45404.878290162036</v>
      </c>
      <c r="L1008" s="10">
        <f t="shared" ca="1" si="63"/>
        <v>45404.878290046297</v>
      </c>
    </row>
    <row r="1009" spans="6:12" x14ac:dyDescent="0.25">
      <c r="F1009" s="11" t="str">
        <f>IF(ISBLANK(D1009),"",(VLOOKUP(D1009,Cardápio!$A$2:$B$16,2,0))*E1009)</f>
        <v/>
      </c>
      <c r="H1009" s="7" t="str">
        <f t="shared" si="60"/>
        <v/>
      </c>
      <c r="I1009" s="7" t="str">
        <f>IF(AND(ISBLANK(D1009),ISBLANK(C1009)),"",((VLOOKUP(D1009,Cardápio!$A$2:$C$16,3,0))*E1009)+IF(B1009="iFood",F1009*0.27,(VLOOKUP(VENDAS!C1009,Bairros!$A$2:$B$90,2,0))))</f>
        <v/>
      </c>
      <c r="J1009" s="7" t="str">
        <f t="shared" si="61"/>
        <v/>
      </c>
      <c r="K1009" s="9">
        <f t="shared" ca="1" si="62"/>
        <v>45404.878290162036</v>
      </c>
      <c r="L1009" s="10">
        <f t="shared" ca="1" si="63"/>
        <v>45404.878290046297</v>
      </c>
    </row>
    <row r="1010" spans="6:12" x14ac:dyDescent="0.25">
      <c r="F1010" s="11" t="str">
        <f>IF(ISBLANK(D1010),"",(VLOOKUP(D1010,Cardápio!$A$2:$B$16,2,0))*E1010)</f>
        <v/>
      </c>
      <c r="H1010" s="7" t="str">
        <f t="shared" si="60"/>
        <v/>
      </c>
      <c r="I1010" s="7" t="str">
        <f>IF(AND(ISBLANK(D1010),ISBLANK(C1010)),"",((VLOOKUP(D1010,Cardápio!$A$2:$C$16,3,0))*E1010)+IF(B1010="iFood",F1010*0.27,(VLOOKUP(VENDAS!C1010,Bairros!$A$2:$B$90,2,0))))</f>
        <v/>
      </c>
      <c r="J1010" s="7" t="str">
        <f t="shared" si="61"/>
        <v/>
      </c>
      <c r="K1010" s="9">
        <f t="shared" ca="1" si="62"/>
        <v>45404.878290162036</v>
      </c>
      <c r="L1010" s="10">
        <f t="shared" ca="1" si="63"/>
        <v>45404.878290046297</v>
      </c>
    </row>
    <row r="1011" spans="6:12" x14ac:dyDescent="0.25">
      <c r="F1011" s="11" t="str">
        <f>IF(ISBLANK(D1011),"",(VLOOKUP(D1011,Cardápio!$A$2:$B$16,2,0))*E1011)</f>
        <v/>
      </c>
      <c r="H1011" s="7" t="str">
        <f t="shared" si="60"/>
        <v/>
      </c>
      <c r="I1011" s="7" t="str">
        <f>IF(AND(ISBLANK(D1011),ISBLANK(C1011)),"",((VLOOKUP(D1011,Cardápio!$A$2:$C$16,3,0))*E1011)+IF(B1011="iFood",F1011*0.27,(VLOOKUP(VENDAS!C1011,Bairros!$A$2:$B$90,2,0))))</f>
        <v/>
      </c>
      <c r="J1011" s="7" t="str">
        <f t="shared" si="61"/>
        <v/>
      </c>
      <c r="K1011" s="9">
        <f t="shared" ca="1" si="62"/>
        <v>45404.878290046297</v>
      </c>
      <c r="L1011" s="10">
        <f t="shared" ca="1" si="63"/>
        <v>45404.878290046297</v>
      </c>
    </row>
    <row r="1012" spans="6:12" x14ac:dyDescent="0.25">
      <c r="F1012" s="11" t="str">
        <f>IF(ISBLANK(D1012),"",(VLOOKUP(D1012,Cardápio!$A$2:$B$16,2,0))*E1012)</f>
        <v/>
      </c>
      <c r="H1012" s="7" t="str">
        <f t="shared" si="60"/>
        <v/>
      </c>
      <c r="I1012" s="7" t="str">
        <f>IF(AND(ISBLANK(D1012),ISBLANK(C1012)),"",((VLOOKUP(D1012,Cardápio!$A$2:$C$16,3,0))*E1012)+IF(B1012="iFood",F1012*0.27,(VLOOKUP(VENDAS!C1012,Bairros!$A$2:$B$90,2,0))))</f>
        <v/>
      </c>
      <c r="J1012" s="7" t="str">
        <f t="shared" si="61"/>
        <v/>
      </c>
      <c r="K1012" s="9">
        <f t="shared" ca="1" si="62"/>
        <v>45404.878290162036</v>
      </c>
      <c r="L1012" s="10">
        <f t="shared" ca="1" si="63"/>
        <v>45404.878290046297</v>
      </c>
    </row>
    <row r="1013" spans="6:12" x14ac:dyDescent="0.25">
      <c r="F1013" s="11" t="str">
        <f>IF(ISBLANK(D1013),"",(VLOOKUP(D1013,Cardápio!$A$2:$B$16,2,0))*E1013)</f>
        <v/>
      </c>
      <c r="H1013" s="7" t="str">
        <f t="shared" ref="H1013:H1076" si="64">IF(ISBLANK(D1013),"",F1013-G1013)</f>
        <v/>
      </c>
      <c r="I1013" s="7" t="str">
        <f>IF(AND(ISBLANK(D1013),ISBLANK(C1013)),"",((VLOOKUP(D1013,Cardápio!$A$2:$C$16,3,0))*E1013)+IF(B1013="iFood",F1013*0.27,(VLOOKUP(VENDAS!C1013,Bairros!$A$2:$B$90,2,0))))</f>
        <v/>
      </c>
      <c r="J1013" s="7" t="str">
        <f t="shared" ref="J1013:J1076" si="65">IF(OR(AND(ISBLANK(H1013),ISBLANK(I1013)),(AND(H1013="",I1013=""))),"",H1013-I1013)</f>
        <v/>
      </c>
      <c r="K1013" s="9">
        <f t="shared" ref="K1013:K1076" ca="1" si="66">IF(D1013&lt;&gt;"",K1013,NOW())</f>
        <v>45404.878290162036</v>
      </c>
      <c r="L1013" s="10">
        <f t="shared" ref="L1013:L1076" ca="1" si="67">IF(D1013&lt;&gt;"",L1013,NOW())</f>
        <v>45404.878290046297</v>
      </c>
    </row>
    <row r="1014" spans="6:12" x14ac:dyDescent="0.25">
      <c r="F1014" s="11" t="str">
        <f>IF(ISBLANK(D1014),"",(VLOOKUP(D1014,Cardápio!$A$2:$B$16,2,0))*E1014)</f>
        <v/>
      </c>
      <c r="H1014" s="7" t="str">
        <f t="shared" si="64"/>
        <v/>
      </c>
      <c r="I1014" s="7" t="str">
        <f>IF(AND(ISBLANK(D1014),ISBLANK(C1014)),"",((VLOOKUP(D1014,Cardápio!$A$2:$C$16,3,0))*E1014)+IF(B1014="iFood",F1014*0.27,(VLOOKUP(VENDAS!C1014,Bairros!$A$2:$B$90,2,0))))</f>
        <v/>
      </c>
      <c r="J1014" s="7" t="str">
        <f t="shared" si="65"/>
        <v/>
      </c>
      <c r="K1014" s="9">
        <f t="shared" ca="1" si="66"/>
        <v>45404.878290162036</v>
      </c>
      <c r="L1014" s="10">
        <f t="shared" ca="1" si="67"/>
        <v>45404.878290046297</v>
      </c>
    </row>
    <row r="1015" spans="6:12" x14ac:dyDescent="0.25">
      <c r="F1015" s="11" t="str">
        <f>IF(ISBLANK(D1015),"",(VLOOKUP(D1015,Cardápio!$A$2:$B$16,2,0))*E1015)</f>
        <v/>
      </c>
      <c r="H1015" s="7" t="str">
        <f t="shared" si="64"/>
        <v/>
      </c>
      <c r="I1015" s="7" t="str">
        <f>IF(AND(ISBLANK(D1015),ISBLANK(C1015)),"",((VLOOKUP(D1015,Cardápio!$A$2:$C$16,3,0))*E1015)+IF(B1015="iFood",F1015*0.27,(VLOOKUP(VENDAS!C1015,Bairros!$A$2:$B$90,2,0))))</f>
        <v/>
      </c>
      <c r="J1015" s="7" t="str">
        <f t="shared" si="65"/>
        <v/>
      </c>
      <c r="K1015" s="9">
        <f t="shared" ca="1" si="66"/>
        <v>45404.878290162036</v>
      </c>
      <c r="L1015" s="10">
        <f t="shared" ca="1" si="67"/>
        <v>45404.878290046297</v>
      </c>
    </row>
    <row r="1016" spans="6:12" x14ac:dyDescent="0.25">
      <c r="F1016" s="11" t="str">
        <f>IF(ISBLANK(D1016),"",(VLOOKUP(D1016,Cardápio!$A$2:$B$16,2,0))*E1016)</f>
        <v/>
      </c>
      <c r="H1016" s="7" t="str">
        <f t="shared" si="64"/>
        <v/>
      </c>
      <c r="I1016" s="7" t="str">
        <f>IF(AND(ISBLANK(D1016),ISBLANK(C1016)),"",((VLOOKUP(D1016,Cardápio!$A$2:$C$16,3,0))*E1016)+IF(B1016="iFood",F1016*0.27,(VLOOKUP(VENDAS!C1016,Bairros!$A$2:$B$90,2,0))))</f>
        <v/>
      </c>
      <c r="J1016" s="7" t="str">
        <f t="shared" si="65"/>
        <v/>
      </c>
      <c r="K1016" s="9">
        <f t="shared" ca="1" si="66"/>
        <v>45404.878290162036</v>
      </c>
      <c r="L1016" s="10">
        <f t="shared" ca="1" si="67"/>
        <v>45404.878290046297</v>
      </c>
    </row>
    <row r="1017" spans="6:12" x14ac:dyDescent="0.25">
      <c r="F1017" s="11" t="str">
        <f>IF(ISBLANK(D1017),"",(VLOOKUP(D1017,Cardápio!$A$2:$B$16,2,0))*E1017)</f>
        <v/>
      </c>
      <c r="H1017" s="7" t="str">
        <f t="shared" si="64"/>
        <v/>
      </c>
      <c r="I1017" s="7" t="str">
        <f>IF(AND(ISBLANK(D1017),ISBLANK(C1017)),"",((VLOOKUP(D1017,Cardápio!$A$2:$C$16,3,0))*E1017)+IF(B1017="iFood",F1017*0.27,(VLOOKUP(VENDAS!C1017,Bairros!$A$2:$B$90,2,0))))</f>
        <v/>
      </c>
      <c r="J1017" s="7" t="str">
        <f t="shared" si="65"/>
        <v/>
      </c>
      <c r="K1017" s="9">
        <f t="shared" ca="1" si="66"/>
        <v>45404.878290162036</v>
      </c>
      <c r="L1017" s="10">
        <f t="shared" ca="1" si="67"/>
        <v>45404.878290046297</v>
      </c>
    </row>
    <row r="1018" spans="6:12" x14ac:dyDescent="0.25">
      <c r="F1018" s="11" t="str">
        <f>IF(ISBLANK(D1018),"",(VLOOKUP(D1018,Cardápio!$A$2:$B$16,2,0))*E1018)</f>
        <v/>
      </c>
      <c r="H1018" s="7" t="str">
        <f t="shared" si="64"/>
        <v/>
      </c>
      <c r="I1018" s="7" t="str">
        <f>IF(AND(ISBLANK(D1018),ISBLANK(C1018)),"",((VLOOKUP(D1018,Cardápio!$A$2:$C$16,3,0))*E1018)+IF(B1018="iFood",F1018*0.27,(VLOOKUP(VENDAS!C1018,Bairros!$A$2:$B$90,2,0))))</f>
        <v/>
      </c>
      <c r="J1018" s="7" t="str">
        <f t="shared" si="65"/>
        <v/>
      </c>
      <c r="K1018" s="9">
        <f t="shared" ca="1" si="66"/>
        <v>45404.878290162036</v>
      </c>
      <c r="L1018" s="10">
        <f t="shared" ca="1" si="67"/>
        <v>45404.878290046297</v>
      </c>
    </row>
    <row r="1019" spans="6:12" x14ac:dyDescent="0.25">
      <c r="F1019" s="11" t="str">
        <f>IF(ISBLANK(D1019),"",(VLOOKUP(D1019,Cardápio!$A$2:$B$16,2,0))*E1019)</f>
        <v/>
      </c>
      <c r="H1019" s="7" t="str">
        <f t="shared" si="64"/>
        <v/>
      </c>
      <c r="I1019" s="7" t="str">
        <f>IF(AND(ISBLANK(D1019),ISBLANK(C1019)),"",((VLOOKUP(D1019,Cardápio!$A$2:$C$16,3,0))*E1019)+IF(B1019="iFood",F1019*0.27,(VLOOKUP(VENDAS!C1019,Bairros!$A$2:$B$90,2,0))))</f>
        <v/>
      </c>
      <c r="J1019" s="7" t="str">
        <f t="shared" si="65"/>
        <v/>
      </c>
      <c r="K1019" s="9">
        <f t="shared" ca="1" si="66"/>
        <v>45404.878290162036</v>
      </c>
      <c r="L1019" s="10">
        <f t="shared" ca="1" si="67"/>
        <v>45404.878290046297</v>
      </c>
    </row>
    <row r="1020" spans="6:12" x14ac:dyDescent="0.25">
      <c r="F1020" s="11" t="str">
        <f>IF(ISBLANK(D1020),"",(VLOOKUP(D1020,Cardápio!$A$2:$B$16,2,0))*E1020)</f>
        <v/>
      </c>
      <c r="H1020" s="7" t="str">
        <f t="shared" si="64"/>
        <v/>
      </c>
      <c r="I1020" s="7" t="str">
        <f>IF(AND(ISBLANK(D1020),ISBLANK(C1020)),"",((VLOOKUP(D1020,Cardápio!$A$2:$C$16,3,0))*E1020)+IF(B1020="iFood",F1020*0.27,(VLOOKUP(VENDAS!C1020,Bairros!$A$2:$B$90,2,0))))</f>
        <v/>
      </c>
      <c r="J1020" s="7" t="str">
        <f t="shared" si="65"/>
        <v/>
      </c>
      <c r="K1020" s="9">
        <f t="shared" ca="1" si="66"/>
        <v>45404.878290162036</v>
      </c>
      <c r="L1020" s="10">
        <f t="shared" ca="1" si="67"/>
        <v>45404.878290046297</v>
      </c>
    </row>
    <row r="1021" spans="6:12" x14ac:dyDescent="0.25">
      <c r="F1021" s="11" t="str">
        <f>IF(ISBLANK(D1021),"",(VLOOKUP(D1021,Cardápio!$A$2:$B$16,2,0))*E1021)</f>
        <v/>
      </c>
      <c r="H1021" s="7" t="str">
        <f t="shared" si="64"/>
        <v/>
      </c>
      <c r="I1021" s="7" t="str">
        <f>IF(AND(ISBLANK(D1021),ISBLANK(C1021)),"",((VLOOKUP(D1021,Cardápio!$A$2:$C$16,3,0))*E1021)+IF(B1021="iFood",F1021*0.27,(VLOOKUP(VENDAS!C1021,Bairros!$A$2:$B$90,2,0))))</f>
        <v/>
      </c>
      <c r="J1021" s="7" t="str">
        <f t="shared" si="65"/>
        <v/>
      </c>
      <c r="K1021" s="9">
        <f t="shared" ca="1" si="66"/>
        <v>45404.878290162036</v>
      </c>
      <c r="L1021" s="10">
        <f t="shared" ca="1" si="67"/>
        <v>45404.878290046297</v>
      </c>
    </row>
    <row r="1022" spans="6:12" x14ac:dyDescent="0.25">
      <c r="F1022" s="11" t="str">
        <f>IF(ISBLANK(D1022),"",(VLOOKUP(D1022,Cardápio!$A$2:$B$16,2,0))*E1022)</f>
        <v/>
      </c>
      <c r="H1022" s="7" t="str">
        <f t="shared" si="64"/>
        <v/>
      </c>
      <c r="I1022" s="7" t="str">
        <f>IF(AND(ISBLANK(D1022),ISBLANK(C1022)),"",((VLOOKUP(D1022,Cardápio!$A$2:$C$16,3,0))*E1022)+IF(B1022="iFood",F1022*0.27,(VLOOKUP(VENDAS!C1022,Bairros!$A$2:$B$90,2,0))))</f>
        <v/>
      </c>
      <c r="J1022" s="7" t="str">
        <f t="shared" si="65"/>
        <v/>
      </c>
      <c r="K1022" s="9">
        <f t="shared" ca="1" si="66"/>
        <v>45404.878290162036</v>
      </c>
      <c r="L1022" s="10">
        <f t="shared" ca="1" si="67"/>
        <v>45404.878290046297</v>
      </c>
    </row>
    <row r="1023" spans="6:12" x14ac:dyDescent="0.25">
      <c r="F1023" s="11" t="str">
        <f>IF(ISBLANK(D1023),"",(VLOOKUP(D1023,Cardápio!$A$2:$B$16,2,0))*E1023)</f>
        <v/>
      </c>
      <c r="H1023" s="7" t="str">
        <f t="shared" si="64"/>
        <v/>
      </c>
      <c r="I1023" s="7" t="str">
        <f>IF(AND(ISBLANK(D1023),ISBLANK(C1023)),"",((VLOOKUP(D1023,Cardápio!$A$2:$C$16,3,0))*E1023)+IF(B1023="iFood",F1023*0.27,(VLOOKUP(VENDAS!C1023,Bairros!$A$2:$B$90,2,0))))</f>
        <v/>
      </c>
      <c r="J1023" s="7" t="str">
        <f t="shared" si="65"/>
        <v/>
      </c>
      <c r="K1023" s="9">
        <f t="shared" ca="1" si="66"/>
        <v>45404.878290162036</v>
      </c>
      <c r="L1023" s="10">
        <f t="shared" ca="1" si="67"/>
        <v>45404.878290046297</v>
      </c>
    </row>
    <row r="1024" spans="6:12" x14ac:dyDescent="0.25">
      <c r="F1024" s="11" t="str">
        <f>IF(ISBLANK(D1024),"",(VLOOKUP(D1024,Cardápio!$A$2:$B$16,2,0))*E1024)</f>
        <v/>
      </c>
      <c r="H1024" s="7" t="str">
        <f t="shared" si="64"/>
        <v/>
      </c>
      <c r="I1024" s="7" t="str">
        <f>IF(AND(ISBLANK(D1024),ISBLANK(C1024)),"",((VLOOKUP(D1024,Cardápio!$A$2:$C$16,3,0))*E1024)+IF(B1024="iFood",F1024*0.27,(VLOOKUP(VENDAS!C1024,Bairros!$A$2:$B$90,2,0))))</f>
        <v/>
      </c>
      <c r="J1024" s="7" t="str">
        <f t="shared" si="65"/>
        <v/>
      </c>
      <c r="K1024" s="9">
        <f t="shared" ca="1" si="66"/>
        <v>45404.878290162036</v>
      </c>
      <c r="L1024" s="10">
        <f t="shared" ca="1" si="67"/>
        <v>45404.878290046297</v>
      </c>
    </row>
    <row r="1025" spans="6:12" x14ac:dyDescent="0.25">
      <c r="F1025" s="11" t="str">
        <f>IF(ISBLANK(D1025),"",(VLOOKUP(D1025,Cardápio!$A$2:$B$16,2,0))*E1025)</f>
        <v/>
      </c>
      <c r="H1025" s="7" t="str">
        <f t="shared" si="64"/>
        <v/>
      </c>
      <c r="I1025" s="7" t="str">
        <f>IF(AND(ISBLANK(D1025),ISBLANK(C1025)),"",((VLOOKUP(D1025,Cardápio!$A$2:$C$16,3,0))*E1025)+IF(B1025="iFood",F1025*0.27,(VLOOKUP(VENDAS!C1025,Bairros!$A$2:$B$90,2,0))))</f>
        <v/>
      </c>
      <c r="J1025" s="7" t="str">
        <f t="shared" si="65"/>
        <v/>
      </c>
      <c r="K1025" s="9">
        <f t="shared" ca="1" si="66"/>
        <v>45404.878290162036</v>
      </c>
      <c r="L1025" s="10">
        <f t="shared" ca="1" si="67"/>
        <v>45404.878290046297</v>
      </c>
    </row>
    <row r="1026" spans="6:12" x14ac:dyDescent="0.25">
      <c r="F1026" s="11" t="str">
        <f>IF(ISBLANK(D1026),"",(VLOOKUP(D1026,Cardápio!$A$2:$B$16,2,0))*E1026)</f>
        <v/>
      </c>
      <c r="H1026" s="7" t="str">
        <f t="shared" si="64"/>
        <v/>
      </c>
      <c r="I1026" s="7" t="str">
        <f>IF(AND(ISBLANK(D1026),ISBLANK(C1026)),"",((VLOOKUP(D1026,Cardápio!$A$2:$C$16,3,0))*E1026)+IF(B1026="iFood",F1026*0.27,(VLOOKUP(VENDAS!C1026,Bairros!$A$2:$B$90,2,0))))</f>
        <v/>
      </c>
      <c r="J1026" s="7" t="str">
        <f t="shared" si="65"/>
        <v/>
      </c>
      <c r="K1026" s="9">
        <f t="shared" ca="1" si="66"/>
        <v>45404.878290162036</v>
      </c>
      <c r="L1026" s="10">
        <f t="shared" ca="1" si="67"/>
        <v>45404.878290046297</v>
      </c>
    </row>
    <row r="1027" spans="6:12" x14ac:dyDescent="0.25">
      <c r="F1027" s="11" t="str">
        <f>IF(ISBLANK(D1027),"",(VLOOKUP(D1027,Cardápio!$A$2:$B$16,2,0))*E1027)</f>
        <v/>
      </c>
      <c r="H1027" s="7" t="str">
        <f t="shared" si="64"/>
        <v/>
      </c>
      <c r="I1027" s="7" t="str">
        <f>IF(AND(ISBLANK(D1027),ISBLANK(C1027)),"",((VLOOKUP(D1027,Cardápio!$A$2:$C$16,3,0))*E1027)+IF(B1027="iFood",F1027*0.27,(VLOOKUP(VENDAS!C1027,Bairros!$A$2:$B$90,2,0))))</f>
        <v/>
      </c>
      <c r="J1027" s="7" t="str">
        <f t="shared" si="65"/>
        <v/>
      </c>
      <c r="K1027" s="9">
        <f t="shared" ca="1" si="66"/>
        <v>45404.878290162036</v>
      </c>
      <c r="L1027" s="10">
        <f t="shared" ca="1" si="67"/>
        <v>45404.878290046297</v>
      </c>
    </row>
    <row r="1028" spans="6:12" x14ac:dyDescent="0.25">
      <c r="F1028" s="11" t="str">
        <f>IF(ISBLANK(D1028),"",(VLOOKUP(D1028,Cardápio!$A$2:$B$16,2,0))*E1028)</f>
        <v/>
      </c>
      <c r="H1028" s="7" t="str">
        <f t="shared" si="64"/>
        <v/>
      </c>
      <c r="I1028" s="7" t="str">
        <f>IF(AND(ISBLANK(D1028),ISBLANK(C1028)),"",((VLOOKUP(D1028,Cardápio!$A$2:$C$16,3,0))*E1028)+IF(B1028="iFood",F1028*0.27,(VLOOKUP(VENDAS!C1028,Bairros!$A$2:$B$90,2,0))))</f>
        <v/>
      </c>
      <c r="J1028" s="7" t="str">
        <f t="shared" si="65"/>
        <v/>
      </c>
      <c r="K1028" s="9">
        <f t="shared" ca="1" si="66"/>
        <v>45404.878290162036</v>
      </c>
      <c r="L1028" s="10">
        <f t="shared" ca="1" si="67"/>
        <v>45404.878290046297</v>
      </c>
    </row>
    <row r="1029" spans="6:12" x14ac:dyDescent="0.25">
      <c r="F1029" s="11" t="str">
        <f>IF(ISBLANK(D1029),"",(VLOOKUP(D1029,Cardápio!$A$2:$B$16,2,0))*E1029)</f>
        <v/>
      </c>
      <c r="H1029" s="7" t="str">
        <f t="shared" si="64"/>
        <v/>
      </c>
      <c r="I1029" s="7" t="str">
        <f>IF(AND(ISBLANK(D1029),ISBLANK(C1029)),"",((VLOOKUP(D1029,Cardápio!$A$2:$C$16,3,0))*E1029)+IF(B1029="iFood",F1029*0.27,(VLOOKUP(VENDAS!C1029,Bairros!$A$2:$B$90,2,0))))</f>
        <v/>
      </c>
      <c r="J1029" s="7" t="str">
        <f t="shared" si="65"/>
        <v/>
      </c>
      <c r="K1029" s="9">
        <f t="shared" ca="1" si="66"/>
        <v>45404.878290162036</v>
      </c>
      <c r="L1029" s="10">
        <f t="shared" ca="1" si="67"/>
        <v>45404.878290046297</v>
      </c>
    </row>
    <row r="1030" spans="6:12" x14ac:dyDescent="0.25">
      <c r="F1030" s="11" t="str">
        <f>IF(ISBLANK(D1030),"",(VLOOKUP(D1030,Cardápio!$A$2:$B$16,2,0))*E1030)</f>
        <v/>
      </c>
      <c r="H1030" s="7" t="str">
        <f t="shared" si="64"/>
        <v/>
      </c>
      <c r="I1030" s="7" t="str">
        <f>IF(AND(ISBLANK(D1030),ISBLANK(C1030)),"",((VLOOKUP(D1030,Cardápio!$A$2:$C$16,3,0))*E1030)+IF(B1030="iFood",F1030*0.27,(VLOOKUP(VENDAS!C1030,Bairros!$A$2:$B$90,2,0))))</f>
        <v/>
      </c>
      <c r="J1030" s="7" t="str">
        <f t="shared" si="65"/>
        <v/>
      </c>
      <c r="K1030" s="9">
        <f t="shared" ca="1" si="66"/>
        <v>45404.878290162036</v>
      </c>
      <c r="L1030" s="10">
        <f t="shared" ca="1" si="67"/>
        <v>45404.878290046297</v>
      </c>
    </row>
    <row r="1031" spans="6:12" x14ac:dyDescent="0.25">
      <c r="F1031" s="11" t="str">
        <f>IF(ISBLANK(D1031),"",(VLOOKUP(D1031,Cardápio!$A$2:$B$16,2,0))*E1031)</f>
        <v/>
      </c>
      <c r="H1031" s="7" t="str">
        <f t="shared" si="64"/>
        <v/>
      </c>
      <c r="I1031" s="7" t="str">
        <f>IF(AND(ISBLANK(D1031),ISBLANK(C1031)),"",((VLOOKUP(D1031,Cardápio!$A$2:$C$16,3,0))*E1031)+IF(B1031="iFood",F1031*0.27,(VLOOKUP(VENDAS!C1031,Bairros!$A$2:$B$90,2,0))))</f>
        <v/>
      </c>
      <c r="J1031" s="7" t="str">
        <f t="shared" si="65"/>
        <v/>
      </c>
      <c r="K1031" s="9">
        <f t="shared" ca="1" si="66"/>
        <v>45404.878290162036</v>
      </c>
      <c r="L1031" s="10">
        <f t="shared" ca="1" si="67"/>
        <v>45404.878290046297</v>
      </c>
    </row>
    <row r="1032" spans="6:12" x14ac:dyDescent="0.25">
      <c r="F1032" s="11" t="str">
        <f>IF(ISBLANK(D1032),"",(VLOOKUP(D1032,Cardápio!$A$2:$B$16,2,0))*E1032)</f>
        <v/>
      </c>
      <c r="H1032" s="7" t="str">
        <f t="shared" si="64"/>
        <v/>
      </c>
      <c r="I1032" s="7" t="str">
        <f>IF(AND(ISBLANK(D1032),ISBLANK(C1032)),"",((VLOOKUP(D1032,Cardápio!$A$2:$C$16,3,0))*E1032)+IF(B1032="iFood",F1032*0.27,(VLOOKUP(VENDAS!C1032,Bairros!$A$2:$B$90,2,0))))</f>
        <v/>
      </c>
      <c r="J1032" s="7" t="str">
        <f t="shared" si="65"/>
        <v/>
      </c>
      <c r="K1032" s="9">
        <f t="shared" ca="1" si="66"/>
        <v>45404.878290162036</v>
      </c>
      <c r="L1032" s="10">
        <f t="shared" ca="1" si="67"/>
        <v>45404.878290046297</v>
      </c>
    </row>
    <row r="1033" spans="6:12" x14ac:dyDescent="0.25">
      <c r="F1033" s="11" t="str">
        <f>IF(ISBLANK(D1033),"",(VLOOKUP(D1033,Cardápio!$A$2:$B$16,2,0))*E1033)</f>
        <v/>
      </c>
      <c r="H1033" s="7" t="str">
        <f t="shared" si="64"/>
        <v/>
      </c>
      <c r="I1033" s="7" t="str">
        <f>IF(AND(ISBLANK(D1033),ISBLANK(C1033)),"",((VLOOKUP(D1033,Cardápio!$A$2:$C$16,3,0))*E1033)+IF(B1033="iFood",F1033*0.27,(VLOOKUP(VENDAS!C1033,Bairros!$A$2:$B$90,2,0))))</f>
        <v/>
      </c>
      <c r="J1033" s="7" t="str">
        <f t="shared" si="65"/>
        <v/>
      </c>
      <c r="K1033" s="9">
        <f t="shared" ca="1" si="66"/>
        <v>45404.878290162036</v>
      </c>
      <c r="L1033" s="10">
        <f t="shared" ca="1" si="67"/>
        <v>45404.878290046297</v>
      </c>
    </row>
    <row r="1034" spans="6:12" x14ac:dyDescent="0.25">
      <c r="F1034" s="11" t="str">
        <f>IF(ISBLANK(D1034),"",(VLOOKUP(D1034,Cardápio!$A$2:$B$16,2,0))*E1034)</f>
        <v/>
      </c>
      <c r="H1034" s="7" t="str">
        <f t="shared" si="64"/>
        <v/>
      </c>
      <c r="I1034" s="7" t="str">
        <f>IF(AND(ISBLANK(D1034),ISBLANK(C1034)),"",((VLOOKUP(D1034,Cardápio!$A$2:$C$16,3,0))*E1034)+IF(B1034="iFood",F1034*0.27,(VLOOKUP(VENDAS!C1034,Bairros!$A$2:$B$90,2,0))))</f>
        <v/>
      </c>
      <c r="J1034" s="7" t="str">
        <f t="shared" si="65"/>
        <v/>
      </c>
      <c r="K1034" s="9">
        <f t="shared" ca="1" si="66"/>
        <v>45404.878290162036</v>
      </c>
      <c r="L1034" s="10">
        <f t="shared" ca="1" si="67"/>
        <v>45404.878290046297</v>
      </c>
    </row>
    <row r="1035" spans="6:12" x14ac:dyDescent="0.25">
      <c r="F1035" s="11" t="str">
        <f>IF(ISBLANK(D1035),"",(VLOOKUP(D1035,Cardápio!$A$2:$B$16,2,0))*E1035)</f>
        <v/>
      </c>
      <c r="H1035" s="7" t="str">
        <f t="shared" si="64"/>
        <v/>
      </c>
      <c r="I1035" s="7" t="str">
        <f>IF(AND(ISBLANK(D1035),ISBLANK(C1035)),"",((VLOOKUP(D1035,Cardápio!$A$2:$C$16,3,0))*E1035)+IF(B1035="iFood",F1035*0.27,(VLOOKUP(VENDAS!C1035,Bairros!$A$2:$B$90,2,0))))</f>
        <v/>
      </c>
      <c r="J1035" s="7" t="str">
        <f t="shared" si="65"/>
        <v/>
      </c>
      <c r="K1035" s="9">
        <f t="shared" ca="1" si="66"/>
        <v>45404.878290162036</v>
      </c>
      <c r="L1035" s="10">
        <f t="shared" ca="1" si="67"/>
        <v>45404.878290046297</v>
      </c>
    </row>
    <row r="1036" spans="6:12" x14ac:dyDescent="0.25">
      <c r="F1036" s="11" t="str">
        <f>IF(ISBLANK(D1036),"",(VLOOKUP(D1036,Cardápio!$A$2:$B$16,2,0))*E1036)</f>
        <v/>
      </c>
      <c r="H1036" s="7" t="str">
        <f t="shared" si="64"/>
        <v/>
      </c>
      <c r="I1036" s="7" t="str">
        <f>IF(AND(ISBLANK(D1036),ISBLANK(C1036)),"",((VLOOKUP(D1036,Cardápio!$A$2:$C$16,3,0))*E1036)+IF(B1036="iFood",F1036*0.27,(VLOOKUP(VENDAS!C1036,Bairros!$A$2:$B$90,2,0))))</f>
        <v/>
      </c>
      <c r="J1036" s="7" t="str">
        <f t="shared" si="65"/>
        <v/>
      </c>
      <c r="K1036" s="9">
        <f t="shared" ca="1" si="66"/>
        <v>45404.878290162036</v>
      </c>
      <c r="L1036" s="10">
        <f t="shared" ca="1" si="67"/>
        <v>45404.878290046297</v>
      </c>
    </row>
    <row r="1037" spans="6:12" x14ac:dyDescent="0.25">
      <c r="F1037" s="11" t="str">
        <f>IF(ISBLANK(D1037),"",(VLOOKUP(D1037,Cardápio!$A$2:$B$16,2,0))*E1037)</f>
        <v/>
      </c>
      <c r="H1037" s="7" t="str">
        <f t="shared" si="64"/>
        <v/>
      </c>
      <c r="I1037" s="7" t="str">
        <f>IF(AND(ISBLANK(D1037),ISBLANK(C1037)),"",((VLOOKUP(D1037,Cardápio!$A$2:$C$16,3,0))*E1037)+IF(B1037="iFood",F1037*0.27,(VLOOKUP(VENDAS!C1037,Bairros!$A$2:$B$90,2,0))))</f>
        <v/>
      </c>
      <c r="J1037" s="7" t="str">
        <f t="shared" si="65"/>
        <v/>
      </c>
      <c r="K1037" s="9">
        <f t="shared" ca="1" si="66"/>
        <v>45404.878290162036</v>
      </c>
      <c r="L1037" s="10">
        <f t="shared" ca="1" si="67"/>
        <v>45404.878290046297</v>
      </c>
    </row>
    <row r="1038" spans="6:12" x14ac:dyDescent="0.25">
      <c r="F1038" s="11" t="str">
        <f>IF(ISBLANK(D1038),"",(VLOOKUP(D1038,Cardápio!$A$2:$B$16,2,0))*E1038)</f>
        <v/>
      </c>
      <c r="H1038" s="7" t="str">
        <f t="shared" si="64"/>
        <v/>
      </c>
      <c r="I1038" s="7" t="str">
        <f>IF(AND(ISBLANK(D1038),ISBLANK(C1038)),"",((VLOOKUP(D1038,Cardápio!$A$2:$C$16,3,0))*E1038)+IF(B1038="iFood",F1038*0.27,(VLOOKUP(VENDAS!C1038,Bairros!$A$2:$B$90,2,0))))</f>
        <v/>
      </c>
      <c r="J1038" s="7" t="str">
        <f t="shared" si="65"/>
        <v/>
      </c>
      <c r="K1038" s="9">
        <f t="shared" ca="1" si="66"/>
        <v>45404.878290162036</v>
      </c>
      <c r="L1038" s="10">
        <f t="shared" ca="1" si="67"/>
        <v>45404.878290046297</v>
      </c>
    </row>
    <row r="1039" spans="6:12" x14ac:dyDescent="0.25">
      <c r="F1039" s="11" t="str">
        <f>IF(ISBLANK(D1039),"",(VLOOKUP(D1039,Cardápio!$A$2:$B$16,2,0))*E1039)</f>
        <v/>
      </c>
      <c r="H1039" s="7" t="str">
        <f t="shared" si="64"/>
        <v/>
      </c>
      <c r="I1039" s="7" t="str">
        <f>IF(AND(ISBLANK(D1039),ISBLANK(C1039)),"",((VLOOKUP(D1039,Cardápio!$A$2:$C$16,3,0))*E1039)+IF(B1039="iFood",F1039*0.27,(VLOOKUP(VENDAS!C1039,Bairros!$A$2:$B$90,2,0))))</f>
        <v/>
      </c>
      <c r="J1039" s="7" t="str">
        <f t="shared" si="65"/>
        <v/>
      </c>
      <c r="K1039" s="9">
        <f t="shared" ca="1" si="66"/>
        <v>45404.878290162036</v>
      </c>
      <c r="L1039" s="10">
        <f t="shared" ca="1" si="67"/>
        <v>45404.878290046297</v>
      </c>
    </row>
    <row r="1040" spans="6:12" x14ac:dyDescent="0.25">
      <c r="F1040" s="11" t="str">
        <f>IF(ISBLANK(D1040),"",(VLOOKUP(D1040,Cardápio!$A$2:$B$16,2,0))*E1040)</f>
        <v/>
      </c>
      <c r="H1040" s="7" t="str">
        <f t="shared" si="64"/>
        <v/>
      </c>
      <c r="I1040" s="7" t="str">
        <f>IF(AND(ISBLANK(D1040),ISBLANK(C1040)),"",((VLOOKUP(D1040,Cardápio!$A$2:$C$16,3,0))*E1040)+IF(B1040="iFood",F1040*0.27,(VLOOKUP(VENDAS!C1040,Bairros!$A$2:$B$90,2,0))))</f>
        <v/>
      </c>
      <c r="J1040" s="7" t="str">
        <f t="shared" si="65"/>
        <v/>
      </c>
      <c r="K1040" s="9">
        <f t="shared" ca="1" si="66"/>
        <v>45404.878290162036</v>
      </c>
      <c r="L1040" s="10">
        <f t="shared" ca="1" si="67"/>
        <v>45404.878290046297</v>
      </c>
    </row>
    <row r="1041" spans="6:12" x14ac:dyDescent="0.25">
      <c r="F1041" s="11" t="str">
        <f>IF(ISBLANK(D1041),"",(VLOOKUP(D1041,Cardápio!$A$2:$B$16,2,0))*E1041)</f>
        <v/>
      </c>
      <c r="H1041" s="7" t="str">
        <f t="shared" si="64"/>
        <v/>
      </c>
      <c r="I1041" s="7" t="str">
        <f>IF(AND(ISBLANK(D1041),ISBLANK(C1041)),"",((VLOOKUP(D1041,Cardápio!$A$2:$C$16,3,0))*E1041)+IF(B1041="iFood",F1041*0.27,(VLOOKUP(VENDAS!C1041,Bairros!$A$2:$B$90,2,0))))</f>
        <v/>
      </c>
      <c r="J1041" s="7" t="str">
        <f t="shared" si="65"/>
        <v/>
      </c>
      <c r="K1041" s="9">
        <f t="shared" ca="1" si="66"/>
        <v>45404.878290162036</v>
      </c>
      <c r="L1041" s="10">
        <f t="shared" ca="1" si="67"/>
        <v>45404.878290046297</v>
      </c>
    </row>
    <row r="1042" spans="6:12" x14ac:dyDescent="0.25">
      <c r="F1042" s="11" t="str">
        <f>IF(ISBLANK(D1042),"",(VLOOKUP(D1042,Cardápio!$A$2:$B$16,2,0))*E1042)</f>
        <v/>
      </c>
      <c r="H1042" s="7" t="str">
        <f t="shared" si="64"/>
        <v/>
      </c>
      <c r="I1042" s="7" t="str">
        <f>IF(AND(ISBLANK(D1042),ISBLANK(C1042)),"",((VLOOKUP(D1042,Cardápio!$A$2:$C$16,3,0))*E1042)+IF(B1042="iFood",F1042*0.27,(VLOOKUP(VENDAS!C1042,Bairros!$A$2:$B$90,2,0))))</f>
        <v/>
      </c>
      <c r="J1042" s="7" t="str">
        <f t="shared" si="65"/>
        <v/>
      </c>
      <c r="K1042" s="9">
        <f t="shared" ca="1" si="66"/>
        <v>45404.878290162036</v>
      </c>
      <c r="L1042" s="10">
        <f t="shared" ca="1" si="67"/>
        <v>45404.878290046297</v>
      </c>
    </row>
    <row r="1043" spans="6:12" x14ac:dyDescent="0.25">
      <c r="F1043" s="11" t="str">
        <f>IF(ISBLANK(D1043),"",(VLOOKUP(D1043,Cardápio!$A$2:$B$16,2,0))*E1043)</f>
        <v/>
      </c>
      <c r="H1043" s="7" t="str">
        <f t="shared" si="64"/>
        <v/>
      </c>
      <c r="I1043" s="7" t="str">
        <f>IF(AND(ISBLANK(D1043),ISBLANK(C1043)),"",((VLOOKUP(D1043,Cardápio!$A$2:$C$16,3,0))*E1043)+IF(B1043="iFood",F1043*0.27,(VLOOKUP(VENDAS!C1043,Bairros!$A$2:$B$90,2,0))))</f>
        <v/>
      </c>
      <c r="J1043" s="7" t="str">
        <f t="shared" si="65"/>
        <v/>
      </c>
      <c r="K1043" s="9">
        <f t="shared" ca="1" si="66"/>
        <v>45404.878290162036</v>
      </c>
      <c r="L1043" s="10">
        <f t="shared" ca="1" si="67"/>
        <v>45404.878290046297</v>
      </c>
    </row>
    <row r="1044" spans="6:12" x14ac:dyDescent="0.25">
      <c r="F1044" s="11" t="str">
        <f>IF(ISBLANK(D1044),"",(VLOOKUP(D1044,Cardápio!$A$2:$B$16,2,0))*E1044)</f>
        <v/>
      </c>
      <c r="H1044" s="7" t="str">
        <f t="shared" si="64"/>
        <v/>
      </c>
      <c r="I1044" s="7" t="str">
        <f>IF(AND(ISBLANK(D1044),ISBLANK(C1044)),"",((VLOOKUP(D1044,Cardápio!$A$2:$C$16,3,0))*E1044)+IF(B1044="iFood",F1044*0.27,(VLOOKUP(VENDAS!C1044,Bairros!$A$2:$B$90,2,0))))</f>
        <v/>
      </c>
      <c r="J1044" s="7" t="str">
        <f t="shared" si="65"/>
        <v/>
      </c>
      <c r="K1044" s="9">
        <f t="shared" ca="1" si="66"/>
        <v>45404.878290162036</v>
      </c>
      <c r="L1044" s="10">
        <f t="shared" ca="1" si="67"/>
        <v>45404.878290046297</v>
      </c>
    </row>
    <row r="1045" spans="6:12" x14ac:dyDescent="0.25">
      <c r="F1045" s="11" t="str">
        <f>IF(ISBLANK(D1045),"",(VLOOKUP(D1045,Cardápio!$A$2:$B$16,2,0))*E1045)</f>
        <v/>
      </c>
      <c r="H1045" s="7" t="str">
        <f t="shared" si="64"/>
        <v/>
      </c>
      <c r="I1045" s="7" t="str">
        <f>IF(AND(ISBLANK(D1045),ISBLANK(C1045)),"",((VLOOKUP(D1045,Cardápio!$A$2:$C$16,3,0))*E1045)+IF(B1045="iFood",F1045*0.27,(VLOOKUP(VENDAS!C1045,Bairros!$A$2:$B$90,2,0))))</f>
        <v/>
      </c>
      <c r="J1045" s="7" t="str">
        <f t="shared" si="65"/>
        <v/>
      </c>
      <c r="K1045" s="9">
        <f t="shared" ca="1" si="66"/>
        <v>45404.878290162036</v>
      </c>
      <c r="L1045" s="10">
        <f t="shared" ca="1" si="67"/>
        <v>45404.878290046297</v>
      </c>
    </row>
    <row r="1046" spans="6:12" x14ac:dyDescent="0.25">
      <c r="F1046" s="11" t="str">
        <f>IF(ISBLANK(D1046),"",(VLOOKUP(D1046,Cardápio!$A$2:$B$16,2,0))*E1046)</f>
        <v/>
      </c>
      <c r="H1046" s="7" t="str">
        <f t="shared" si="64"/>
        <v/>
      </c>
      <c r="I1046" s="7" t="str">
        <f>IF(AND(ISBLANK(D1046),ISBLANK(C1046)),"",((VLOOKUP(D1046,Cardápio!$A$2:$C$16,3,0))*E1046)+IF(B1046="iFood",F1046*0.27,(VLOOKUP(VENDAS!C1046,Bairros!$A$2:$B$90,2,0))))</f>
        <v/>
      </c>
      <c r="J1046" s="7" t="str">
        <f t="shared" si="65"/>
        <v/>
      </c>
      <c r="K1046" s="9">
        <f t="shared" ca="1" si="66"/>
        <v>45404.878290162036</v>
      </c>
      <c r="L1046" s="10">
        <f t="shared" ca="1" si="67"/>
        <v>45404.878290046297</v>
      </c>
    </row>
    <row r="1047" spans="6:12" x14ac:dyDescent="0.25">
      <c r="F1047" s="11" t="str">
        <f>IF(ISBLANK(D1047),"",(VLOOKUP(D1047,Cardápio!$A$2:$B$16,2,0))*E1047)</f>
        <v/>
      </c>
      <c r="H1047" s="7" t="str">
        <f t="shared" si="64"/>
        <v/>
      </c>
      <c r="I1047" s="7" t="str">
        <f>IF(AND(ISBLANK(D1047),ISBLANK(C1047)),"",((VLOOKUP(D1047,Cardápio!$A$2:$C$16,3,0))*E1047)+IF(B1047="iFood",F1047*0.27,(VLOOKUP(VENDAS!C1047,Bairros!$A$2:$B$90,2,0))))</f>
        <v/>
      </c>
      <c r="J1047" s="7" t="str">
        <f t="shared" si="65"/>
        <v/>
      </c>
      <c r="K1047" s="9">
        <f t="shared" ca="1" si="66"/>
        <v>45404.878290162036</v>
      </c>
      <c r="L1047" s="10">
        <f t="shared" ca="1" si="67"/>
        <v>45404.878290046297</v>
      </c>
    </row>
    <row r="1048" spans="6:12" x14ac:dyDescent="0.25">
      <c r="F1048" s="11" t="str">
        <f>IF(ISBLANK(D1048),"",(VLOOKUP(D1048,Cardápio!$A$2:$B$16,2,0))*E1048)</f>
        <v/>
      </c>
      <c r="H1048" s="7" t="str">
        <f t="shared" si="64"/>
        <v/>
      </c>
      <c r="I1048" s="7" t="str">
        <f>IF(AND(ISBLANK(D1048),ISBLANK(C1048)),"",((VLOOKUP(D1048,Cardápio!$A$2:$C$16,3,0))*E1048)+IF(B1048="iFood",F1048*0.27,(VLOOKUP(VENDAS!C1048,Bairros!$A$2:$B$90,2,0))))</f>
        <v/>
      </c>
      <c r="J1048" s="7" t="str">
        <f t="shared" si="65"/>
        <v/>
      </c>
      <c r="K1048" s="9">
        <f t="shared" ca="1" si="66"/>
        <v>45404.878290162036</v>
      </c>
      <c r="L1048" s="10">
        <f t="shared" ca="1" si="67"/>
        <v>45404.878290046297</v>
      </c>
    </row>
    <row r="1049" spans="6:12" x14ac:dyDescent="0.25">
      <c r="F1049" s="11" t="str">
        <f>IF(ISBLANK(D1049),"",(VLOOKUP(D1049,Cardápio!$A$2:$B$16,2,0))*E1049)</f>
        <v/>
      </c>
      <c r="H1049" s="7" t="str">
        <f t="shared" si="64"/>
        <v/>
      </c>
      <c r="I1049" s="7" t="str">
        <f>IF(AND(ISBLANK(D1049),ISBLANK(C1049)),"",((VLOOKUP(D1049,Cardápio!$A$2:$C$16,3,0))*E1049)+IF(B1049="iFood",F1049*0.27,(VLOOKUP(VENDAS!C1049,Bairros!$A$2:$B$90,2,0))))</f>
        <v/>
      </c>
      <c r="J1049" s="7" t="str">
        <f t="shared" si="65"/>
        <v/>
      </c>
      <c r="K1049" s="9">
        <f t="shared" ca="1" si="66"/>
        <v>45404.878290162036</v>
      </c>
      <c r="L1049" s="10">
        <f t="shared" ca="1" si="67"/>
        <v>45404.878290046297</v>
      </c>
    </row>
    <row r="1050" spans="6:12" x14ac:dyDescent="0.25">
      <c r="F1050" s="11" t="str">
        <f>IF(ISBLANK(D1050),"",(VLOOKUP(D1050,Cardápio!$A$2:$B$16,2,0))*E1050)</f>
        <v/>
      </c>
      <c r="H1050" s="7" t="str">
        <f t="shared" si="64"/>
        <v/>
      </c>
      <c r="I1050" s="7" t="str">
        <f>IF(AND(ISBLANK(D1050),ISBLANK(C1050)),"",((VLOOKUP(D1050,Cardápio!$A$2:$C$16,3,0))*E1050)+IF(B1050="iFood",F1050*0.27,(VLOOKUP(VENDAS!C1050,Bairros!$A$2:$B$90,2,0))))</f>
        <v/>
      </c>
      <c r="J1050" s="7" t="str">
        <f t="shared" si="65"/>
        <v/>
      </c>
      <c r="K1050" s="9">
        <f t="shared" ca="1" si="66"/>
        <v>45404.878290162036</v>
      </c>
      <c r="L1050" s="10">
        <f t="shared" ca="1" si="67"/>
        <v>45404.878290046297</v>
      </c>
    </row>
    <row r="1051" spans="6:12" x14ac:dyDescent="0.25">
      <c r="F1051" s="11" t="str">
        <f>IF(ISBLANK(D1051),"",(VLOOKUP(D1051,Cardápio!$A$2:$B$16,2,0))*E1051)</f>
        <v/>
      </c>
      <c r="H1051" s="7" t="str">
        <f t="shared" si="64"/>
        <v/>
      </c>
      <c r="I1051" s="7" t="str">
        <f>IF(AND(ISBLANK(D1051),ISBLANK(C1051)),"",((VLOOKUP(D1051,Cardápio!$A$2:$C$16,3,0))*E1051)+IF(B1051="iFood",F1051*0.27,(VLOOKUP(VENDAS!C1051,Bairros!$A$2:$B$90,2,0))))</f>
        <v/>
      </c>
      <c r="J1051" s="7" t="str">
        <f t="shared" si="65"/>
        <v/>
      </c>
      <c r="K1051" s="9">
        <f t="shared" ca="1" si="66"/>
        <v>45404.878290162036</v>
      </c>
      <c r="L1051" s="10">
        <f t="shared" ca="1" si="67"/>
        <v>45404.878290046297</v>
      </c>
    </row>
    <row r="1052" spans="6:12" x14ac:dyDescent="0.25">
      <c r="F1052" s="11" t="str">
        <f>IF(ISBLANK(D1052),"",(VLOOKUP(D1052,Cardápio!$A$2:$B$16,2,0))*E1052)</f>
        <v/>
      </c>
      <c r="H1052" s="7" t="str">
        <f t="shared" si="64"/>
        <v/>
      </c>
      <c r="I1052" s="7" t="str">
        <f>IF(AND(ISBLANK(D1052),ISBLANK(C1052)),"",((VLOOKUP(D1052,Cardápio!$A$2:$C$16,3,0))*E1052)+IF(B1052="iFood",F1052*0.27,(VLOOKUP(VENDAS!C1052,Bairros!$A$2:$B$90,2,0))))</f>
        <v/>
      </c>
      <c r="J1052" s="7" t="str">
        <f t="shared" si="65"/>
        <v/>
      </c>
      <c r="K1052" s="9">
        <f t="shared" ca="1" si="66"/>
        <v>45404.878290162036</v>
      </c>
      <c r="L1052" s="10">
        <f t="shared" ca="1" si="67"/>
        <v>45404.878290046297</v>
      </c>
    </row>
    <row r="1053" spans="6:12" x14ac:dyDescent="0.25">
      <c r="F1053" s="11" t="str">
        <f>IF(ISBLANK(D1053),"",(VLOOKUP(D1053,Cardápio!$A$2:$B$16,2,0))*E1053)</f>
        <v/>
      </c>
      <c r="H1053" s="7" t="str">
        <f t="shared" si="64"/>
        <v/>
      </c>
      <c r="I1053" s="7" t="str">
        <f>IF(AND(ISBLANK(D1053),ISBLANK(C1053)),"",((VLOOKUP(D1053,Cardápio!$A$2:$C$16,3,0))*E1053)+IF(B1053="iFood",F1053*0.27,(VLOOKUP(VENDAS!C1053,Bairros!$A$2:$B$90,2,0))))</f>
        <v/>
      </c>
      <c r="J1053" s="7" t="str">
        <f t="shared" si="65"/>
        <v/>
      </c>
      <c r="K1053" s="9">
        <f t="shared" ca="1" si="66"/>
        <v>45404.878290162036</v>
      </c>
      <c r="L1053" s="10">
        <f t="shared" ca="1" si="67"/>
        <v>45404.878290046297</v>
      </c>
    </row>
    <row r="1054" spans="6:12" x14ac:dyDescent="0.25">
      <c r="F1054" s="11" t="str">
        <f>IF(ISBLANK(D1054),"",(VLOOKUP(D1054,Cardápio!$A$2:$B$16,2,0))*E1054)</f>
        <v/>
      </c>
      <c r="H1054" s="7" t="str">
        <f t="shared" si="64"/>
        <v/>
      </c>
      <c r="I1054" s="7" t="str">
        <f>IF(AND(ISBLANK(D1054),ISBLANK(C1054)),"",((VLOOKUP(D1054,Cardápio!$A$2:$C$16,3,0))*E1054)+IF(B1054="iFood",F1054*0.27,(VLOOKUP(VENDAS!C1054,Bairros!$A$2:$B$90,2,0))))</f>
        <v/>
      </c>
      <c r="J1054" s="7" t="str">
        <f t="shared" si="65"/>
        <v/>
      </c>
      <c r="K1054" s="9">
        <f t="shared" ca="1" si="66"/>
        <v>45404.878290162036</v>
      </c>
      <c r="L1054" s="10">
        <f t="shared" ca="1" si="67"/>
        <v>45404.878290046297</v>
      </c>
    </row>
    <row r="1055" spans="6:12" x14ac:dyDescent="0.25">
      <c r="F1055" s="11" t="str">
        <f>IF(ISBLANK(D1055),"",(VLOOKUP(D1055,Cardápio!$A$2:$B$16,2,0))*E1055)</f>
        <v/>
      </c>
      <c r="H1055" s="7" t="str">
        <f t="shared" si="64"/>
        <v/>
      </c>
      <c r="I1055" s="7" t="str">
        <f>IF(AND(ISBLANK(D1055),ISBLANK(C1055)),"",((VLOOKUP(D1055,Cardápio!$A$2:$C$16,3,0))*E1055)+IF(B1055="iFood",F1055*0.27,(VLOOKUP(VENDAS!C1055,Bairros!$A$2:$B$90,2,0))))</f>
        <v/>
      </c>
      <c r="J1055" s="7" t="str">
        <f t="shared" si="65"/>
        <v/>
      </c>
      <c r="K1055" s="9">
        <f t="shared" ca="1" si="66"/>
        <v>45404.878290162036</v>
      </c>
      <c r="L1055" s="10">
        <f t="shared" ca="1" si="67"/>
        <v>45404.878290046297</v>
      </c>
    </row>
    <row r="1056" spans="6:12" x14ac:dyDescent="0.25">
      <c r="F1056" s="11" t="str">
        <f>IF(ISBLANK(D1056),"",(VLOOKUP(D1056,Cardápio!$A$2:$B$16,2,0))*E1056)</f>
        <v/>
      </c>
      <c r="H1056" s="7" t="str">
        <f t="shared" si="64"/>
        <v/>
      </c>
      <c r="I1056" s="7" t="str">
        <f>IF(AND(ISBLANK(D1056),ISBLANK(C1056)),"",((VLOOKUP(D1056,Cardápio!$A$2:$C$16,3,0))*E1056)+IF(B1056="iFood",F1056*0.27,(VLOOKUP(VENDAS!C1056,Bairros!$A$2:$B$90,2,0))))</f>
        <v/>
      </c>
      <c r="J1056" s="7" t="str">
        <f t="shared" si="65"/>
        <v/>
      </c>
      <c r="K1056" s="9">
        <f t="shared" ca="1" si="66"/>
        <v>45404.878290162036</v>
      </c>
      <c r="L1056" s="10">
        <f t="shared" ca="1" si="67"/>
        <v>45404.878290046297</v>
      </c>
    </row>
    <row r="1057" spans="6:12" x14ac:dyDescent="0.25">
      <c r="F1057" s="11" t="str">
        <f>IF(ISBLANK(D1057),"",(VLOOKUP(D1057,Cardápio!$A$2:$B$16,2,0))*E1057)</f>
        <v/>
      </c>
      <c r="H1057" s="7" t="str">
        <f t="shared" si="64"/>
        <v/>
      </c>
      <c r="I1057" s="7" t="str">
        <f>IF(AND(ISBLANK(D1057),ISBLANK(C1057)),"",((VLOOKUP(D1057,Cardápio!$A$2:$C$16,3,0))*E1057)+IF(B1057="iFood",F1057*0.27,(VLOOKUP(VENDAS!C1057,Bairros!$A$2:$B$90,2,0))))</f>
        <v/>
      </c>
      <c r="J1057" s="7" t="str">
        <f t="shared" si="65"/>
        <v/>
      </c>
      <c r="K1057" s="9">
        <f t="shared" ca="1" si="66"/>
        <v>45404.878290162036</v>
      </c>
      <c r="L1057" s="10">
        <f t="shared" ca="1" si="67"/>
        <v>45404.878290046297</v>
      </c>
    </row>
    <row r="1058" spans="6:12" x14ac:dyDescent="0.25">
      <c r="F1058" s="11" t="str">
        <f>IF(ISBLANK(D1058),"",(VLOOKUP(D1058,Cardápio!$A$2:$B$16,2,0))*E1058)</f>
        <v/>
      </c>
      <c r="H1058" s="7" t="str">
        <f t="shared" si="64"/>
        <v/>
      </c>
      <c r="I1058" s="7" t="str">
        <f>IF(AND(ISBLANK(D1058),ISBLANK(C1058)),"",((VLOOKUP(D1058,Cardápio!$A$2:$C$16,3,0))*E1058)+IF(B1058="iFood",F1058*0.27,(VLOOKUP(VENDAS!C1058,Bairros!$A$2:$B$90,2,0))))</f>
        <v/>
      </c>
      <c r="J1058" s="7" t="str">
        <f t="shared" si="65"/>
        <v/>
      </c>
      <c r="K1058" s="9">
        <f t="shared" ca="1" si="66"/>
        <v>45404.878290162036</v>
      </c>
      <c r="L1058" s="10">
        <f t="shared" ca="1" si="67"/>
        <v>45404.878290046297</v>
      </c>
    </row>
    <row r="1059" spans="6:12" x14ac:dyDescent="0.25">
      <c r="F1059" s="11" t="str">
        <f>IF(ISBLANK(D1059),"",(VLOOKUP(D1059,Cardápio!$A$2:$B$16,2,0))*E1059)</f>
        <v/>
      </c>
      <c r="H1059" s="7" t="str">
        <f t="shared" si="64"/>
        <v/>
      </c>
      <c r="I1059" s="7" t="str">
        <f>IF(AND(ISBLANK(D1059),ISBLANK(C1059)),"",((VLOOKUP(D1059,Cardápio!$A$2:$C$16,3,0))*E1059)+IF(B1059="iFood",F1059*0.27,(VLOOKUP(VENDAS!C1059,Bairros!$A$2:$B$90,2,0))))</f>
        <v/>
      </c>
      <c r="J1059" s="7" t="str">
        <f t="shared" si="65"/>
        <v/>
      </c>
      <c r="K1059" s="9">
        <f t="shared" ca="1" si="66"/>
        <v>45404.878290162036</v>
      </c>
      <c r="L1059" s="10">
        <f t="shared" ca="1" si="67"/>
        <v>45404.878290046297</v>
      </c>
    </row>
    <row r="1060" spans="6:12" x14ac:dyDescent="0.25">
      <c r="F1060" s="11" t="str">
        <f>IF(ISBLANK(D1060),"",(VLOOKUP(D1060,Cardápio!$A$2:$B$16,2,0))*E1060)</f>
        <v/>
      </c>
      <c r="H1060" s="7" t="str">
        <f t="shared" si="64"/>
        <v/>
      </c>
      <c r="I1060" s="7" t="str">
        <f>IF(AND(ISBLANK(D1060),ISBLANK(C1060)),"",((VLOOKUP(D1060,Cardápio!$A$2:$C$16,3,0))*E1060)+IF(B1060="iFood",F1060*0.27,(VLOOKUP(VENDAS!C1060,Bairros!$A$2:$B$90,2,0))))</f>
        <v/>
      </c>
      <c r="J1060" s="7" t="str">
        <f t="shared" si="65"/>
        <v/>
      </c>
      <c r="K1060" s="9">
        <f t="shared" ca="1" si="66"/>
        <v>45404.878290162036</v>
      </c>
      <c r="L1060" s="10">
        <f t="shared" ca="1" si="67"/>
        <v>45404.878290046297</v>
      </c>
    </row>
    <row r="1061" spans="6:12" x14ac:dyDescent="0.25">
      <c r="F1061" s="11" t="str">
        <f>IF(ISBLANK(D1061),"",(VLOOKUP(D1061,Cardápio!$A$2:$B$16,2,0))*E1061)</f>
        <v/>
      </c>
      <c r="H1061" s="7" t="str">
        <f t="shared" si="64"/>
        <v/>
      </c>
      <c r="I1061" s="7" t="str">
        <f>IF(AND(ISBLANK(D1061),ISBLANK(C1061)),"",((VLOOKUP(D1061,Cardápio!$A$2:$C$16,3,0))*E1061)+IF(B1061="iFood",F1061*0.27,(VLOOKUP(VENDAS!C1061,Bairros!$A$2:$B$90,2,0))))</f>
        <v/>
      </c>
      <c r="J1061" s="7" t="str">
        <f t="shared" si="65"/>
        <v/>
      </c>
      <c r="K1061" s="9">
        <f t="shared" ca="1" si="66"/>
        <v>45404.878290162036</v>
      </c>
      <c r="L1061" s="10">
        <f t="shared" ca="1" si="67"/>
        <v>45404.878290046297</v>
      </c>
    </row>
    <row r="1062" spans="6:12" x14ac:dyDescent="0.25">
      <c r="F1062" s="11" t="str">
        <f>IF(ISBLANK(D1062),"",(VLOOKUP(D1062,Cardápio!$A$2:$B$16,2,0))*E1062)</f>
        <v/>
      </c>
      <c r="H1062" s="7" t="str">
        <f t="shared" si="64"/>
        <v/>
      </c>
      <c r="I1062" s="7" t="str">
        <f>IF(AND(ISBLANK(D1062),ISBLANK(C1062)),"",((VLOOKUP(D1062,Cardápio!$A$2:$C$16,3,0))*E1062)+IF(B1062="iFood",F1062*0.27,(VLOOKUP(VENDAS!C1062,Bairros!$A$2:$B$90,2,0))))</f>
        <v/>
      </c>
      <c r="J1062" s="7" t="str">
        <f t="shared" si="65"/>
        <v/>
      </c>
      <c r="K1062" s="9">
        <f t="shared" ca="1" si="66"/>
        <v>45404.878290162036</v>
      </c>
      <c r="L1062" s="10">
        <f t="shared" ca="1" si="67"/>
        <v>45404.878290046297</v>
      </c>
    </row>
    <row r="1063" spans="6:12" x14ac:dyDescent="0.25">
      <c r="F1063" s="11" t="str">
        <f>IF(ISBLANK(D1063),"",(VLOOKUP(D1063,Cardápio!$A$2:$B$16,2,0))*E1063)</f>
        <v/>
      </c>
      <c r="H1063" s="7" t="str">
        <f t="shared" si="64"/>
        <v/>
      </c>
      <c r="I1063" s="7" t="str">
        <f>IF(AND(ISBLANK(D1063),ISBLANK(C1063)),"",((VLOOKUP(D1063,Cardápio!$A$2:$C$16,3,0))*E1063)+IF(B1063="iFood",F1063*0.27,(VLOOKUP(VENDAS!C1063,Bairros!$A$2:$B$90,2,0))))</f>
        <v/>
      </c>
      <c r="J1063" s="7" t="str">
        <f t="shared" si="65"/>
        <v/>
      </c>
      <c r="K1063" s="9">
        <f t="shared" ca="1" si="66"/>
        <v>45404.878290162036</v>
      </c>
      <c r="L1063" s="10">
        <f t="shared" ca="1" si="67"/>
        <v>45404.878290046297</v>
      </c>
    </row>
    <row r="1064" spans="6:12" x14ac:dyDescent="0.25">
      <c r="F1064" s="11" t="str">
        <f>IF(ISBLANK(D1064),"",(VLOOKUP(D1064,Cardápio!$A$2:$B$16,2,0))*E1064)</f>
        <v/>
      </c>
      <c r="H1064" s="7" t="str">
        <f t="shared" si="64"/>
        <v/>
      </c>
      <c r="I1064" s="7" t="str">
        <f>IF(AND(ISBLANK(D1064),ISBLANK(C1064)),"",((VLOOKUP(D1064,Cardápio!$A$2:$C$16,3,0))*E1064)+IF(B1064="iFood",F1064*0.27,(VLOOKUP(VENDAS!C1064,Bairros!$A$2:$B$90,2,0))))</f>
        <v/>
      </c>
      <c r="J1064" s="7" t="str">
        <f t="shared" si="65"/>
        <v/>
      </c>
      <c r="K1064" s="9">
        <f t="shared" ca="1" si="66"/>
        <v>45404.878290162036</v>
      </c>
      <c r="L1064" s="10">
        <f t="shared" ca="1" si="67"/>
        <v>45404.878290046297</v>
      </c>
    </row>
    <row r="1065" spans="6:12" x14ac:dyDescent="0.25">
      <c r="F1065" s="11" t="str">
        <f>IF(ISBLANK(D1065),"",(VLOOKUP(D1065,Cardápio!$A$2:$B$16,2,0))*E1065)</f>
        <v/>
      </c>
      <c r="H1065" s="7" t="str">
        <f t="shared" si="64"/>
        <v/>
      </c>
      <c r="I1065" s="7" t="str">
        <f>IF(AND(ISBLANK(D1065),ISBLANK(C1065)),"",((VLOOKUP(D1065,Cardápio!$A$2:$C$16,3,0))*E1065)+IF(B1065="iFood",F1065*0.27,(VLOOKUP(VENDAS!C1065,Bairros!$A$2:$B$90,2,0))))</f>
        <v/>
      </c>
      <c r="J1065" s="7" t="str">
        <f t="shared" si="65"/>
        <v/>
      </c>
      <c r="K1065" s="9">
        <f t="shared" ca="1" si="66"/>
        <v>45404.878290162036</v>
      </c>
      <c r="L1065" s="10">
        <f t="shared" ca="1" si="67"/>
        <v>45404.878290046297</v>
      </c>
    </row>
    <row r="1066" spans="6:12" x14ac:dyDescent="0.25">
      <c r="F1066" s="11" t="str">
        <f>IF(ISBLANK(D1066),"",(VLOOKUP(D1066,Cardápio!$A$2:$B$16,2,0))*E1066)</f>
        <v/>
      </c>
      <c r="H1066" s="7" t="str">
        <f t="shared" si="64"/>
        <v/>
      </c>
      <c r="I1066" s="7" t="str">
        <f>IF(AND(ISBLANK(D1066),ISBLANK(C1066)),"",((VLOOKUP(D1066,Cardápio!$A$2:$C$16,3,0))*E1066)+IF(B1066="iFood",F1066*0.27,(VLOOKUP(VENDAS!C1066,Bairros!$A$2:$B$90,2,0))))</f>
        <v/>
      </c>
      <c r="J1066" s="7" t="str">
        <f t="shared" si="65"/>
        <v/>
      </c>
      <c r="K1066" s="9">
        <f t="shared" ca="1" si="66"/>
        <v>45404.878290162036</v>
      </c>
      <c r="L1066" s="10">
        <f t="shared" ca="1" si="67"/>
        <v>45404.878290046297</v>
      </c>
    </row>
    <row r="1067" spans="6:12" x14ac:dyDescent="0.25">
      <c r="F1067" s="11" t="str">
        <f>IF(ISBLANK(D1067),"",(VLOOKUP(D1067,Cardápio!$A$2:$B$16,2,0))*E1067)</f>
        <v/>
      </c>
      <c r="H1067" s="7" t="str">
        <f t="shared" si="64"/>
        <v/>
      </c>
      <c r="I1067" s="7" t="str">
        <f>IF(AND(ISBLANK(D1067),ISBLANK(C1067)),"",((VLOOKUP(D1067,Cardápio!$A$2:$C$16,3,0))*E1067)+IF(B1067="iFood",F1067*0.27,(VLOOKUP(VENDAS!C1067,Bairros!$A$2:$B$90,2,0))))</f>
        <v/>
      </c>
      <c r="J1067" s="7" t="str">
        <f t="shared" si="65"/>
        <v/>
      </c>
      <c r="K1067" s="9">
        <f t="shared" ca="1" si="66"/>
        <v>45404.878290162036</v>
      </c>
      <c r="L1067" s="10">
        <f t="shared" ca="1" si="67"/>
        <v>45404.878290046297</v>
      </c>
    </row>
    <row r="1068" spans="6:12" x14ac:dyDescent="0.25">
      <c r="F1068" s="11" t="str">
        <f>IF(ISBLANK(D1068),"",(VLOOKUP(D1068,Cardápio!$A$2:$B$16,2,0))*E1068)</f>
        <v/>
      </c>
      <c r="H1068" s="7" t="str">
        <f t="shared" si="64"/>
        <v/>
      </c>
      <c r="I1068" s="7" t="str">
        <f>IF(AND(ISBLANK(D1068),ISBLANK(C1068)),"",((VLOOKUP(D1068,Cardápio!$A$2:$C$16,3,0))*E1068)+IF(B1068="iFood",F1068*0.27,(VLOOKUP(VENDAS!C1068,Bairros!$A$2:$B$90,2,0))))</f>
        <v/>
      </c>
      <c r="J1068" s="7" t="str">
        <f t="shared" si="65"/>
        <v/>
      </c>
      <c r="K1068" s="9">
        <f t="shared" ca="1" si="66"/>
        <v>45404.878290162036</v>
      </c>
      <c r="L1068" s="10">
        <f t="shared" ca="1" si="67"/>
        <v>45404.878290046297</v>
      </c>
    </row>
    <row r="1069" spans="6:12" x14ac:dyDescent="0.25">
      <c r="F1069" s="11" t="str">
        <f>IF(ISBLANK(D1069),"",(VLOOKUP(D1069,Cardápio!$A$2:$B$16,2,0))*E1069)</f>
        <v/>
      </c>
      <c r="H1069" s="7" t="str">
        <f t="shared" si="64"/>
        <v/>
      </c>
      <c r="I1069" s="7" t="str">
        <f>IF(AND(ISBLANK(D1069),ISBLANK(C1069)),"",((VLOOKUP(D1069,Cardápio!$A$2:$C$16,3,0))*E1069)+IF(B1069="iFood",F1069*0.27,(VLOOKUP(VENDAS!C1069,Bairros!$A$2:$B$90,2,0))))</f>
        <v/>
      </c>
      <c r="J1069" s="7" t="str">
        <f t="shared" si="65"/>
        <v/>
      </c>
      <c r="K1069" s="9">
        <f t="shared" ca="1" si="66"/>
        <v>45404.878290162036</v>
      </c>
      <c r="L1069" s="10">
        <f t="shared" ca="1" si="67"/>
        <v>45404.878290046297</v>
      </c>
    </row>
    <row r="1070" spans="6:12" x14ac:dyDescent="0.25">
      <c r="F1070" s="11" t="str">
        <f>IF(ISBLANK(D1070),"",(VLOOKUP(D1070,Cardápio!$A$2:$B$16,2,0))*E1070)</f>
        <v/>
      </c>
      <c r="H1070" s="7" t="str">
        <f t="shared" si="64"/>
        <v/>
      </c>
      <c r="I1070" s="7" t="str">
        <f>IF(AND(ISBLANK(D1070),ISBLANK(C1070)),"",((VLOOKUP(D1070,Cardápio!$A$2:$C$16,3,0))*E1070)+IF(B1070="iFood",F1070*0.27,(VLOOKUP(VENDAS!C1070,Bairros!$A$2:$B$90,2,0))))</f>
        <v/>
      </c>
      <c r="J1070" s="7" t="str">
        <f t="shared" si="65"/>
        <v/>
      </c>
      <c r="K1070" s="9">
        <f t="shared" ca="1" si="66"/>
        <v>45404.878290162036</v>
      </c>
      <c r="L1070" s="10">
        <f t="shared" ca="1" si="67"/>
        <v>45404.878290046297</v>
      </c>
    </row>
    <row r="1071" spans="6:12" x14ac:dyDescent="0.25">
      <c r="F1071" s="11" t="str">
        <f>IF(ISBLANK(D1071),"",(VLOOKUP(D1071,Cardápio!$A$2:$B$16,2,0))*E1071)</f>
        <v/>
      </c>
      <c r="H1071" s="7" t="str">
        <f t="shared" si="64"/>
        <v/>
      </c>
      <c r="I1071" s="7" t="str">
        <f>IF(AND(ISBLANK(D1071),ISBLANK(C1071)),"",((VLOOKUP(D1071,Cardápio!$A$2:$C$16,3,0))*E1071)+IF(B1071="iFood",F1071*0.27,(VLOOKUP(VENDAS!C1071,Bairros!$A$2:$B$90,2,0))))</f>
        <v/>
      </c>
      <c r="J1071" s="7" t="str">
        <f t="shared" si="65"/>
        <v/>
      </c>
      <c r="K1071" s="9">
        <f t="shared" ca="1" si="66"/>
        <v>45404.878290162036</v>
      </c>
      <c r="L1071" s="10">
        <f t="shared" ca="1" si="67"/>
        <v>45404.878290046297</v>
      </c>
    </row>
    <row r="1072" spans="6:12" x14ac:dyDescent="0.25">
      <c r="F1072" s="11" t="str">
        <f>IF(ISBLANK(D1072),"",(VLOOKUP(D1072,Cardápio!$A$2:$B$16,2,0))*E1072)</f>
        <v/>
      </c>
      <c r="H1072" s="7" t="str">
        <f t="shared" si="64"/>
        <v/>
      </c>
      <c r="I1072" s="7" t="str">
        <f>IF(AND(ISBLANK(D1072),ISBLANK(C1072)),"",((VLOOKUP(D1072,Cardápio!$A$2:$C$16,3,0))*E1072)+IF(B1072="iFood",F1072*0.27,(VLOOKUP(VENDAS!C1072,Bairros!$A$2:$B$90,2,0))))</f>
        <v/>
      </c>
      <c r="J1072" s="7" t="str">
        <f t="shared" si="65"/>
        <v/>
      </c>
      <c r="K1072" s="9">
        <f t="shared" ca="1" si="66"/>
        <v>45404.878290162036</v>
      </c>
      <c r="L1072" s="10">
        <f t="shared" ca="1" si="67"/>
        <v>45404.878290046297</v>
      </c>
    </row>
    <row r="1073" spans="6:12" x14ac:dyDescent="0.25">
      <c r="F1073" s="11" t="str">
        <f>IF(ISBLANK(D1073),"",(VLOOKUP(D1073,Cardápio!$A$2:$B$16,2,0))*E1073)</f>
        <v/>
      </c>
      <c r="H1073" s="7" t="str">
        <f t="shared" si="64"/>
        <v/>
      </c>
      <c r="I1073" s="7" t="str">
        <f>IF(AND(ISBLANK(D1073),ISBLANK(C1073)),"",((VLOOKUP(D1073,Cardápio!$A$2:$C$16,3,0))*E1073)+IF(B1073="iFood",F1073*0.27,(VLOOKUP(VENDAS!C1073,Bairros!$A$2:$B$90,2,0))))</f>
        <v/>
      </c>
      <c r="J1073" s="7" t="str">
        <f t="shared" si="65"/>
        <v/>
      </c>
      <c r="K1073" s="9">
        <f t="shared" ca="1" si="66"/>
        <v>45404.878290162036</v>
      </c>
      <c r="L1073" s="10">
        <f t="shared" ca="1" si="67"/>
        <v>45404.878290046297</v>
      </c>
    </row>
    <row r="1074" spans="6:12" x14ac:dyDescent="0.25">
      <c r="F1074" s="11" t="str">
        <f>IF(ISBLANK(D1074),"",(VLOOKUP(D1074,Cardápio!$A$2:$B$16,2,0))*E1074)</f>
        <v/>
      </c>
      <c r="H1074" s="7" t="str">
        <f t="shared" si="64"/>
        <v/>
      </c>
      <c r="I1074" s="7" t="str">
        <f>IF(AND(ISBLANK(D1074),ISBLANK(C1074)),"",((VLOOKUP(D1074,Cardápio!$A$2:$C$16,3,0))*E1074)+IF(B1074="iFood",F1074*0.27,(VLOOKUP(VENDAS!C1074,Bairros!$A$2:$B$90,2,0))))</f>
        <v/>
      </c>
      <c r="J1074" s="7" t="str">
        <f t="shared" si="65"/>
        <v/>
      </c>
      <c r="K1074" s="9">
        <f t="shared" ca="1" si="66"/>
        <v>45404.878290162036</v>
      </c>
      <c r="L1074" s="10">
        <f t="shared" ca="1" si="67"/>
        <v>45404.878290046297</v>
      </c>
    </row>
    <row r="1075" spans="6:12" x14ac:dyDescent="0.25">
      <c r="F1075" s="11" t="str">
        <f>IF(ISBLANK(D1075),"",(VLOOKUP(D1075,Cardápio!$A$2:$B$16,2,0))*E1075)</f>
        <v/>
      </c>
      <c r="H1075" s="7" t="str">
        <f t="shared" si="64"/>
        <v/>
      </c>
      <c r="I1075" s="7" t="str">
        <f>IF(AND(ISBLANK(D1075),ISBLANK(C1075)),"",((VLOOKUP(D1075,Cardápio!$A$2:$C$16,3,0))*E1075)+IF(B1075="iFood",F1075*0.27,(VLOOKUP(VENDAS!C1075,Bairros!$A$2:$B$90,2,0))))</f>
        <v/>
      </c>
      <c r="J1075" s="7" t="str">
        <f t="shared" si="65"/>
        <v/>
      </c>
      <c r="K1075" s="9">
        <f t="shared" ca="1" si="66"/>
        <v>45404.878290162036</v>
      </c>
      <c r="L1075" s="10">
        <f t="shared" ca="1" si="67"/>
        <v>45404.878290046297</v>
      </c>
    </row>
    <row r="1076" spans="6:12" x14ac:dyDescent="0.25">
      <c r="F1076" s="11" t="str">
        <f>IF(ISBLANK(D1076),"",(VLOOKUP(D1076,Cardápio!$A$2:$B$16,2,0))*E1076)</f>
        <v/>
      </c>
      <c r="H1076" s="7" t="str">
        <f t="shared" si="64"/>
        <v/>
      </c>
      <c r="I1076" s="7" t="str">
        <f>IF(AND(ISBLANK(D1076),ISBLANK(C1076)),"",((VLOOKUP(D1076,Cardápio!$A$2:$C$16,3,0))*E1076)+IF(B1076="iFood",F1076*0.27,(VLOOKUP(VENDAS!C1076,Bairros!$A$2:$B$90,2,0))))</f>
        <v/>
      </c>
      <c r="J1076" s="7" t="str">
        <f t="shared" si="65"/>
        <v/>
      </c>
      <c r="K1076" s="9">
        <f t="shared" ca="1" si="66"/>
        <v>45404.878290162036</v>
      </c>
      <c r="L1076" s="10">
        <f t="shared" ca="1" si="67"/>
        <v>45404.878290046297</v>
      </c>
    </row>
    <row r="1077" spans="6:12" x14ac:dyDescent="0.25">
      <c r="F1077" s="11" t="str">
        <f>IF(ISBLANK(D1077),"",(VLOOKUP(D1077,Cardápio!$A$2:$B$16,2,0))*E1077)</f>
        <v/>
      </c>
      <c r="H1077" s="7" t="str">
        <f t="shared" ref="H1077:H1140" si="68">IF(ISBLANK(D1077),"",F1077-G1077)</f>
        <v/>
      </c>
      <c r="I1077" s="7" t="str">
        <f>IF(AND(ISBLANK(D1077),ISBLANK(C1077)),"",((VLOOKUP(D1077,Cardápio!$A$2:$C$16,3,0))*E1077)+IF(B1077="iFood",F1077*0.27,(VLOOKUP(VENDAS!C1077,Bairros!$A$2:$B$90,2,0))))</f>
        <v/>
      </c>
      <c r="J1077" s="7" t="str">
        <f t="shared" ref="J1077:J1140" si="69">IF(OR(AND(ISBLANK(H1077),ISBLANK(I1077)),(AND(H1077="",I1077=""))),"",H1077-I1077)</f>
        <v/>
      </c>
      <c r="K1077" s="9">
        <f t="shared" ref="K1077:K1140" ca="1" si="70">IF(D1077&lt;&gt;"",K1077,NOW())</f>
        <v>45404.878290162036</v>
      </c>
      <c r="L1077" s="10">
        <f t="shared" ref="L1077:L1140" ca="1" si="71">IF(D1077&lt;&gt;"",L1077,NOW())</f>
        <v>45404.878290046297</v>
      </c>
    </row>
    <row r="1078" spans="6:12" x14ac:dyDescent="0.25">
      <c r="F1078" s="11" t="str">
        <f>IF(ISBLANK(D1078),"",(VLOOKUP(D1078,Cardápio!$A$2:$B$16,2,0))*E1078)</f>
        <v/>
      </c>
      <c r="H1078" s="7" t="str">
        <f t="shared" si="68"/>
        <v/>
      </c>
      <c r="I1078" s="7" t="str">
        <f>IF(AND(ISBLANK(D1078),ISBLANK(C1078)),"",((VLOOKUP(D1078,Cardápio!$A$2:$C$16,3,0))*E1078)+IF(B1078="iFood",F1078*0.27,(VLOOKUP(VENDAS!C1078,Bairros!$A$2:$B$90,2,0))))</f>
        <v/>
      </c>
      <c r="J1078" s="7" t="str">
        <f t="shared" si="69"/>
        <v/>
      </c>
      <c r="K1078" s="9">
        <f t="shared" ca="1" si="70"/>
        <v>45404.878290162036</v>
      </c>
      <c r="L1078" s="10">
        <f t="shared" ca="1" si="71"/>
        <v>45404.878290046297</v>
      </c>
    </row>
    <row r="1079" spans="6:12" x14ac:dyDescent="0.25">
      <c r="F1079" s="11" t="str">
        <f>IF(ISBLANK(D1079),"",(VLOOKUP(D1079,Cardápio!$A$2:$B$16,2,0))*E1079)</f>
        <v/>
      </c>
      <c r="H1079" s="7" t="str">
        <f t="shared" si="68"/>
        <v/>
      </c>
      <c r="I1079" s="7" t="str">
        <f>IF(AND(ISBLANK(D1079),ISBLANK(C1079)),"",((VLOOKUP(D1079,Cardápio!$A$2:$C$16,3,0))*E1079)+IF(B1079="iFood",F1079*0.27,(VLOOKUP(VENDAS!C1079,Bairros!$A$2:$B$90,2,0))))</f>
        <v/>
      </c>
      <c r="J1079" s="7" t="str">
        <f t="shared" si="69"/>
        <v/>
      </c>
      <c r="K1079" s="9">
        <f t="shared" ca="1" si="70"/>
        <v>45404.878290162036</v>
      </c>
      <c r="L1079" s="10">
        <f t="shared" ca="1" si="71"/>
        <v>45404.878290046297</v>
      </c>
    </row>
    <row r="1080" spans="6:12" x14ac:dyDescent="0.25">
      <c r="F1080" s="11" t="str">
        <f>IF(ISBLANK(D1080),"",(VLOOKUP(D1080,Cardápio!$A$2:$B$16,2,0))*E1080)</f>
        <v/>
      </c>
      <c r="H1080" s="7" t="str">
        <f t="shared" si="68"/>
        <v/>
      </c>
      <c r="I1080" s="7" t="str">
        <f>IF(AND(ISBLANK(D1080),ISBLANK(C1080)),"",((VLOOKUP(D1080,Cardápio!$A$2:$C$16,3,0))*E1080)+IF(B1080="iFood",F1080*0.27,(VLOOKUP(VENDAS!C1080,Bairros!$A$2:$B$90,2,0))))</f>
        <v/>
      </c>
      <c r="J1080" s="7" t="str">
        <f t="shared" si="69"/>
        <v/>
      </c>
      <c r="K1080" s="9">
        <f t="shared" ca="1" si="70"/>
        <v>45404.878290162036</v>
      </c>
      <c r="L1080" s="10">
        <f t="shared" ca="1" si="71"/>
        <v>45404.878290046297</v>
      </c>
    </row>
    <row r="1081" spans="6:12" x14ac:dyDescent="0.25">
      <c r="F1081" s="11" t="str">
        <f>IF(ISBLANK(D1081),"",(VLOOKUP(D1081,Cardápio!$A$2:$B$16,2,0))*E1081)</f>
        <v/>
      </c>
      <c r="H1081" s="7" t="str">
        <f t="shared" si="68"/>
        <v/>
      </c>
      <c r="I1081" s="7" t="str">
        <f>IF(AND(ISBLANK(D1081),ISBLANK(C1081)),"",((VLOOKUP(D1081,Cardápio!$A$2:$C$16,3,0))*E1081)+IF(B1081="iFood",F1081*0.27,(VLOOKUP(VENDAS!C1081,Bairros!$A$2:$B$90,2,0))))</f>
        <v/>
      </c>
      <c r="J1081" s="7" t="str">
        <f t="shared" si="69"/>
        <v/>
      </c>
      <c r="K1081" s="9">
        <f t="shared" ca="1" si="70"/>
        <v>45404.878290162036</v>
      </c>
      <c r="L1081" s="10">
        <f t="shared" ca="1" si="71"/>
        <v>45404.878290046297</v>
      </c>
    </row>
    <row r="1082" spans="6:12" x14ac:dyDescent="0.25">
      <c r="F1082" s="11" t="str">
        <f>IF(ISBLANK(D1082),"",(VLOOKUP(D1082,Cardápio!$A$2:$B$16,2,0))*E1082)</f>
        <v/>
      </c>
      <c r="H1082" s="7" t="str">
        <f t="shared" si="68"/>
        <v/>
      </c>
      <c r="I1082" s="7" t="str">
        <f>IF(AND(ISBLANK(D1082),ISBLANK(C1082)),"",((VLOOKUP(D1082,Cardápio!$A$2:$C$16,3,0))*E1082)+IF(B1082="iFood",F1082*0.27,(VLOOKUP(VENDAS!C1082,Bairros!$A$2:$B$90,2,0))))</f>
        <v/>
      </c>
      <c r="J1082" s="7" t="str">
        <f t="shared" si="69"/>
        <v/>
      </c>
      <c r="K1082" s="9">
        <f t="shared" ca="1" si="70"/>
        <v>45404.878290162036</v>
      </c>
      <c r="L1082" s="10">
        <f t="shared" ca="1" si="71"/>
        <v>45404.878290046297</v>
      </c>
    </row>
    <row r="1083" spans="6:12" x14ac:dyDescent="0.25">
      <c r="F1083" s="11" t="str">
        <f>IF(ISBLANK(D1083),"",(VLOOKUP(D1083,Cardápio!$A$2:$B$16,2,0))*E1083)</f>
        <v/>
      </c>
      <c r="H1083" s="7" t="str">
        <f t="shared" si="68"/>
        <v/>
      </c>
      <c r="I1083" s="7" t="str">
        <f>IF(AND(ISBLANK(D1083),ISBLANK(C1083)),"",((VLOOKUP(D1083,Cardápio!$A$2:$C$16,3,0))*E1083)+IF(B1083="iFood",F1083*0.27,(VLOOKUP(VENDAS!C1083,Bairros!$A$2:$B$90,2,0))))</f>
        <v/>
      </c>
      <c r="J1083" s="7" t="str">
        <f t="shared" si="69"/>
        <v/>
      </c>
      <c r="K1083" s="9">
        <f t="shared" ca="1" si="70"/>
        <v>45404.878290162036</v>
      </c>
      <c r="L1083" s="10">
        <f t="shared" ca="1" si="71"/>
        <v>45404.878290046297</v>
      </c>
    </row>
    <row r="1084" spans="6:12" x14ac:dyDescent="0.25">
      <c r="F1084" s="11" t="str">
        <f>IF(ISBLANK(D1084),"",(VLOOKUP(D1084,Cardápio!$A$2:$B$16,2,0))*E1084)</f>
        <v/>
      </c>
      <c r="H1084" s="7" t="str">
        <f t="shared" si="68"/>
        <v/>
      </c>
      <c r="I1084" s="7" t="str">
        <f>IF(AND(ISBLANK(D1084),ISBLANK(C1084)),"",((VLOOKUP(D1084,Cardápio!$A$2:$C$16,3,0))*E1084)+IF(B1084="iFood",F1084*0.27,(VLOOKUP(VENDAS!C1084,Bairros!$A$2:$B$90,2,0))))</f>
        <v/>
      </c>
      <c r="J1084" s="7" t="str">
        <f t="shared" si="69"/>
        <v/>
      </c>
      <c r="K1084" s="9">
        <f t="shared" ca="1" si="70"/>
        <v>45404.878290162036</v>
      </c>
      <c r="L1084" s="10">
        <f t="shared" ca="1" si="71"/>
        <v>45404.878290046297</v>
      </c>
    </row>
    <row r="1085" spans="6:12" x14ac:dyDescent="0.25">
      <c r="F1085" s="11" t="str">
        <f>IF(ISBLANK(D1085),"",(VLOOKUP(D1085,Cardápio!$A$2:$B$16,2,0))*E1085)</f>
        <v/>
      </c>
      <c r="H1085" s="7" t="str">
        <f t="shared" si="68"/>
        <v/>
      </c>
      <c r="I1085" s="7" t="str">
        <f>IF(AND(ISBLANK(D1085),ISBLANK(C1085)),"",((VLOOKUP(D1085,Cardápio!$A$2:$C$16,3,0))*E1085)+IF(B1085="iFood",F1085*0.27,(VLOOKUP(VENDAS!C1085,Bairros!$A$2:$B$90,2,0))))</f>
        <v/>
      </c>
      <c r="J1085" s="7" t="str">
        <f t="shared" si="69"/>
        <v/>
      </c>
      <c r="K1085" s="9">
        <f t="shared" ca="1" si="70"/>
        <v>45404.878290162036</v>
      </c>
      <c r="L1085" s="10">
        <f t="shared" ca="1" si="71"/>
        <v>45404.878290046297</v>
      </c>
    </row>
    <row r="1086" spans="6:12" x14ac:dyDescent="0.25">
      <c r="F1086" s="11" t="str">
        <f>IF(ISBLANK(D1086),"",(VLOOKUP(D1086,Cardápio!$A$2:$B$16,2,0))*E1086)</f>
        <v/>
      </c>
      <c r="H1086" s="7" t="str">
        <f t="shared" si="68"/>
        <v/>
      </c>
      <c r="I1086" s="7" t="str">
        <f>IF(AND(ISBLANK(D1086),ISBLANK(C1086)),"",((VLOOKUP(D1086,Cardápio!$A$2:$C$16,3,0))*E1086)+IF(B1086="iFood",F1086*0.27,(VLOOKUP(VENDAS!C1086,Bairros!$A$2:$B$90,2,0))))</f>
        <v/>
      </c>
      <c r="J1086" s="7" t="str">
        <f t="shared" si="69"/>
        <v/>
      </c>
      <c r="K1086" s="9">
        <f t="shared" ca="1" si="70"/>
        <v>45404.878290162036</v>
      </c>
      <c r="L1086" s="10">
        <f t="shared" ca="1" si="71"/>
        <v>45404.878290046297</v>
      </c>
    </row>
    <row r="1087" spans="6:12" x14ac:dyDescent="0.25">
      <c r="F1087" s="11" t="str">
        <f>IF(ISBLANK(D1087),"",(VLOOKUP(D1087,Cardápio!$A$2:$B$16,2,0))*E1087)</f>
        <v/>
      </c>
      <c r="H1087" s="7" t="str">
        <f t="shared" si="68"/>
        <v/>
      </c>
      <c r="I1087" s="7" t="str">
        <f>IF(AND(ISBLANK(D1087),ISBLANK(C1087)),"",((VLOOKUP(D1087,Cardápio!$A$2:$C$16,3,0))*E1087)+IF(B1087="iFood",F1087*0.27,(VLOOKUP(VENDAS!C1087,Bairros!$A$2:$B$90,2,0))))</f>
        <v/>
      </c>
      <c r="J1087" s="7" t="str">
        <f t="shared" si="69"/>
        <v/>
      </c>
      <c r="K1087" s="9">
        <f t="shared" ca="1" si="70"/>
        <v>45404.878290162036</v>
      </c>
      <c r="L1087" s="10">
        <f t="shared" ca="1" si="71"/>
        <v>45404.878290046297</v>
      </c>
    </row>
    <row r="1088" spans="6:12" x14ac:dyDescent="0.25">
      <c r="F1088" s="11" t="str">
        <f>IF(ISBLANK(D1088),"",(VLOOKUP(D1088,Cardápio!$A$2:$B$16,2,0))*E1088)</f>
        <v/>
      </c>
      <c r="H1088" s="7" t="str">
        <f t="shared" si="68"/>
        <v/>
      </c>
      <c r="I1088" s="7" t="str">
        <f>IF(AND(ISBLANK(D1088),ISBLANK(C1088)),"",((VLOOKUP(D1088,Cardápio!$A$2:$C$16,3,0))*E1088)+IF(B1088="iFood",F1088*0.27,(VLOOKUP(VENDAS!C1088,Bairros!$A$2:$B$90,2,0))))</f>
        <v/>
      </c>
      <c r="J1088" s="7" t="str">
        <f t="shared" si="69"/>
        <v/>
      </c>
      <c r="K1088" s="9">
        <f t="shared" ca="1" si="70"/>
        <v>45404.878290162036</v>
      </c>
      <c r="L1088" s="10">
        <f t="shared" ca="1" si="71"/>
        <v>45404.878290046297</v>
      </c>
    </row>
    <row r="1089" spans="6:12" x14ac:dyDescent="0.25">
      <c r="F1089" s="11" t="str">
        <f>IF(ISBLANK(D1089),"",(VLOOKUP(D1089,Cardápio!$A$2:$B$16,2,0))*E1089)</f>
        <v/>
      </c>
      <c r="H1089" s="7" t="str">
        <f t="shared" si="68"/>
        <v/>
      </c>
      <c r="I1089" s="7" t="str">
        <f>IF(AND(ISBLANK(D1089),ISBLANK(C1089)),"",((VLOOKUP(D1089,Cardápio!$A$2:$C$16,3,0))*E1089)+IF(B1089="iFood",F1089*0.27,(VLOOKUP(VENDAS!C1089,Bairros!$A$2:$B$90,2,0))))</f>
        <v/>
      </c>
      <c r="J1089" s="7" t="str">
        <f t="shared" si="69"/>
        <v/>
      </c>
      <c r="K1089" s="9">
        <f t="shared" ca="1" si="70"/>
        <v>45404.878290162036</v>
      </c>
      <c r="L1089" s="10">
        <f t="shared" ca="1" si="71"/>
        <v>45404.878290046297</v>
      </c>
    </row>
    <row r="1090" spans="6:12" x14ac:dyDescent="0.25">
      <c r="F1090" s="11" t="str">
        <f>IF(ISBLANK(D1090),"",(VLOOKUP(D1090,Cardápio!$A$2:$B$16,2,0))*E1090)</f>
        <v/>
      </c>
      <c r="H1090" s="7" t="str">
        <f t="shared" si="68"/>
        <v/>
      </c>
      <c r="I1090" s="7" t="str">
        <f>IF(AND(ISBLANK(D1090),ISBLANK(C1090)),"",((VLOOKUP(D1090,Cardápio!$A$2:$C$16,3,0))*E1090)+IF(B1090="iFood",F1090*0.27,(VLOOKUP(VENDAS!C1090,Bairros!$A$2:$B$90,2,0))))</f>
        <v/>
      </c>
      <c r="J1090" s="7" t="str">
        <f t="shared" si="69"/>
        <v/>
      </c>
      <c r="K1090" s="9">
        <f t="shared" ca="1" si="70"/>
        <v>45404.878290162036</v>
      </c>
      <c r="L1090" s="10">
        <f t="shared" ca="1" si="71"/>
        <v>45404.878290046297</v>
      </c>
    </row>
    <row r="1091" spans="6:12" x14ac:dyDescent="0.25">
      <c r="F1091" s="11" t="str">
        <f>IF(ISBLANK(D1091),"",(VLOOKUP(D1091,Cardápio!$A$2:$B$16,2,0))*E1091)</f>
        <v/>
      </c>
      <c r="H1091" s="7" t="str">
        <f t="shared" si="68"/>
        <v/>
      </c>
      <c r="I1091" s="7" t="str">
        <f>IF(AND(ISBLANK(D1091),ISBLANK(C1091)),"",((VLOOKUP(D1091,Cardápio!$A$2:$C$16,3,0))*E1091)+IF(B1091="iFood",F1091*0.27,(VLOOKUP(VENDAS!C1091,Bairros!$A$2:$B$90,2,0))))</f>
        <v/>
      </c>
      <c r="J1091" s="7" t="str">
        <f t="shared" si="69"/>
        <v/>
      </c>
      <c r="K1091" s="9">
        <f t="shared" ca="1" si="70"/>
        <v>45404.878290162036</v>
      </c>
      <c r="L1091" s="10">
        <f t="shared" ca="1" si="71"/>
        <v>45404.878290046297</v>
      </c>
    </row>
    <row r="1092" spans="6:12" x14ac:dyDescent="0.25">
      <c r="F1092" s="11" t="str">
        <f>IF(ISBLANK(D1092),"",(VLOOKUP(D1092,Cardápio!$A$2:$B$16,2,0))*E1092)</f>
        <v/>
      </c>
      <c r="H1092" s="7" t="str">
        <f t="shared" si="68"/>
        <v/>
      </c>
      <c r="I1092" s="7" t="str">
        <f>IF(AND(ISBLANK(D1092),ISBLANK(C1092)),"",((VLOOKUP(D1092,Cardápio!$A$2:$C$16,3,0))*E1092)+IF(B1092="iFood",F1092*0.27,(VLOOKUP(VENDAS!C1092,Bairros!$A$2:$B$90,2,0))))</f>
        <v/>
      </c>
      <c r="J1092" s="7" t="str">
        <f t="shared" si="69"/>
        <v/>
      </c>
      <c r="K1092" s="9">
        <f t="shared" ca="1" si="70"/>
        <v>45404.878290162036</v>
      </c>
      <c r="L1092" s="10">
        <f t="shared" ca="1" si="71"/>
        <v>45404.878290046297</v>
      </c>
    </row>
    <row r="1093" spans="6:12" x14ac:dyDescent="0.25">
      <c r="F1093" s="11" t="str">
        <f>IF(ISBLANK(D1093),"",(VLOOKUP(D1093,Cardápio!$A$2:$B$16,2,0))*E1093)</f>
        <v/>
      </c>
      <c r="H1093" s="7" t="str">
        <f t="shared" si="68"/>
        <v/>
      </c>
      <c r="I1093" s="7" t="str">
        <f>IF(AND(ISBLANK(D1093),ISBLANK(C1093)),"",((VLOOKUP(D1093,Cardápio!$A$2:$C$16,3,0))*E1093)+IF(B1093="iFood",F1093*0.27,(VLOOKUP(VENDAS!C1093,Bairros!$A$2:$B$90,2,0))))</f>
        <v/>
      </c>
      <c r="J1093" s="7" t="str">
        <f t="shared" si="69"/>
        <v/>
      </c>
      <c r="K1093" s="9">
        <f t="shared" ca="1" si="70"/>
        <v>45404.878290162036</v>
      </c>
      <c r="L1093" s="10">
        <f t="shared" ca="1" si="71"/>
        <v>45404.878290046297</v>
      </c>
    </row>
    <row r="1094" spans="6:12" x14ac:dyDescent="0.25">
      <c r="F1094" s="11" t="str">
        <f>IF(ISBLANK(D1094),"",(VLOOKUP(D1094,Cardápio!$A$2:$B$16,2,0))*E1094)</f>
        <v/>
      </c>
      <c r="H1094" s="7" t="str">
        <f t="shared" si="68"/>
        <v/>
      </c>
      <c r="I1094" s="7" t="str">
        <f>IF(AND(ISBLANK(D1094),ISBLANK(C1094)),"",((VLOOKUP(D1094,Cardápio!$A$2:$C$16,3,0))*E1094)+IF(B1094="iFood",F1094*0.27,(VLOOKUP(VENDAS!C1094,Bairros!$A$2:$B$90,2,0))))</f>
        <v/>
      </c>
      <c r="J1094" s="7" t="str">
        <f t="shared" si="69"/>
        <v/>
      </c>
      <c r="K1094" s="9">
        <f t="shared" ca="1" si="70"/>
        <v>45404.878290162036</v>
      </c>
      <c r="L1094" s="10">
        <f t="shared" ca="1" si="71"/>
        <v>45404.878290046297</v>
      </c>
    </row>
    <row r="1095" spans="6:12" x14ac:dyDescent="0.25">
      <c r="F1095" s="11" t="str">
        <f>IF(ISBLANK(D1095),"",(VLOOKUP(D1095,Cardápio!$A$2:$B$16,2,0))*E1095)</f>
        <v/>
      </c>
      <c r="H1095" s="7" t="str">
        <f t="shared" si="68"/>
        <v/>
      </c>
      <c r="I1095" s="7" t="str">
        <f>IF(AND(ISBLANK(D1095),ISBLANK(C1095)),"",((VLOOKUP(D1095,Cardápio!$A$2:$C$16,3,0))*E1095)+IF(B1095="iFood",F1095*0.27,(VLOOKUP(VENDAS!C1095,Bairros!$A$2:$B$90,2,0))))</f>
        <v/>
      </c>
      <c r="J1095" s="7" t="str">
        <f t="shared" si="69"/>
        <v/>
      </c>
      <c r="K1095" s="9">
        <f t="shared" ca="1" si="70"/>
        <v>45404.878290162036</v>
      </c>
      <c r="L1095" s="10">
        <f t="shared" ca="1" si="71"/>
        <v>45404.878290046297</v>
      </c>
    </row>
    <row r="1096" spans="6:12" x14ac:dyDescent="0.25">
      <c r="F1096" s="11" t="str">
        <f>IF(ISBLANK(D1096),"",(VLOOKUP(D1096,Cardápio!$A$2:$B$16,2,0))*E1096)</f>
        <v/>
      </c>
      <c r="H1096" s="7" t="str">
        <f t="shared" si="68"/>
        <v/>
      </c>
      <c r="I1096" s="7" t="str">
        <f>IF(AND(ISBLANK(D1096),ISBLANK(C1096)),"",((VLOOKUP(D1096,Cardápio!$A$2:$C$16,3,0))*E1096)+IF(B1096="iFood",F1096*0.27,(VLOOKUP(VENDAS!C1096,Bairros!$A$2:$B$90,2,0))))</f>
        <v/>
      </c>
      <c r="J1096" s="7" t="str">
        <f t="shared" si="69"/>
        <v/>
      </c>
      <c r="K1096" s="9">
        <f t="shared" ca="1" si="70"/>
        <v>45404.878290162036</v>
      </c>
      <c r="L1096" s="10">
        <f t="shared" ca="1" si="71"/>
        <v>45404.878290046297</v>
      </c>
    </row>
    <row r="1097" spans="6:12" x14ac:dyDescent="0.25">
      <c r="F1097" s="11" t="str">
        <f>IF(ISBLANK(D1097),"",(VLOOKUP(D1097,Cardápio!$A$2:$B$16,2,0))*E1097)</f>
        <v/>
      </c>
      <c r="H1097" s="7" t="str">
        <f t="shared" si="68"/>
        <v/>
      </c>
      <c r="I1097" s="7" t="str">
        <f>IF(AND(ISBLANK(D1097),ISBLANK(C1097)),"",((VLOOKUP(D1097,Cardápio!$A$2:$C$16,3,0))*E1097)+IF(B1097="iFood",F1097*0.27,(VLOOKUP(VENDAS!C1097,Bairros!$A$2:$B$90,2,0))))</f>
        <v/>
      </c>
      <c r="J1097" s="7" t="str">
        <f t="shared" si="69"/>
        <v/>
      </c>
      <c r="K1097" s="9">
        <f t="shared" ca="1" si="70"/>
        <v>45404.878290162036</v>
      </c>
      <c r="L1097" s="10">
        <f t="shared" ca="1" si="71"/>
        <v>45404.878290046297</v>
      </c>
    </row>
    <row r="1098" spans="6:12" x14ac:dyDescent="0.25">
      <c r="F1098" s="11" t="str">
        <f>IF(ISBLANK(D1098),"",(VLOOKUP(D1098,Cardápio!$A$2:$B$16,2,0))*E1098)</f>
        <v/>
      </c>
      <c r="H1098" s="7" t="str">
        <f t="shared" si="68"/>
        <v/>
      </c>
      <c r="I1098" s="7" t="str">
        <f>IF(AND(ISBLANK(D1098),ISBLANK(C1098)),"",((VLOOKUP(D1098,Cardápio!$A$2:$C$16,3,0))*E1098)+IF(B1098="iFood",F1098*0.27,(VLOOKUP(VENDAS!C1098,Bairros!$A$2:$B$90,2,0))))</f>
        <v/>
      </c>
      <c r="J1098" s="7" t="str">
        <f t="shared" si="69"/>
        <v/>
      </c>
      <c r="K1098" s="9">
        <f t="shared" ca="1" si="70"/>
        <v>45404.878290162036</v>
      </c>
      <c r="L1098" s="10">
        <f t="shared" ca="1" si="71"/>
        <v>45404.878290046297</v>
      </c>
    </row>
    <row r="1099" spans="6:12" x14ac:dyDescent="0.25">
      <c r="F1099" s="11" t="str">
        <f>IF(ISBLANK(D1099),"",(VLOOKUP(D1099,Cardápio!$A$2:$B$16,2,0))*E1099)</f>
        <v/>
      </c>
      <c r="H1099" s="7" t="str">
        <f t="shared" si="68"/>
        <v/>
      </c>
      <c r="I1099" s="7" t="str">
        <f>IF(AND(ISBLANK(D1099),ISBLANK(C1099)),"",((VLOOKUP(D1099,Cardápio!$A$2:$C$16,3,0))*E1099)+IF(B1099="iFood",F1099*0.27,(VLOOKUP(VENDAS!C1099,Bairros!$A$2:$B$90,2,0))))</f>
        <v/>
      </c>
      <c r="J1099" s="7" t="str">
        <f t="shared" si="69"/>
        <v/>
      </c>
      <c r="K1099" s="9">
        <f t="shared" ca="1" si="70"/>
        <v>45404.878290162036</v>
      </c>
      <c r="L1099" s="10">
        <f t="shared" ca="1" si="71"/>
        <v>45404.878290046297</v>
      </c>
    </row>
    <row r="1100" spans="6:12" x14ac:dyDescent="0.25">
      <c r="F1100" s="11" t="str">
        <f>IF(ISBLANK(D1100),"",(VLOOKUP(D1100,Cardápio!$A$2:$B$16,2,0))*E1100)</f>
        <v/>
      </c>
      <c r="H1100" s="7" t="str">
        <f t="shared" si="68"/>
        <v/>
      </c>
      <c r="I1100" s="7" t="str">
        <f>IF(AND(ISBLANK(D1100),ISBLANK(C1100)),"",((VLOOKUP(D1100,Cardápio!$A$2:$C$16,3,0))*E1100)+IF(B1100="iFood",F1100*0.27,(VLOOKUP(VENDAS!C1100,Bairros!$A$2:$B$90,2,0))))</f>
        <v/>
      </c>
      <c r="J1100" s="7" t="str">
        <f t="shared" si="69"/>
        <v/>
      </c>
      <c r="K1100" s="9">
        <f t="shared" ca="1" si="70"/>
        <v>45404.878290162036</v>
      </c>
      <c r="L1100" s="10">
        <f t="shared" ca="1" si="71"/>
        <v>45404.878290046297</v>
      </c>
    </row>
    <row r="1101" spans="6:12" x14ac:dyDescent="0.25">
      <c r="F1101" s="11" t="str">
        <f>IF(ISBLANK(D1101),"",(VLOOKUP(D1101,Cardápio!$A$2:$B$16,2,0))*E1101)</f>
        <v/>
      </c>
      <c r="H1101" s="7" t="str">
        <f t="shared" si="68"/>
        <v/>
      </c>
      <c r="I1101" s="7" t="str">
        <f>IF(AND(ISBLANK(D1101),ISBLANK(C1101)),"",((VLOOKUP(D1101,Cardápio!$A$2:$C$16,3,0))*E1101)+IF(B1101="iFood",F1101*0.27,(VLOOKUP(VENDAS!C1101,Bairros!$A$2:$B$90,2,0))))</f>
        <v/>
      </c>
      <c r="J1101" s="7" t="str">
        <f t="shared" si="69"/>
        <v/>
      </c>
      <c r="K1101" s="9">
        <f t="shared" ca="1" si="70"/>
        <v>45404.878290162036</v>
      </c>
      <c r="L1101" s="10">
        <f t="shared" ca="1" si="71"/>
        <v>45404.878290046297</v>
      </c>
    </row>
    <row r="1102" spans="6:12" x14ac:dyDescent="0.25">
      <c r="F1102" s="11" t="str">
        <f>IF(ISBLANK(D1102),"",(VLOOKUP(D1102,Cardápio!$A$2:$B$16,2,0))*E1102)</f>
        <v/>
      </c>
      <c r="H1102" s="7" t="str">
        <f t="shared" si="68"/>
        <v/>
      </c>
      <c r="I1102" s="7" t="str">
        <f>IF(AND(ISBLANK(D1102),ISBLANK(C1102)),"",((VLOOKUP(D1102,Cardápio!$A$2:$C$16,3,0))*E1102)+IF(B1102="iFood",F1102*0.27,(VLOOKUP(VENDAS!C1102,Bairros!$A$2:$B$90,2,0))))</f>
        <v/>
      </c>
      <c r="J1102" s="7" t="str">
        <f t="shared" si="69"/>
        <v/>
      </c>
      <c r="K1102" s="9">
        <f t="shared" ca="1" si="70"/>
        <v>45404.878290162036</v>
      </c>
      <c r="L1102" s="10">
        <f t="shared" ca="1" si="71"/>
        <v>45404.878290046297</v>
      </c>
    </row>
    <row r="1103" spans="6:12" x14ac:dyDescent="0.25">
      <c r="F1103" s="11" t="str">
        <f>IF(ISBLANK(D1103),"",(VLOOKUP(D1103,Cardápio!$A$2:$B$16,2,0))*E1103)</f>
        <v/>
      </c>
      <c r="H1103" s="7" t="str">
        <f t="shared" si="68"/>
        <v/>
      </c>
      <c r="I1103" s="7" t="str">
        <f>IF(AND(ISBLANK(D1103),ISBLANK(C1103)),"",((VLOOKUP(D1103,Cardápio!$A$2:$C$16,3,0))*E1103)+IF(B1103="iFood",F1103*0.27,(VLOOKUP(VENDAS!C1103,Bairros!$A$2:$B$90,2,0))))</f>
        <v/>
      </c>
      <c r="J1103" s="7" t="str">
        <f t="shared" si="69"/>
        <v/>
      </c>
      <c r="K1103" s="9">
        <f t="shared" ca="1" si="70"/>
        <v>45404.878290162036</v>
      </c>
      <c r="L1103" s="10">
        <f t="shared" ca="1" si="71"/>
        <v>45404.878290046297</v>
      </c>
    </row>
    <row r="1104" spans="6:12" x14ac:dyDescent="0.25">
      <c r="F1104" s="11" t="str">
        <f>IF(ISBLANK(D1104),"",(VLOOKUP(D1104,Cardápio!$A$2:$B$16,2,0))*E1104)</f>
        <v/>
      </c>
      <c r="H1104" s="7" t="str">
        <f t="shared" si="68"/>
        <v/>
      </c>
      <c r="I1104" s="7" t="str">
        <f>IF(AND(ISBLANK(D1104),ISBLANK(C1104)),"",((VLOOKUP(D1104,Cardápio!$A$2:$C$16,3,0))*E1104)+IF(B1104="iFood",F1104*0.27,(VLOOKUP(VENDAS!C1104,Bairros!$A$2:$B$90,2,0))))</f>
        <v/>
      </c>
      <c r="J1104" s="7" t="str">
        <f t="shared" si="69"/>
        <v/>
      </c>
      <c r="K1104" s="9">
        <f t="shared" ca="1" si="70"/>
        <v>45404.878290162036</v>
      </c>
      <c r="L1104" s="10">
        <f t="shared" ca="1" si="71"/>
        <v>45404.878290046297</v>
      </c>
    </row>
    <row r="1105" spans="6:12" x14ac:dyDescent="0.25">
      <c r="F1105" s="11" t="str">
        <f>IF(ISBLANK(D1105),"",(VLOOKUP(D1105,Cardápio!$A$2:$B$16,2,0))*E1105)</f>
        <v/>
      </c>
      <c r="H1105" s="7" t="str">
        <f t="shared" si="68"/>
        <v/>
      </c>
      <c r="I1105" s="7" t="str">
        <f>IF(AND(ISBLANK(D1105),ISBLANK(C1105)),"",((VLOOKUP(D1105,Cardápio!$A$2:$C$16,3,0))*E1105)+IF(B1105="iFood",F1105*0.27,(VLOOKUP(VENDAS!C1105,Bairros!$A$2:$B$90,2,0))))</f>
        <v/>
      </c>
      <c r="J1105" s="7" t="str">
        <f t="shared" si="69"/>
        <v/>
      </c>
      <c r="K1105" s="9">
        <f t="shared" ca="1" si="70"/>
        <v>45404.878290162036</v>
      </c>
      <c r="L1105" s="10">
        <f t="shared" ca="1" si="71"/>
        <v>45404.878290046297</v>
      </c>
    </row>
    <row r="1106" spans="6:12" x14ac:dyDescent="0.25">
      <c r="F1106" s="11" t="str">
        <f>IF(ISBLANK(D1106),"",(VLOOKUP(D1106,Cardápio!$A$2:$B$16,2,0))*E1106)</f>
        <v/>
      </c>
      <c r="H1106" s="7" t="str">
        <f t="shared" si="68"/>
        <v/>
      </c>
      <c r="I1106" s="7" t="str">
        <f>IF(AND(ISBLANK(D1106),ISBLANK(C1106)),"",((VLOOKUP(D1106,Cardápio!$A$2:$C$16,3,0))*E1106)+IF(B1106="iFood",F1106*0.27,(VLOOKUP(VENDAS!C1106,Bairros!$A$2:$B$90,2,0))))</f>
        <v/>
      </c>
      <c r="J1106" s="7" t="str">
        <f t="shared" si="69"/>
        <v/>
      </c>
      <c r="K1106" s="9">
        <f t="shared" ca="1" si="70"/>
        <v>45404.878290162036</v>
      </c>
      <c r="L1106" s="10">
        <f t="shared" ca="1" si="71"/>
        <v>45404.878290046297</v>
      </c>
    </row>
    <row r="1107" spans="6:12" x14ac:dyDescent="0.25">
      <c r="F1107" s="11" t="str">
        <f>IF(ISBLANK(D1107),"",(VLOOKUP(D1107,Cardápio!$A$2:$B$16,2,0))*E1107)</f>
        <v/>
      </c>
      <c r="H1107" s="7" t="str">
        <f t="shared" si="68"/>
        <v/>
      </c>
      <c r="I1107" s="7" t="str">
        <f>IF(AND(ISBLANK(D1107),ISBLANK(C1107)),"",((VLOOKUP(D1107,Cardápio!$A$2:$C$16,3,0))*E1107)+IF(B1107="iFood",F1107*0.27,(VLOOKUP(VENDAS!C1107,Bairros!$A$2:$B$90,2,0))))</f>
        <v/>
      </c>
      <c r="J1107" s="7" t="str">
        <f t="shared" si="69"/>
        <v/>
      </c>
      <c r="K1107" s="9">
        <f t="shared" ca="1" si="70"/>
        <v>45404.878290162036</v>
      </c>
      <c r="L1107" s="10">
        <f t="shared" ca="1" si="71"/>
        <v>45404.878290046297</v>
      </c>
    </row>
    <row r="1108" spans="6:12" x14ac:dyDescent="0.25">
      <c r="F1108" s="11" t="str">
        <f>IF(ISBLANK(D1108),"",(VLOOKUP(D1108,Cardápio!$A$2:$B$16,2,0))*E1108)</f>
        <v/>
      </c>
      <c r="H1108" s="7" t="str">
        <f t="shared" si="68"/>
        <v/>
      </c>
      <c r="I1108" s="7" t="str">
        <f>IF(AND(ISBLANK(D1108),ISBLANK(C1108)),"",((VLOOKUP(D1108,Cardápio!$A$2:$C$16,3,0))*E1108)+IF(B1108="iFood",F1108*0.27,(VLOOKUP(VENDAS!C1108,Bairros!$A$2:$B$90,2,0))))</f>
        <v/>
      </c>
      <c r="J1108" s="7" t="str">
        <f t="shared" si="69"/>
        <v/>
      </c>
      <c r="K1108" s="9">
        <f t="shared" ca="1" si="70"/>
        <v>45404.878290162036</v>
      </c>
      <c r="L1108" s="10">
        <f t="shared" ca="1" si="71"/>
        <v>45404.878290046297</v>
      </c>
    </row>
    <row r="1109" spans="6:12" x14ac:dyDescent="0.25">
      <c r="F1109" s="11" t="str">
        <f>IF(ISBLANK(D1109),"",(VLOOKUP(D1109,Cardápio!$A$2:$B$16,2,0))*E1109)</f>
        <v/>
      </c>
      <c r="H1109" s="7" t="str">
        <f t="shared" si="68"/>
        <v/>
      </c>
      <c r="I1109" s="7" t="str">
        <f>IF(AND(ISBLANK(D1109),ISBLANK(C1109)),"",((VLOOKUP(D1109,Cardápio!$A$2:$C$16,3,0))*E1109)+IF(B1109="iFood",F1109*0.27,(VLOOKUP(VENDAS!C1109,Bairros!$A$2:$B$90,2,0))))</f>
        <v/>
      </c>
      <c r="J1109" s="7" t="str">
        <f t="shared" si="69"/>
        <v/>
      </c>
      <c r="K1109" s="9">
        <f t="shared" ca="1" si="70"/>
        <v>45404.878290162036</v>
      </c>
      <c r="L1109" s="10">
        <f t="shared" ca="1" si="71"/>
        <v>45404.878290046297</v>
      </c>
    </row>
    <row r="1110" spans="6:12" x14ac:dyDescent="0.25">
      <c r="F1110" s="11" t="str">
        <f>IF(ISBLANK(D1110),"",(VLOOKUP(D1110,Cardápio!$A$2:$B$16,2,0))*E1110)</f>
        <v/>
      </c>
      <c r="H1110" s="7" t="str">
        <f t="shared" si="68"/>
        <v/>
      </c>
      <c r="I1110" s="7" t="str">
        <f>IF(AND(ISBLANK(D1110),ISBLANK(C1110)),"",((VLOOKUP(D1110,Cardápio!$A$2:$C$16,3,0))*E1110)+IF(B1110="iFood",F1110*0.27,(VLOOKUP(VENDAS!C1110,Bairros!$A$2:$B$90,2,0))))</f>
        <v/>
      </c>
      <c r="J1110" s="7" t="str">
        <f t="shared" si="69"/>
        <v/>
      </c>
      <c r="K1110" s="9">
        <f t="shared" ca="1" si="70"/>
        <v>45404.878290162036</v>
      </c>
      <c r="L1110" s="10">
        <f t="shared" ca="1" si="71"/>
        <v>45404.878290046297</v>
      </c>
    </row>
    <row r="1111" spans="6:12" x14ac:dyDescent="0.25">
      <c r="F1111" s="11" t="str">
        <f>IF(ISBLANK(D1111),"",(VLOOKUP(D1111,Cardápio!$A$2:$B$16,2,0))*E1111)</f>
        <v/>
      </c>
      <c r="H1111" s="7" t="str">
        <f t="shared" si="68"/>
        <v/>
      </c>
      <c r="I1111" s="7" t="str">
        <f>IF(AND(ISBLANK(D1111),ISBLANK(C1111)),"",((VLOOKUP(D1111,Cardápio!$A$2:$C$16,3,0))*E1111)+IF(B1111="iFood",F1111*0.27,(VLOOKUP(VENDAS!C1111,Bairros!$A$2:$B$90,2,0))))</f>
        <v/>
      </c>
      <c r="J1111" s="7" t="str">
        <f t="shared" si="69"/>
        <v/>
      </c>
      <c r="K1111" s="9">
        <f t="shared" ca="1" si="70"/>
        <v>45404.878290162036</v>
      </c>
      <c r="L1111" s="10">
        <f t="shared" ca="1" si="71"/>
        <v>45404.878290046297</v>
      </c>
    </row>
    <row r="1112" spans="6:12" x14ac:dyDescent="0.25">
      <c r="F1112" s="11" t="str">
        <f>IF(ISBLANK(D1112),"",(VLOOKUP(D1112,Cardápio!$A$2:$B$16,2,0))*E1112)</f>
        <v/>
      </c>
      <c r="H1112" s="7" t="str">
        <f t="shared" si="68"/>
        <v/>
      </c>
      <c r="I1112" s="7" t="str">
        <f>IF(AND(ISBLANK(D1112),ISBLANK(C1112)),"",((VLOOKUP(D1112,Cardápio!$A$2:$C$16,3,0))*E1112)+IF(B1112="iFood",F1112*0.27,(VLOOKUP(VENDAS!C1112,Bairros!$A$2:$B$90,2,0))))</f>
        <v/>
      </c>
      <c r="J1112" s="7" t="str">
        <f t="shared" si="69"/>
        <v/>
      </c>
      <c r="K1112" s="9">
        <f t="shared" ca="1" si="70"/>
        <v>45404.878290162036</v>
      </c>
      <c r="L1112" s="10">
        <f t="shared" ca="1" si="71"/>
        <v>45404.878290046297</v>
      </c>
    </row>
    <row r="1113" spans="6:12" x14ac:dyDescent="0.25">
      <c r="F1113" s="11" t="str">
        <f>IF(ISBLANK(D1113),"",(VLOOKUP(D1113,Cardápio!$A$2:$B$16,2,0))*E1113)</f>
        <v/>
      </c>
      <c r="H1113" s="7" t="str">
        <f t="shared" si="68"/>
        <v/>
      </c>
      <c r="I1113" s="7" t="str">
        <f>IF(AND(ISBLANK(D1113),ISBLANK(C1113)),"",((VLOOKUP(D1113,Cardápio!$A$2:$C$16,3,0))*E1113)+IF(B1113="iFood",F1113*0.27,(VLOOKUP(VENDAS!C1113,Bairros!$A$2:$B$90,2,0))))</f>
        <v/>
      </c>
      <c r="J1113" s="7" t="str">
        <f t="shared" si="69"/>
        <v/>
      </c>
      <c r="K1113" s="9">
        <f t="shared" ca="1" si="70"/>
        <v>45404.878290162036</v>
      </c>
      <c r="L1113" s="10">
        <f t="shared" ca="1" si="71"/>
        <v>45404.878290046297</v>
      </c>
    </row>
    <row r="1114" spans="6:12" x14ac:dyDescent="0.25">
      <c r="F1114" s="11" t="str">
        <f>IF(ISBLANK(D1114),"",(VLOOKUP(D1114,Cardápio!$A$2:$B$16,2,0))*E1114)</f>
        <v/>
      </c>
      <c r="H1114" s="7" t="str">
        <f t="shared" si="68"/>
        <v/>
      </c>
      <c r="I1114" s="7" t="str">
        <f>IF(AND(ISBLANK(D1114),ISBLANK(C1114)),"",((VLOOKUP(D1114,Cardápio!$A$2:$C$16,3,0))*E1114)+IF(B1114="iFood",F1114*0.27,(VLOOKUP(VENDAS!C1114,Bairros!$A$2:$B$90,2,0))))</f>
        <v/>
      </c>
      <c r="J1114" s="7" t="str">
        <f t="shared" si="69"/>
        <v/>
      </c>
      <c r="K1114" s="9">
        <f t="shared" ca="1" si="70"/>
        <v>45404.878290162036</v>
      </c>
      <c r="L1114" s="10">
        <f t="shared" ca="1" si="71"/>
        <v>45404.878290046297</v>
      </c>
    </row>
    <row r="1115" spans="6:12" x14ac:dyDescent="0.25">
      <c r="F1115" s="11" t="str">
        <f>IF(ISBLANK(D1115),"",(VLOOKUP(D1115,Cardápio!$A$2:$B$16,2,0))*E1115)</f>
        <v/>
      </c>
      <c r="H1115" s="7" t="str">
        <f t="shared" si="68"/>
        <v/>
      </c>
      <c r="I1115" s="7" t="str">
        <f>IF(AND(ISBLANK(D1115),ISBLANK(C1115)),"",((VLOOKUP(D1115,Cardápio!$A$2:$C$16,3,0))*E1115)+IF(B1115="iFood",F1115*0.27,(VLOOKUP(VENDAS!C1115,Bairros!$A$2:$B$90,2,0))))</f>
        <v/>
      </c>
      <c r="J1115" s="7" t="str">
        <f t="shared" si="69"/>
        <v/>
      </c>
      <c r="K1115" s="9">
        <f t="shared" ca="1" si="70"/>
        <v>45404.878290162036</v>
      </c>
      <c r="L1115" s="10">
        <f t="shared" ca="1" si="71"/>
        <v>45404.878290046297</v>
      </c>
    </row>
    <row r="1116" spans="6:12" x14ac:dyDescent="0.25">
      <c r="F1116" s="11" t="str">
        <f>IF(ISBLANK(D1116),"",(VLOOKUP(D1116,Cardápio!$A$2:$B$16,2,0))*E1116)</f>
        <v/>
      </c>
      <c r="H1116" s="7" t="str">
        <f t="shared" si="68"/>
        <v/>
      </c>
      <c r="I1116" s="7" t="str">
        <f>IF(AND(ISBLANK(D1116),ISBLANK(C1116)),"",((VLOOKUP(D1116,Cardápio!$A$2:$C$16,3,0))*E1116)+IF(B1116="iFood",F1116*0.27,(VLOOKUP(VENDAS!C1116,Bairros!$A$2:$B$90,2,0))))</f>
        <v/>
      </c>
      <c r="J1116" s="7" t="str">
        <f t="shared" si="69"/>
        <v/>
      </c>
      <c r="K1116" s="9">
        <f t="shared" ca="1" si="70"/>
        <v>45404.878290162036</v>
      </c>
      <c r="L1116" s="10">
        <f t="shared" ca="1" si="71"/>
        <v>45404.878290046297</v>
      </c>
    </row>
    <row r="1117" spans="6:12" x14ac:dyDescent="0.25">
      <c r="F1117" s="11" t="str">
        <f>IF(ISBLANK(D1117),"",(VLOOKUP(D1117,Cardápio!$A$2:$B$16,2,0))*E1117)</f>
        <v/>
      </c>
      <c r="H1117" s="7" t="str">
        <f t="shared" si="68"/>
        <v/>
      </c>
      <c r="I1117" s="7" t="str">
        <f>IF(AND(ISBLANK(D1117),ISBLANK(C1117)),"",((VLOOKUP(D1117,Cardápio!$A$2:$C$16,3,0))*E1117)+IF(B1117="iFood",F1117*0.27,(VLOOKUP(VENDAS!C1117,Bairros!$A$2:$B$90,2,0))))</f>
        <v/>
      </c>
      <c r="J1117" s="7" t="str">
        <f t="shared" si="69"/>
        <v/>
      </c>
      <c r="K1117" s="9">
        <f t="shared" ca="1" si="70"/>
        <v>45404.878290162036</v>
      </c>
      <c r="L1117" s="10">
        <f t="shared" ca="1" si="71"/>
        <v>45404.878290046297</v>
      </c>
    </row>
    <row r="1118" spans="6:12" x14ac:dyDescent="0.25">
      <c r="F1118" s="11" t="str">
        <f>IF(ISBLANK(D1118),"",(VLOOKUP(D1118,Cardápio!$A$2:$B$16,2,0))*E1118)</f>
        <v/>
      </c>
      <c r="H1118" s="7" t="str">
        <f t="shared" si="68"/>
        <v/>
      </c>
      <c r="I1118" s="7" t="str">
        <f>IF(AND(ISBLANK(D1118),ISBLANK(C1118)),"",((VLOOKUP(D1118,Cardápio!$A$2:$C$16,3,0))*E1118)+IF(B1118="iFood",F1118*0.27,(VLOOKUP(VENDAS!C1118,Bairros!$A$2:$B$90,2,0))))</f>
        <v/>
      </c>
      <c r="J1118" s="7" t="str">
        <f t="shared" si="69"/>
        <v/>
      </c>
      <c r="K1118" s="9">
        <f t="shared" ca="1" si="70"/>
        <v>45404.878290162036</v>
      </c>
      <c r="L1118" s="10">
        <f t="shared" ca="1" si="71"/>
        <v>45404.878290046297</v>
      </c>
    </row>
    <row r="1119" spans="6:12" x14ac:dyDescent="0.25">
      <c r="F1119" s="11" t="str">
        <f>IF(ISBLANK(D1119),"",(VLOOKUP(D1119,Cardápio!$A$2:$B$16,2,0))*E1119)</f>
        <v/>
      </c>
      <c r="H1119" s="7" t="str">
        <f t="shared" si="68"/>
        <v/>
      </c>
      <c r="I1119" s="7" t="str">
        <f>IF(AND(ISBLANK(D1119),ISBLANK(C1119)),"",((VLOOKUP(D1119,Cardápio!$A$2:$C$16,3,0))*E1119)+IF(B1119="iFood",F1119*0.27,(VLOOKUP(VENDAS!C1119,Bairros!$A$2:$B$90,2,0))))</f>
        <v/>
      </c>
      <c r="J1119" s="7" t="str">
        <f t="shared" si="69"/>
        <v/>
      </c>
      <c r="K1119" s="9">
        <f t="shared" ca="1" si="70"/>
        <v>45404.878290162036</v>
      </c>
      <c r="L1119" s="10">
        <f t="shared" ca="1" si="71"/>
        <v>45404.878290046297</v>
      </c>
    </row>
    <row r="1120" spans="6:12" x14ac:dyDescent="0.25">
      <c r="F1120" s="11" t="str">
        <f>IF(ISBLANK(D1120),"",(VLOOKUP(D1120,Cardápio!$A$2:$B$16,2,0))*E1120)</f>
        <v/>
      </c>
      <c r="H1120" s="7" t="str">
        <f t="shared" si="68"/>
        <v/>
      </c>
      <c r="I1120" s="7" t="str">
        <f>IF(AND(ISBLANK(D1120),ISBLANK(C1120)),"",((VLOOKUP(D1120,Cardápio!$A$2:$C$16,3,0))*E1120)+IF(B1120="iFood",F1120*0.27,(VLOOKUP(VENDAS!C1120,Bairros!$A$2:$B$90,2,0))))</f>
        <v/>
      </c>
      <c r="J1120" s="7" t="str">
        <f t="shared" si="69"/>
        <v/>
      </c>
      <c r="K1120" s="9">
        <f t="shared" ca="1" si="70"/>
        <v>45404.878290162036</v>
      </c>
      <c r="L1120" s="10">
        <f t="shared" ca="1" si="71"/>
        <v>45404.878290046297</v>
      </c>
    </row>
    <row r="1121" spans="6:12" x14ac:dyDescent="0.25">
      <c r="F1121" s="11" t="str">
        <f>IF(ISBLANK(D1121),"",(VLOOKUP(D1121,Cardápio!$A$2:$B$16,2,0))*E1121)</f>
        <v/>
      </c>
      <c r="H1121" s="7" t="str">
        <f t="shared" si="68"/>
        <v/>
      </c>
      <c r="I1121" s="7" t="str">
        <f>IF(AND(ISBLANK(D1121),ISBLANK(C1121)),"",((VLOOKUP(D1121,Cardápio!$A$2:$C$16,3,0))*E1121)+IF(B1121="iFood",F1121*0.27,(VLOOKUP(VENDAS!C1121,Bairros!$A$2:$B$90,2,0))))</f>
        <v/>
      </c>
      <c r="J1121" s="7" t="str">
        <f t="shared" si="69"/>
        <v/>
      </c>
      <c r="K1121" s="9">
        <f t="shared" ca="1" si="70"/>
        <v>45404.878290162036</v>
      </c>
      <c r="L1121" s="10">
        <f t="shared" ca="1" si="71"/>
        <v>45404.878290046297</v>
      </c>
    </row>
    <row r="1122" spans="6:12" x14ac:dyDescent="0.25">
      <c r="F1122" s="11" t="str">
        <f>IF(ISBLANK(D1122),"",(VLOOKUP(D1122,Cardápio!$A$2:$B$16,2,0))*E1122)</f>
        <v/>
      </c>
      <c r="H1122" s="7" t="str">
        <f t="shared" si="68"/>
        <v/>
      </c>
      <c r="I1122" s="7" t="str">
        <f>IF(AND(ISBLANK(D1122),ISBLANK(C1122)),"",((VLOOKUP(D1122,Cardápio!$A$2:$C$16,3,0))*E1122)+IF(B1122="iFood",F1122*0.27,(VLOOKUP(VENDAS!C1122,Bairros!$A$2:$B$90,2,0))))</f>
        <v/>
      </c>
      <c r="J1122" s="7" t="str">
        <f t="shared" si="69"/>
        <v/>
      </c>
      <c r="K1122" s="9">
        <f t="shared" ca="1" si="70"/>
        <v>45404.878290162036</v>
      </c>
      <c r="L1122" s="10">
        <f t="shared" ca="1" si="71"/>
        <v>45404.878290046297</v>
      </c>
    </row>
    <row r="1123" spans="6:12" x14ac:dyDescent="0.25">
      <c r="F1123" s="11" t="str">
        <f>IF(ISBLANK(D1123),"",(VLOOKUP(D1123,Cardápio!$A$2:$B$16,2,0))*E1123)</f>
        <v/>
      </c>
      <c r="H1123" s="7" t="str">
        <f t="shared" si="68"/>
        <v/>
      </c>
      <c r="I1123" s="7" t="str">
        <f>IF(AND(ISBLANK(D1123),ISBLANK(C1123)),"",((VLOOKUP(D1123,Cardápio!$A$2:$C$16,3,0))*E1123)+IF(B1123="iFood",F1123*0.27,(VLOOKUP(VENDAS!C1123,Bairros!$A$2:$B$90,2,0))))</f>
        <v/>
      </c>
      <c r="J1123" s="7" t="str">
        <f t="shared" si="69"/>
        <v/>
      </c>
      <c r="K1123" s="9">
        <f t="shared" ca="1" si="70"/>
        <v>45404.878290162036</v>
      </c>
      <c r="L1123" s="10">
        <f t="shared" ca="1" si="71"/>
        <v>45404.878290046297</v>
      </c>
    </row>
    <row r="1124" spans="6:12" x14ac:dyDescent="0.25">
      <c r="F1124" s="11" t="str">
        <f>IF(ISBLANK(D1124),"",(VLOOKUP(D1124,Cardápio!$A$2:$B$16,2,0))*E1124)</f>
        <v/>
      </c>
      <c r="H1124" s="7" t="str">
        <f t="shared" si="68"/>
        <v/>
      </c>
      <c r="I1124" s="7" t="str">
        <f>IF(AND(ISBLANK(D1124),ISBLANK(C1124)),"",((VLOOKUP(D1124,Cardápio!$A$2:$C$16,3,0))*E1124)+IF(B1124="iFood",F1124*0.27,(VLOOKUP(VENDAS!C1124,Bairros!$A$2:$B$90,2,0))))</f>
        <v/>
      </c>
      <c r="J1124" s="7" t="str">
        <f t="shared" si="69"/>
        <v/>
      </c>
      <c r="K1124" s="9">
        <f t="shared" ca="1" si="70"/>
        <v>45404.878290162036</v>
      </c>
      <c r="L1124" s="10">
        <f t="shared" ca="1" si="71"/>
        <v>45404.878290046297</v>
      </c>
    </row>
    <row r="1125" spans="6:12" x14ac:dyDescent="0.25">
      <c r="F1125" s="11" t="str">
        <f>IF(ISBLANK(D1125),"",(VLOOKUP(D1125,Cardápio!$A$2:$B$16,2,0))*E1125)</f>
        <v/>
      </c>
      <c r="H1125" s="7" t="str">
        <f t="shared" si="68"/>
        <v/>
      </c>
      <c r="I1125" s="7" t="str">
        <f>IF(AND(ISBLANK(D1125),ISBLANK(C1125)),"",((VLOOKUP(D1125,Cardápio!$A$2:$C$16,3,0))*E1125)+IF(B1125="iFood",F1125*0.27,(VLOOKUP(VENDAS!C1125,Bairros!$A$2:$B$90,2,0))))</f>
        <v/>
      </c>
      <c r="J1125" s="7" t="str">
        <f t="shared" si="69"/>
        <v/>
      </c>
      <c r="K1125" s="9">
        <f t="shared" ca="1" si="70"/>
        <v>45404.878290162036</v>
      </c>
      <c r="L1125" s="10">
        <f t="shared" ca="1" si="71"/>
        <v>45404.878290046297</v>
      </c>
    </row>
    <row r="1126" spans="6:12" x14ac:dyDescent="0.25">
      <c r="F1126" s="11" t="str">
        <f>IF(ISBLANK(D1126),"",(VLOOKUP(D1126,Cardápio!$A$2:$B$16,2,0))*E1126)</f>
        <v/>
      </c>
      <c r="H1126" s="7" t="str">
        <f t="shared" si="68"/>
        <v/>
      </c>
      <c r="I1126" s="7" t="str">
        <f>IF(AND(ISBLANK(D1126),ISBLANK(C1126)),"",((VLOOKUP(D1126,Cardápio!$A$2:$C$16,3,0))*E1126)+IF(B1126="iFood",F1126*0.27,(VLOOKUP(VENDAS!C1126,Bairros!$A$2:$B$90,2,0))))</f>
        <v/>
      </c>
      <c r="J1126" s="7" t="str">
        <f t="shared" si="69"/>
        <v/>
      </c>
      <c r="K1126" s="9">
        <f t="shared" ca="1" si="70"/>
        <v>45404.878290162036</v>
      </c>
      <c r="L1126" s="10">
        <f t="shared" ca="1" si="71"/>
        <v>45404.878290046297</v>
      </c>
    </row>
    <row r="1127" spans="6:12" x14ac:dyDescent="0.25">
      <c r="F1127" s="11" t="str">
        <f>IF(ISBLANK(D1127),"",(VLOOKUP(D1127,Cardápio!$A$2:$B$16,2,0))*E1127)</f>
        <v/>
      </c>
      <c r="H1127" s="7" t="str">
        <f t="shared" si="68"/>
        <v/>
      </c>
      <c r="I1127" s="7" t="str">
        <f>IF(AND(ISBLANK(D1127),ISBLANK(C1127)),"",((VLOOKUP(D1127,Cardápio!$A$2:$C$16,3,0))*E1127)+IF(B1127="iFood",F1127*0.27,(VLOOKUP(VENDAS!C1127,Bairros!$A$2:$B$90,2,0))))</f>
        <v/>
      </c>
      <c r="J1127" s="7" t="str">
        <f t="shared" si="69"/>
        <v/>
      </c>
      <c r="K1127" s="9">
        <f t="shared" ca="1" si="70"/>
        <v>45404.878290162036</v>
      </c>
      <c r="L1127" s="10">
        <f t="shared" ca="1" si="71"/>
        <v>45404.878290046297</v>
      </c>
    </row>
    <row r="1128" spans="6:12" x14ac:dyDescent="0.25">
      <c r="F1128" s="11" t="str">
        <f>IF(ISBLANK(D1128),"",(VLOOKUP(D1128,Cardápio!$A$2:$B$16,2,0))*E1128)</f>
        <v/>
      </c>
      <c r="H1128" s="7" t="str">
        <f t="shared" si="68"/>
        <v/>
      </c>
      <c r="I1128" s="7" t="str">
        <f>IF(AND(ISBLANK(D1128),ISBLANK(C1128)),"",((VLOOKUP(D1128,Cardápio!$A$2:$C$16,3,0))*E1128)+IF(B1128="iFood",F1128*0.27,(VLOOKUP(VENDAS!C1128,Bairros!$A$2:$B$90,2,0))))</f>
        <v/>
      </c>
      <c r="J1128" s="7" t="str">
        <f t="shared" si="69"/>
        <v/>
      </c>
      <c r="K1128" s="9">
        <f t="shared" ca="1" si="70"/>
        <v>45404.878290162036</v>
      </c>
      <c r="L1128" s="10">
        <f t="shared" ca="1" si="71"/>
        <v>45404.878290046297</v>
      </c>
    </row>
    <row r="1129" spans="6:12" x14ac:dyDescent="0.25">
      <c r="F1129" s="11" t="str">
        <f>IF(ISBLANK(D1129),"",(VLOOKUP(D1129,Cardápio!$A$2:$B$16,2,0))*E1129)</f>
        <v/>
      </c>
      <c r="H1129" s="7" t="str">
        <f t="shared" si="68"/>
        <v/>
      </c>
      <c r="I1129" s="7" t="str">
        <f>IF(AND(ISBLANK(D1129),ISBLANK(C1129)),"",((VLOOKUP(D1129,Cardápio!$A$2:$C$16,3,0))*E1129)+IF(B1129="iFood",F1129*0.27,(VLOOKUP(VENDAS!C1129,Bairros!$A$2:$B$90,2,0))))</f>
        <v/>
      </c>
      <c r="J1129" s="7" t="str">
        <f t="shared" si="69"/>
        <v/>
      </c>
      <c r="K1129" s="9">
        <f t="shared" ca="1" si="70"/>
        <v>45404.878290162036</v>
      </c>
      <c r="L1129" s="10">
        <f t="shared" ca="1" si="71"/>
        <v>45404.878290046297</v>
      </c>
    </row>
    <row r="1130" spans="6:12" x14ac:dyDescent="0.25">
      <c r="F1130" s="11" t="str">
        <f>IF(ISBLANK(D1130),"",(VLOOKUP(D1130,Cardápio!$A$2:$B$16,2,0))*E1130)</f>
        <v/>
      </c>
      <c r="H1130" s="7" t="str">
        <f t="shared" si="68"/>
        <v/>
      </c>
      <c r="I1130" s="7" t="str">
        <f>IF(AND(ISBLANK(D1130),ISBLANK(C1130)),"",((VLOOKUP(D1130,Cardápio!$A$2:$C$16,3,0))*E1130)+IF(B1130="iFood",F1130*0.27,(VLOOKUP(VENDAS!C1130,Bairros!$A$2:$B$90,2,0))))</f>
        <v/>
      </c>
      <c r="J1130" s="7" t="str">
        <f t="shared" si="69"/>
        <v/>
      </c>
      <c r="K1130" s="9">
        <f t="shared" ca="1" si="70"/>
        <v>45404.878290162036</v>
      </c>
      <c r="L1130" s="10">
        <f t="shared" ca="1" si="71"/>
        <v>45404.878290046297</v>
      </c>
    </row>
    <row r="1131" spans="6:12" x14ac:dyDescent="0.25">
      <c r="F1131" s="11" t="str">
        <f>IF(ISBLANK(D1131),"",(VLOOKUP(D1131,Cardápio!$A$2:$B$16,2,0))*E1131)</f>
        <v/>
      </c>
      <c r="H1131" s="7" t="str">
        <f t="shared" si="68"/>
        <v/>
      </c>
      <c r="I1131" s="7" t="str">
        <f>IF(AND(ISBLANK(D1131),ISBLANK(C1131)),"",((VLOOKUP(D1131,Cardápio!$A$2:$C$16,3,0))*E1131)+IF(B1131="iFood",F1131*0.27,(VLOOKUP(VENDAS!C1131,Bairros!$A$2:$B$90,2,0))))</f>
        <v/>
      </c>
      <c r="J1131" s="7" t="str">
        <f t="shared" si="69"/>
        <v/>
      </c>
      <c r="K1131" s="9">
        <f t="shared" ca="1" si="70"/>
        <v>45404.878290162036</v>
      </c>
      <c r="L1131" s="10">
        <f t="shared" ca="1" si="71"/>
        <v>45404.878290046297</v>
      </c>
    </row>
    <row r="1132" spans="6:12" x14ac:dyDescent="0.25">
      <c r="F1132" s="11" t="str">
        <f>IF(ISBLANK(D1132),"",(VLOOKUP(D1132,Cardápio!$A$2:$B$16,2,0))*E1132)</f>
        <v/>
      </c>
      <c r="H1132" s="7" t="str">
        <f t="shared" si="68"/>
        <v/>
      </c>
      <c r="I1132" s="7" t="str">
        <f>IF(AND(ISBLANK(D1132),ISBLANK(C1132)),"",((VLOOKUP(D1132,Cardápio!$A$2:$C$16,3,0))*E1132)+IF(B1132="iFood",F1132*0.27,(VLOOKUP(VENDAS!C1132,Bairros!$A$2:$B$90,2,0))))</f>
        <v/>
      </c>
      <c r="J1132" s="7" t="str">
        <f t="shared" si="69"/>
        <v/>
      </c>
      <c r="K1132" s="9">
        <f t="shared" ca="1" si="70"/>
        <v>45404.878290162036</v>
      </c>
      <c r="L1132" s="10">
        <f t="shared" ca="1" si="71"/>
        <v>45404.878290046297</v>
      </c>
    </row>
    <row r="1133" spans="6:12" x14ac:dyDescent="0.25">
      <c r="F1133" s="11" t="str">
        <f>IF(ISBLANK(D1133),"",(VLOOKUP(D1133,Cardápio!$A$2:$B$16,2,0))*E1133)</f>
        <v/>
      </c>
      <c r="H1133" s="7" t="str">
        <f t="shared" si="68"/>
        <v/>
      </c>
      <c r="I1133" s="7" t="str">
        <f>IF(AND(ISBLANK(D1133),ISBLANK(C1133)),"",((VLOOKUP(D1133,Cardápio!$A$2:$C$16,3,0))*E1133)+IF(B1133="iFood",F1133*0.27,(VLOOKUP(VENDAS!C1133,Bairros!$A$2:$B$90,2,0))))</f>
        <v/>
      </c>
      <c r="J1133" s="7" t="str">
        <f t="shared" si="69"/>
        <v/>
      </c>
      <c r="K1133" s="9">
        <f t="shared" ca="1" si="70"/>
        <v>45404.878290162036</v>
      </c>
      <c r="L1133" s="10">
        <f t="shared" ca="1" si="71"/>
        <v>45404.878290046297</v>
      </c>
    </row>
    <row r="1134" spans="6:12" x14ac:dyDescent="0.25">
      <c r="F1134" s="11" t="str">
        <f>IF(ISBLANK(D1134),"",(VLOOKUP(D1134,Cardápio!$A$2:$B$16,2,0))*E1134)</f>
        <v/>
      </c>
      <c r="H1134" s="7" t="str">
        <f t="shared" si="68"/>
        <v/>
      </c>
      <c r="I1134" s="7" t="str">
        <f>IF(AND(ISBLANK(D1134),ISBLANK(C1134)),"",((VLOOKUP(D1134,Cardápio!$A$2:$C$16,3,0))*E1134)+IF(B1134="iFood",F1134*0.27,(VLOOKUP(VENDAS!C1134,Bairros!$A$2:$B$90,2,0))))</f>
        <v/>
      </c>
      <c r="J1134" s="7" t="str">
        <f t="shared" si="69"/>
        <v/>
      </c>
      <c r="K1134" s="9">
        <f t="shared" ca="1" si="70"/>
        <v>45404.878290162036</v>
      </c>
      <c r="L1134" s="10">
        <f t="shared" ca="1" si="71"/>
        <v>45404.878290046297</v>
      </c>
    </row>
    <row r="1135" spans="6:12" x14ac:dyDescent="0.25">
      <c r="F1135" s="11" t="str">
        <f>IF(ISBLANK(D1135),"",(VLOOKUP(D1135,Cardápio!$A$2:$B$16,2,0))*E1135)</f>
        <v/>
      </c>
      <c r="H1135" s="7" t="str">
        <f t="shared" si="68"/>
        <v/>
      </c>
      <c r="I1135" s="7" t="str">
        <f>IF(AND(ISBLANK(D1135),ISBLANK(C1135)),"",((VLOOKUP(D1135,Cardápio!$A$2:$C$16,3,0))*E1135)+IF(B1135="iFood",F1135*0.27,(VLOOKUP(VENDAS!C1135,Bairros!$A$2:$B$90,2,0))))</f>
        <v/>
      </c>
      <c r="J1135" s="7" t="str">
        <f t="shared" si="69"/>
        <v/>
      </c>
      <c r="K1135" s="9">
        <f t="shared" ca="1" si="70"/>
        <v>45404.878290162036</v>
      </c>
      <c r="L1135" s="10">
        <f t="shared" ca="1" si="71"/>
        <v>45404.878290046297</v>
      </c>
    </row>
    <row r="1136" spans="6:12" x14ac:dyDescent="0.25">
      <c r="F1136" s="11" t="str">
        <f>IF(ISBLANK(D1136),"",(VLOOKUP(D1136,Cardápio!$A$2:$B$16,2,0))*E1136)</f>
        <v/>
      </c>
      <c r="H1136" s="7" t="str">
        <f t="shared" si="68"/>
        <v/>
      </c>
      <c r="I1136" s="7" t="str">
        <f>IF(AND(ISBLANK(D1136),ISBLANK(C1136)),"",((VLOOKUP(D1136,Cardápio!$A$2:$C$16,3,0))*E1136)+IF(B1136="iFood",F1136*0.27,(VLOOKUP(VENDAS!C1136,Bairros!$A$2:$B$90,2,0))))</f>
        <v/>
      </c>
      <c r="J1136" s="7" t="str">
        <f t="shared" si="69"/>
        <v/>
      </c>
      <c r="K1136" s="9">
        <f t="shared" ca="1" si="70"/>
        <v>45404.878290162036</v>
      </c>
      <c r="L1136" s="10">
        <f t="shared" ca="1" si="71"/>
        <v>45404.878290046297</v>
      </c>
    </row>
    <row r="1137" spans="6:12" x14ac:dyDescent="0.25">
      <c r="F1137" s="11" t="str">
        <f>IF(ISBLANK(D1137),"",(VLOOKUP(D1137,Cardápio!$A$2:$B$16,2,0))*E1137)</f>
        <v/>
      </c>
      <c r="H1137" s="7" t="str">
        <f t="shared" si="68"/>
        <v/>
      </c>
      <c r="I1137" s="7" t="str">
        <f>IF(AND(ISBLANK(D1137),ISBLANK(C1137)),"",((VLOOKUP(D1137,Cardápio!$A$2:$C$16,3,0))*E1137)+IF(B1137="iFood",F1137*0.27,(VLOOKUP(VENDAS!C1137,Bairros!$A$2:$B$90,2,0))))</f>
        <v/>
      </c>
      <c r="J1137" s="7" t="str">
        <f t="shared" si="69"/>
        <v/>
      </c>
      <c r="K1137" s="9">
        <f t="shared" ca="1" si="70"/>
        <v>45404.878290162036</v>
      </c>
      <c r="L1137" s="10">
        <f t="shared" ca="1" si="71"/>
        <v>45404.878290046297</v>
      </c>
    </row>
    <row r="1138" spans="6:12" x14ac:dyDescent="0.25">
      <c r="F1138" s="11" t="str">
        <f>IF(ISBLANK(D1138),"",(VLOOKUP(D1138,Cardápio!$A$2:$B$16,2,0))*E1138)</f>
        <v/>
      </c>
      <c r="H1138" s="7" t="str">
        <f t="shared" si="68"/>
        <v/>
      </c>
      <c r="I1138" s="7" t="str">
        <f>IF(AND(ISBLANK(D1138),ISBLANK(C1138)),"",((VLOOKUP(D1138,Cardápio!$A$2:$C$16,3,0))*E1138)+IF(B1138="iFood",F1138*0.27,(VLOOKUP(VENDAS!C1138,Bairros!$A$2:$B$90,2,0))))</f>
        <v/>
      </c>
      <c r="J1138" s="7" t="str">
        <f t="shared" si="69"/>
        <v/>
      </c>
      <c r="K1138" s="9">
        <f t="shared" ca="1" si="70"/>
        <v>45404.878290162036</v>
      </c>
      <c r="L1138" s="10">
        <f t="shared" ca="1" si="71"/>
        <v>45404.878290046297</v>
      </c>
    </row>
    <row r="1139" spans="6:12" x14ac:dyDescent="0.25">
      <c r="F1139" s="11" t="str">
        <f>IF(ISBLANK(D1139),"",(VLOOKUP(D1139,Cardápio!$A$2:$B$16,2,0))*E1139)</f>
        <v/>
      </c>
      <c r="H1139" s="7" t="str">
        <f t="shared" si="68"/>
        <v/>
      </c>
      <c r="I1139" s="7" t="str">
        <f>IF(AND(ISBLANK(D1139),ISBLANK(C1139)),"",((VLOOKUP(D1139,Cardápio!$A$2:$C$16,3,0))*E1139)+IF(B1139="iFood",F1139*0.27,(VLOOKUP(VENDAS!C1139,Bairros!$A$2:$B$90,2,0))))</f>
        <v/>
      </c>
      <c r="J1139" s="7" t="str">
        <f t="shared" si="69"/>
        <v/>
      </c>
      <c r="K1139" s="9">
        <f t="shared" ca="1" si="70"/>
        <v>45404.878290162036</v>
      </c>
      <c r="L1139" s="10">
        <f t="shared" ca="1" si="71"/>
        <v>45404.878290046297</v>
      </c>
    </row>
    <row r="1140" spans="6:12" x14ac:dyDescent="0.25">
      <c r="F1140" s="11" t="str">
        <f>IF(ISBLANK(D1140),"",(VLOOKUP(D1140,Cardápio!$A$2:$B$16,2,0))*E1140)</f>
        <v/>
      </c>
      <c r="H1140" s="7" t="str">
        <f t="shared" si="68"/>
        <v/>
      </c>
      <c r="I1140" s="7" t="str">
        <f>IF(AND(ISBLANK(D1140),ISBLANK(C1140)),"",((VLOOKUP(D1140,Cardápio!$A$2:$C$16,3,0))*E1140)+IF(B1140="iFood",F1140*0.27,(VLOOKUP(VENDAS!C1140,Bairros!$A$2:$B$90,2,0))))</f>
        <v/>
      </c>
      <c r="J1140" s="7" t="str">
        <f t="shared" si="69"/>
        <v/>
      </c>
      <c r="K1140" s="9">
        <f t="shared" ca="1" si="70"/>
        <v>45404.878290162036</v>
      </c>
      <c r="L1140" s="10">
        <f t="shared" ca="1" si="71"/>
        <v>45404.878290046297</v>
      </c>
    </row>
    <row r="1141" spans="6:12" x14ac:dyDescent="0.25">
      <c r="F1141" s="11" t="str">
        <f>IF(ISBLANK(D1141),"",(VLOOKUP(D1141,Cardápio!$A$2:$B$16,2,0))*E1141)</f>
        <v/>
      </c>
      <c r="H1141" s="7" t="str">
        <f t="shared" ref="H1141:H1204" si="72">IF(ISBLANK(D1141),"",F1141-G1141)</f>
        <v/>
      </c>
      <c r="I1141" s="7" t="str">
        <f>IF(AND(ISBLANK(D1141),ISBLANK(C1141)),"",((VLOOKUP(D1141,Cardápio!$A$2:$C$16,3,0))*E1141)+IF(B1141="iFood",F1141*0.27,(VLOOKUP(VENDAS!C1141,Bairros!$A$2:$B$90,2,0))))</f>
        <v/>
      </c>
      <c r="J1141" s="7" t="str">
        <f t="shared" ref="J1141:J1204" si="73">IF(OR(AND(ISBLANK(H1141),ISBLANK(I1141)),(AND(H1141="",I1141=""))),"",H1141-I1141)</f>
        <v/>
      </c>
      <c r="K1141" s="9">
        <f t="shared" ref="K1141:K1204" ca="1" si="74">IF(D1141&lt;&gt;"",K1141,NOW())</f>
        <v>45404.878290162036</v>
      </c>
      <c r="L1141" s="10">
        <f t="shared" ref="L1141:L1204" ca="1" si="75">IF(D1141&lt;&gt;"",L1141,NOW())</f>
        <v>45404.878290046297</v>
      </c>
    </row>
    <row r="1142" spans="6:12" x14ac:dyDescent="0.25">
      <c r="F1142" s="11" t="str">
        <f>IF(ISBLANK(D1142),"",(VLOOKUP(D1142,Cardápio!$A$2:$B$16,2,0))*E1142)</f>
        <v/>
      </c>
      <c r="H1142" s="7" t="str">
        <f t="shared" si="72"/>
        <v/>
      </c>
      <c r="I1142" s="7" t="str">
        <f>IF(AND(ISBLANK(D1142),ISBLANK(C1142)),"",((VLOOKUP(D1142,Cardápio!$A$2:$C$16,3,0))*E1142)+IF(B1142="iFood",F1142*0.27,(VLOOKUP(VENDAS!C1142,Bairros!$A$2:$B$90,2,0))))</f>
        <v/>
      </c>
      <c r="J1142" s="7" t="str">
        <f t="shared" si="73"/>
        <v/>
      </c>
      <c r="K1142" s="9">
        <f t="shared" ca="1" si="74"/>
        <v>45404.878290162036</v>
      </c>
      <c r="L1142" s="10">
        <f t="shared" ca="1" si="75"/>
        <v>45404.878290046297</v>
      </c>
    </row>
    <row r="1143" spans="6:12" x14ac:dyDescent="0.25">
      <c r="F1143" s="11" t="str">
        <f>IF(ISBLANK(D1143),"",(VLOOKUP(D1143,Cardápio!$A$2:$B$16,2,0))*E1143)</f>
        <v/>
      </c>
      <c r="H1143" s="7" t="str">
        <f t="shared" si="72"/>
        <v/>
      </c>
      <c r="I1143" s="7" t="str">
        <f>IF(AND(ISBLANK(D1143),ISBLANK(C1143)),"",((VLOOKUP(D1143,Cardápio!$A$2:$C$16,3,0))*E1143)+IF(B1143="iFood",F1143*0.27,(VLOOKUP(VENDAS!C1143,Bairros!$A$2:$B$90,2,0))))</f>
        <v/>
      </c>
      <c r="J1143" s="7" t="str">
        <f t="shared" si="73"/>
        <v/>
      </c>
      <c r="K1143" s="9">
        <f t="shared" ca="1" si="74"/>
        <v>45404.878290162036</v>
      </c>
      <c r="L1143" s="10">
        <f t="shared" ca="1" si="75"/>
        <v>45404.878290046297</v>
      </c>
    </row>
    <row r="1144" spans="6:12" x14ac:dyDescent="0.25">
      <c r="F1144" s="11" t="str">
        <f>IF(ISBLANK(D1144),"",(VLOOKUP(D1144,Cardápio!$A$2:$B$16,2,0))*E1144)</f>
        <v/>
      </c>
      <c r="H1144" s="7" t="str">
        <f t="shared" si="72"/>
        <v/>
      </c>
      <c r="I1144" s="7" t="str">
        <f>IF(AND(ISBLANK(D1144),ISBLANK(C1144)),"",((VLOOKUP(D1144,Cardápio!$A$2:$C$16,3,0))*E1144)+IF(B1144="iFood",F1144*0.27,(VLOOKUP(VENDAS!C1144,Bairros!$A$2:$B$90,2,0))))</f>
        <v/>
      </c>
      <c r="J1144" s="7" t="str">
        <f t="shared" si="73"/>
        <v/>
      </c>
      <c r="K1144" s="9">
        <f t="shared" ca="1" si="74"/>
        <v>45404.878290162036</v>
      </c>
      <c r="L1144" s="10">
        <f t="shared" ca="1" si="75"/>
        <v>45404.878290046297</v>
      </c>
    </row>
    <row r="1145" spans="6:12" x14ac:dyDescent="0.25">
      <c r="F1145" s="11" t="str">
        <f>IF(ISBLANK(D1145),"",(VLOOKUP(D1145,Cardápio!$A$2:$B$16,2,0))*E1145)</f>
        <v/>
      </c>
      <c r="H1145" s="7" t="str">
        <f t="shared" si="72"/>
        <v/>
      </c>
      <c r="I1145" s="7" t="str">
        <f>IF(AND(ISBLANK(D1145),ISBLANK(C1145)),"",((VLOOKUP(D1145,Cardápio!$A$2:$C$16,3,0))*E1145)+IF(B1145="iFood",F1145*0.27,(VLOOKUP(VENDAS!C1145,Bairros!$A$2:$B$90,2,0))))</f>
        <v/>
      </c>
      <c r="J1145" s="7" t="str">
        <f t="shared" si="73"/>
        <v/>
      </c>
      <c r="K1145" s="9">
        <f t="shared" ca="1" si="74"/>
        <v>45404.878290162036</v>
      </c>
      <c r="L1145" s="10">
        <f t="shared" ca="1" si="75"/>
        <v>45404.878290046297</v>
      </c>
    </row>
    <row r="1146" spans="6:12" x14ac:dyDescent="0.25">
      <c r="F1146" s="11" t="str">
        <f>IF(ISBLANK(D1146),"",(VLOOKUP(D1146,Cardápio!$A$2:$B$16,2,0))*E1146)</f>
        <v/>
      </c>
      <c r="H1146" s="7" t="str">
        <f t="shared" si="72"/>
        <v/>
      </c>
      <c r="I1146" s="7" t="str">
        <f>IF(AND(ISBLANK(D1146),ISBLANK(C1146)),"",((VLOOKUP(D1146,Cardápio!$A$2:$C$16,3,0))*E1146)+IF(B1146="iFood",F1146*0.27,(VLOOKUP(VENDAS!C1146,Bairros!$A$2:$B$90,2,0))))</f>
        <v/>
      </c>
      <c r="J1146" s="7" t="str">
        <f t="shared" si="73"/>
        <v/>
      </c>
      <c r="K1146" s="9">
        <f t="shared" ca="1" si="74"/>
        <v>45404.878290162036</v>
      </c>
      <c r="L1146" s="10">
        <f t="shared" ca="1" si="75"/>
        <v>45404.878290046297</v>
      </c>
    </row>
    <row r="1147" spans="6:12" x14ac:dyDescent="0.25">
      <c r="F1147" s="11" t="str">
        <f>IF(ISBLANK(D1147),"",(VLOOKUP(D1147,Cardápio!$A$2:$B$16,2,0))*E1147)</f>
        <v/>
      </c>
      <c r="H1147" s="7" t="str">
        <f t="shared" si="72"/>
        <v/>
      </c>
      <c r="I1147" s="7" t="str">
        <f>IF(AND(ISBLANK(D1147),ISBLANK(C1147)),"",((VLOOKUP(D1147,Cardápio!$A$2:$C$16,3,0))*E1147)+IF(B1147="iFood",F1147*0.27,(VLOOKUP(VENDAS!C1147,Bairros!$A$2:$B$90,2,0))))</f>
        <v/>
      </c>
      <c r="J1147" s="7" t="str">
        <f t="shared" si="73"/>
        <v/>
      </c>
      <c r="K1147" s="9">
        <f t="shared" ca="1" si="74"/>
        <v>45404.878290162036</v>
      </c>
      <c r="L1147" s="10">
        <f t="shared" ca="1" si="75"/>
        <v>45404.878290046297</v>
      </c>
    </row>
    <row r="1148" spans="6:12" x14ac:dyDescent="0.25">
      <c r="F1148" s="11" t="str">
        <f>IF(ISBLANK(D1148),"",(VLOOKUP(D1148,Cardápio!$A$2:$B$16,2,0))*E1148)</f>
        <v/>
      </c>
      <c r="H1148" s="7" t="str">
        <f t="shared" si="72"/>
        <v/>
      </c>
      <c r="I1148" s="7" t="str">
        <f>IF(AND(ISBLANK(D1148),ISBLANK(C1148)),"",((VLOOKUP(D1148,Cardápio!$A$2:$C$16,3,0))*E1148)+IF(B1148="iFood",F1148*0.27,(VLOOKUP(VENDAS!C1148,Bairros!$A$2:$B$90,2,0))))</f>
        <v/>
      </c>
      <c r="J1148" s="7" t="str">
        <f t="shared" si="73"/>
        <v/>
      </c>
      <c r="K1148" s="9">
        <f t="shared" ca="1" si="74"/>
        <v>45404.878290162036</v>
      </c>
      <c r="L1148" s="10">
        <f t="shared" ca="1" si="75"/>
        <v>45404.878290046297</v>
      </c>
    </row>
    <row r="1149" spans="6:12" x14ac:dyDescent="0.25">
      <c r="F1149" s="11" t="str">
        <f>IF(ISBLANK(D1149),"",(VLOOKUP(D1149,Cardápio!$A$2:$B$16,2,0))*E1149)</f>
        <v/>
      </c>
      <c r="H1149" s="7" t="str">
        <f t="shared" si="72"/>
        <v/>
      </c>
      <c r="I1149" s="7" t="str">
        <f>IF(AND(ISBLANK(D1149),ISBLANK(C1149)),"",((VLOOKUP(D1149,Cardápio!$A$2:$C$16,3,0))*E1149)+IF(B1149="iFood",F1149*0.27,(VLOOKUP(VENDAS!C1149,Bairros!$A$2:$B$90,2,0))))</f>
        <v/>
      </c>
      <c r="J1149" s="7" t="str">
        <f t="shared" si="73"/>
        <v/>
      </c>
      <c r="K1149" s="9">
        <f t="shared" ca="1" si="74"/>
        <v>45404.878290162036</v>
      </c>
      <c r="L1149" s="10">
        <f t="shared" ca="1" si="75"/>
        <v>45404.878290046297</v>
      </c>
    </row>
    <row r="1150" spans="6:12" x14ac:dyDescent="0.25">
      <c r="F1150" s="11" t="str">
        <f>IF(ISBLANK(D1150),"",(VLOOKUP(D1150,Cardápio!$A$2:$B$16,2,0))*E1150)</f>
        <v/>
      </c>
      <c r="H1150" s="7" t="str">
        <f t="shared" si="72"/>
        <v/>
      </c>
      <c r="I1150" s="7" t="str">
        <f>IF(AND(ISBLANK(D1150),ISBLANK(C1150)),"",((VLOOKUP(D1150,Cardápio!$A$2:$C$16,3,0))*E1150)+IF(B1150="iFood",F1150*0.27,(VLOOKUP(VENDAS!C1150,Bairros!$A$2:$B$90,2,0))))</f>
        <v/>
      </c>
      <c r="J1150" s="7" t="str">
        <f t="shared" si="73"/>
        <v/>
      </c>
      <c r="K1150" s="9">
        <f t="shared" ca="1" si="74"/>
        <v>45404.878290162036</v>
      </c>
      <c r="L1150" s="10">
        <f t="shared" ca="1" si="75"/>
        <v>45404.878290046297</v>
      </c>
    </row>
    <row r="1151" spans="6:12" x14ac:dyDescent="0.25">
      <c r="F1151" s="11" t="str">
        <f>IF(ISBLANK(D1151),"",(VLOOKUP(D1151,Cardápio!$A$2:$B$16,2,0))*E1151)</f>
        <v/>
      </c>
      <c r="H1151" s="7" t="str">
        <f t="shared" si="72"/>
        <v/>
      </c>
      <c r="I1151" s="7" t="str">
        <f>IF(AND(ISBLANK(D1151),ISBLANK(C1151)),"",((VLOOKUP(D1151,Cardápio!$A$2:$C$16,3,0))*E1151)+IF(B1151="iFood",F1151*0.27,(VLOOKUP(VENDAS!C1151,Bairros!$A$2:$B$90,2,0))))</f>
        <v/>
      </c>
      <c r="J1151" s="7" t="str">
        <f t="shared" si="73"/>
        <v/>
      </c>
      <c r="K1151" s="9">
        <f t="shared" ca="1" si="74"/>
        <v>45404.878290162036</v>
      </c>
      <c r="L1151" s="10">
        <f t="shared" ca="1" si="75"/>
        <v>45404.878290046297</v>
      </c>
    </row>
    <row r="1152" spans="6:12" x14ac:dyDescent="0.25">
      <c r="F1152" s="11" t="str">
        <f>IF(ISBLANK(D1152),"",(VLOOKUP(D1152,Cardápio!$A$2:$B$16,2,0))*E1152)</f>
        <v/>
      </c>
      <c r="H1152" s="7" t="str">
        <f t="shared" si="72"/>
        <v/>
      </c>
      <c r="I1152" s="7" t="str">
        <f>IF(AND(ISBLANK(D1152),ISBLANK(C1152)),"",((VLOOKUP(D1152,Cardápio!$A$2:$C$16,3,0))*E1152)+IF(B1152="iFood",F1152*0.27,(VLOOKUP(VENDAS!C1152,Bairros!$A$2:$B$90,2,0))))</f>
        <v/>
      </c>
      <c r="J1152" s="7" t="str">
        <f t="shared" si="73"/>
        <v/>
      </c>
      <c r="K1152" s="9">
        <f t="shared" ca="1" si="74"/>
        <v>45404.878290162036</v>
      </c>
      <c r="L1152" s="10">
        <f t="shared" ca="1" si="75"/>
        <v>45404.878290046297</v>
      </c>
    </row>
    <row r="1153" spans="6:12" x14ac:dyDescent="0.25">
      <c r="F1153" s="11" t="str">
        <f>IF(ISBLANK(D1153),"",(VLOOKUP(D1153,Cardápio!$A$2:$B$16,2,0))*E1153)</f>
        <v/>
      </c>
      <c r="H1153" s="7" t="str">
        <f t="shared" si="72"/>
        <v/>
      </c>
      <c r="I1153" s="7" t="str">
        <f>IF(AND(ISBLANK(D1153),ISBLANK(C1153)),"",((VLOOKUP(D1153,Cardápio!$A$2:$C$16,3,0))*E1153)+IF(B1153="iFood",F1153*0.27,(VLOOKUP(VENDAS!C1153,Bairros!$A$2:$B$90,2,0))))</f>
        <v/>
      </c>
      <c r="J1153" s="7" t="str">
        <f t="shared" si="73"/>
        <v/>
      </c>
      <c r="K1153" s="9">
        <f t="shared" ca="1" si="74"/>
        <v>45404.878290162036</v>
      </c>
      <c r="L1153" s="10">
        <f t="shared" ca="1" si="75"/>
        <v>45404.878290046297</v>
      </c>
    </row>
    <row r="1154" spans="6:12" x14ac:dyDescent="0.25">
      <c r="F1154" s="11" t="str">
        <f>IF(ISBLANK(D1154),"",(VLOOKUP(D1154,Cardápio!$A$2:$B$16,2,0))*E1154)</f>
        <v/>
      </c>
      <c r="H1154" s="7" t="str">
        <f t="shared" si="72"/>
        <v/>
      </c>
      <c r="I1154" s="7" t="str">
        <f>IF(AND(ISBLANK(D1154),ISBLANK(C1154)),"",((VLOOKUP(D1154,Cardápio!$A$2:$C$16,3,0))*E1154)+IF(B1154="iFood",F1154*0.27,(VLOOKUP(VENDAS!C1154,Bairros!$A$2:$B$90,2,0))))</f>
        <v/>
      </c>
      <c r="J1154" s="7" t="str">
        <f t="shared" si="73"/>
        <v/>
      </c>
      <c r="K1154" s="9">
        <f t="shared" ca="1" si="74"/>
        <v>45404.878290162036</v>
      </c>
      <c r="L1154" s="10">
        <f t="shared" ca="1" si="75"/>
        <v>45404.878290046297</v>
      </c>
    </row>
    <row r="1155" spans="6:12" x14ac:dyDescent="0.25">
      <c r="F1155" s="11" t="str">
        <f>IF(ISBLANK(D1155),"",(VLOOKUP(D1155,Cardápio!$A$2:$B$16,2,0))*E1155)</f>
        <v/>
      </c>
      <c r="H1155" s="7" t="str">
        <f t="shared" si="72"/>
        <v/>
      </c>
      <c r="I1155" s="7" t="str">
        <f>IF(AND(ISBLANK(D1155),ISBLANK(C1155)),"",((VLOOKUP(D1155,Cardápio!$A$2:$C$16,3,0))*E1155)+IF(B1155="iFood",F1155*0.27,(VLOOKUP(VENDAS!C1155,Bairros!$A$2:$B$90,2,0))))</f>
        <v/>
      </c>
      <c r="J1155" s="7" t="str">
        <f t="shared" si="73"/>
        <v/>
      </c>
      <c r="K1155" s="9">
        <f t="shared" ca="1" si="74"/>
        <v>45404.878290162036</v>
      </c>
      <c r="L1155" s="10">
        <f t="shared" ca="1" si="75"/>
        <v>45404.878290046297</v>
      </c>
    </row>
    <row r="1156" spans="6:12" x14ac:dyDescent="0.25">
      <c r="F1156" s="11" t="str">
        <f>IF(ISBLANK(D1156),"",(VLOOKUP(D1156,Cardápio!$A$2:$B$16,2,0))*E1156)</f>
        <v/>
      </c>
      <c r="H1156" s="7" t="str">
        <f t="shared" si="72"/>
        <v/>
      </c>
      <c r="I1156" s="7" t="str">
        <f>IF(AND(ISBLANK(D1156),ISBLANK(C1156)),"",((VLOOKUP(D1156,Cardápio!$A$2:$C$16,3,0))*E1156)+IF(B1156="iFood",F1156*0.27,(VLOOKUP(VENDAS!C1156,Bairros!$A$2:$B$90,2,0))))</f>
        <v/>
      </c>
      <c r="J1156" s="7" t="str">
        <f t="shared" si="73"/>
        <v/>
      </c>
      <c r="K1156" s="9">
        <f t="shared" ca="1" si="74"/>
        <v>45404.878290162036</v>
      </c>
      <c r="L1156" s="10">
        <f t="shared" ca="1" si="75"/>
        <v>45404.878290046297</v>
      </c>
    </row>
    <row r="1157" spans="6:12" x14ac:dyDescent="0.25">
      <c r="F1157" s="11" t="str">
        <f>IF(ISBLANK(D1157),"",(VLOOKUP(D1157,Cardápio!$A$2:$B$16,2,0))*E1157)</f>
        <v/>
      </c>
      <c r="H1157" s="7" t="str">
        <f t="shared" si="72"/>
        <v/>
      </c>
      <c r="I1157" s="7" t="str">
        <f>IF(AND(ISBLANK(D1157),ISBLANK(C1157)),"",((VLOOKUP(D1157,Cardápio!$A$2:$C$16,3,0))*E1157)+IF(B1157="iFood",F1157*0.27,(VLOOKUP(VENDAS!C1157,Bairros!$A$2:$B$90,2,0))))</f>
        <v/>
      </c>
      <c r="J1157" s="7" t="str">
        <f t="shared" si="73"/>
        <v/>
      </c>
      <c r="K1157" s="9">
        <f t="shared" ca="1" si="74"/>
        <v>45404.878290162036</v>
      </c>
      <c r="L1157" s="10">
        <f t="shared" ca="1" si="75"/>
        <v>45404.878290046297</v>
      </c>
    </row>
    <row r="1158" spans="6:12" x14ac:dyDescent="0.25">
      <c r="F1158" s="11" t="str">
        <f>IF(ISBLANK(D1158),"",(VLOOKUP(D1158,Cardápio!$A$2:$B$16,2,0))*E1158)</f>
        <v/>
      </c>
      <c r="H1158" s="7" t="str">
        <f t="shared" si="72"/>
        <v/>
      </c>
      <c r="I1158" s="7" t="str">
        <f>IF(AND(ISBLANK(D1158),ISBLANK(C1158)),"",((VLOOKUP(D1158,Cardápio!$A$2:$C$16,3,0))*E1158)+IF(B1158="iFood",F1158*0.27,(VLOOKUP(VENDAS!C1158,Bairros!$A$2:$B$90,2,0))))</f>
        <v/>
      </c>
      <c r="J1158" s="7" t="str">
        <f t="shared" si="73"/>
        <v/>
      </c>
      <c r="K1158" s="9">
        <f t="shared" ca="1" si="74"/>
        <v>45404.878290162036</v>
      </c>
      <c r="L1158" s="10">
        <f t="shared" ca="1" si="75"/>
        <v>45404.878290046297</v>
      </c>
    </row>
    <row r="1159" spans="6:12" x14ac:dyDescent="0.25">
      <c r="F1159" s="11" t="str">
        <f>IF(ISBLANK(D1159),"",(VLOOKUP(D1159,Cardápio!$A$2:$B$16,2,0))*E1159)</f>
        <v/>
      </c>
      <c r="H1159" s="7" t="str">
        <f t="shared" si="72"/>
        <v/>
      </c>
      <c r="I1159" s="7" t="str">
        <f>IF(AND(ISBLANK(D1159),ISBLANK(C1159)),"",((VLOOKUP(D1159,Cardápio!$A$2:$C$16,3,0))*E1159)+IF(B1159="iFood",F1159*0.27,(VLOOKUP(VENDAS!C1159,Bairros!$A$2:$B$90,2,0))))</f>
        <v/>
      </c>
      <c r="J1159" s="7" t="str">
        <f t="shared" si="73"/>
        <v/>
      </c>
      <c r="K1159" s="9">
        <f t="shared" ca="1" si="74"/>
        <v>45404.878290162036</v>
      </c>
      <c r="L1159" s="10">
        <f t="shared" ca="1" si="75"/>
        <v>45404.878290046297</v>
      </c>
    </row>
    <row r="1160" spans="6:12" x14ac:dyDescent="0.25">
      <c r="F1160" s="11" t="str">
        <f>IF(ISBLANK(D1160),"",(VLOOKUP(D1160,Cardápio!$A$2:$B$16,2,0))*E1160)</f>
        <v/>
      </c>
      <c r="H1160" s="7" t="str">
        <f t="shared" si="72"/>
        <v/>
      </c>
      <c r="I1160" s="7" t="str">
        <f>IF(AND(ISBLANK(D1160),ISBLANK(C1160)),"",((VLOOKUP(D1160,Cardápio!$A$2:$C$16,3,0))*E1160)+IF(B1160="iFood",F1160*0.27,(VLOOKUP(VENDAS!C1160,Bairros!$A$2:$B$90,2,0))))</f>
        <v/>
      </c>
      <c r="J1160" s="7" t="str">
        <f t="shared" si="73"/>
        <v/>
      </c>
      <c r="K1160" s="9">
        <f t="shared" ca="1" si="74"/>
        <v>45404.878290162036</v>
      </c>
      <c r="L1160" s="10">
        <f t="shared" ca="1" si="75"/>
        <v>45404.878290046297</v>
      </c>
    </row>
    <row r="1161" spans="6:12" x14ac:dyDescent="0.25">
      <c r="F1161" s="11" t="str">
        <f>IF(ISBLANK(D1161),"",(VLOOKUP(D1161,Cardápio!$A$2:$B$16,2,0))*E1161)</f>
        <v/>
      </c>
      <c r="H1161" s="7" t="str">
        <f t="shared" si="72"/>
        <v/>
      </c>
      <c r="I1161" s="7" t="str">
        <f>IF(AND(ISBLANK(D1161),ISBLANK(C1161)),"",((VLOOKUP(D1161,Cardápio!$A$2:$C$16,3,0))*E1161)+IF(B1161="iFood",F1161*0.27,(VLOOKUP(VENDAS!C1161,Bairros!$A$2:$B$90,2,0))))</f>
        <v/>
      </c>
      <c r="J1161" s="7" t="str">
        <f t="shared" si="73"/>
        <v/>
      </c>
      <c r="K1161" s="9">
        <f t="shared" ca="1" si="74"/>
        <v>45404.878290162036</v>
      </c>
      <c r="L1161" s="10">
        <f t="shared" ca="1" si="75"/>
        <v>45404.878290046297</v>
      </c>
    </row>
    <row r="1162" spans="6:12" x14ac:dyDescent="0.25">
      <c r="F1162" s="11" t="str">
        <f>IF(ISBLANK(D1162),"",(VLOOKUP(D1162,Cardápio!$A$2:$B$16,2,0))*E1162)</f>
        <v/>
      </c>
      <c r="H1162" s="7" t="str">
        <f t="shared" si="72"/>
        <v/>
      </c>
      <c r="I1162" s="7" t="str">
        <f>IF(AND(ISBLANK(D1162),ISBLANK(C1162)),"",((VLOOKUP(D1162,Cardápio!$A$2:$C$16,3,0))*E1162)+IF(B1162="iFood",F1162*0.27,(VLOOKUP(VENDAS!C1162,Bairros!$A$2:$B$90,2,0))))</f>
        <v/>
      </c>
      <c r="J1162" s="7" t="str">
        <f t="shared" si="73"/>
        <v/>
      </c>
      <c r="K1162" s="9">
        <f t="shared" ca="1" si="74"/>
        <v>45404.878290162036</v>
      </c>
      <c r="L1162" s="10">
        <f t="shared" ca="1" si="75"/>
        <v>45404.878290046297</v>
      </c>
    </row>
    <row r="1163" spans="6:12" x14ac:dyDescent="0.25">
      <c r="F1163" s="11" t="str">
        <f>IF(ISBLANK(D1163),"",(VLOOKUP(D1163,Cardápio!$A$2:$B$16,2,0))*E1163)</f>
        <v/>
      </c>
      <c r="H1163" s="7" t="str">
        <f t="shared" si="72"/>
        <v/>
      </c>
      <c r="I1163" s="7" t="str">
        <f>IF(AND(ISBLANK(D1163),ISBLANK(C1163)),"",((VLOOKUP(D1163,Cardápio!$A$2:$C$16,3,0))*E1163)+IF(B1163="iFood",F1163*0.27,(VLOOKUP(VENDAS!C1163,Bairros!$A$2:$B$90,2,0))))</f>
        <v/>
      </c>
      <c r="J1163" s="7" t="str">
        <f t="shared" si="73"/>
        <v/>
      </c>
      <c r="K1163" s="9">
        <f t="shared" ca="1" si="74"/>
        <v>45404.878290162036</v>
      </c>
      <c r="L1163" s="10">
        <f t="shared" ca="1" si="75"/>
        <v>45404.878290046297</v>
      </c>
    </row>
    <row r="1164" spans="6:12" x14ac:dyDescent="0.25">
      <c r="F1164" s="11" t="str">
        <f>IF(ISBLANK(D1164),"",(VLOOKUP(D1164,Cardápio!$A$2:$B$16,2,0))*E1164)</f>
        <v/>
      </c>
      <c r="H1164" s="7" t="str">
        <f t="shared" si="72"/>
        <v/>
      </c>
      <c r="I1164" s="7" t="str">
        <f>IF(AND(ISBLANK(D1164),ISBLANK(C1164)),"",((VLOOKUP(D1164,Cardápio!$A$2:$C$16,3,0))*E1164)+IF(B1164="iFood",F1164*0.27,(VLOOKUP(VENDAS!C1164,Bairros!$A$2:$B$90,2,0))))</f>
        <v/>
      </c>
      <c r="J1164" s="7" t="str">
        <f t="shared" si="73"/>
        <v/>
      </c>
      <c r="K1164" s="9">
        <f t="shared" ca="1" si="74"/>
        <v>45404.878290162036</v>
      </c>
      <c r="L1164" s="10">
        <f t="shared" ca="1" si="75"/>
        <v>45404.878290046297</v>
      </c>
    </row>
    <row r="1165" spans="6:12" x14ac:dyDescent="0.25">
      <c r="F1165" s="11" t="str">
        <f>IF(ISBLANK(D1165),"",(VLOOKUP(D1165,Cardápio!$A$2:$B$16,2,0))*E1165)</f>
        <v/>
      </c>
      <c r="H1165" s="7" t="str">
        <f t="shared" si="72"/>
        <v/>
      </c>
      <c r="I1165" s="7" t="str">
        <f>IF(AND(ISBLANK(D1165),ISBLANK(C1165)),"",((VLOOKUP(D1165,Cardápio!$A$2:$C$16,3,0))*E1165)+IF(B1165="iFood",F1165*0.27,(VLOOKUP(VENDAS!C1165,Bairros!$A$2:$B$90,2,0))))</f>
        <v/>
      </c>
      <c r="J1165" s="7" t="str">
        <f t="shared" si="73"/>
        <v/>
      </c>
      <c r="K1165" s="9">
        <f t="shared" ca="1" si="74"/>
        <v>45404.878290162036</v>
      </c>
      <c r="L1165" s="10">
        <f t="shared" ca="1" si="75"/>
        <v>45404.878290046297</v>
      </c>
    </row>
    <row r="1166" spans="6:12" x14ac:dyDescent="0.25">
      <c r="F1166" s="11" t="str">
        <f>IF(ISBLANK(D1166),"",(VLOOKUP(D1166,Cardápio!$A$2:$B$16,2,0))*E1166)</f>
        <v/>
      </c>
      <c r="H1166" s="7" t="str">
        <f t="shared" si="72"/>
        <v/>
      </c>
      <c r="I1166" s="7" t="str">
        <f>IF(AND(ISBLANK(D1166),ISBLANK(C1166)),"",((VLOOKUP(D1166,Cardápio!$A$2:$C$16,3,0))*E1166)+IF(B1166="iFood",F1166*0.27,(VLOOKUP(VENDAS!C1166,Bairros!$A$2:$B$90,2,0))))</f>
        <v/>
      </c>
      <c r="J1166" s="7" t="str">
        <f t="shared" si="73"/>
        <v/>
      </c>
      <c r="K1166" s="9">
        <f t="shared" ca="1" si="74"/>
        <v>45404.878290162036</v>
      </c>
      <c r="L1166" s="10">
        <f t="shared" ca="1" si="75"/>
        <v>45404.878290046297</v>
      </c>
    </row>
    <row r="1167" spans="6:12" x14ac:dyDescent="0.25">
      <c r="F1167" s="11" t="str">
        <f>IF(ISBLANK(D1167),"",(VLOOKUP(D1167,Cardápio!$A$2:$B$16,2,0))*E1167)</f>
        <v/>
      </c>
      <c r="H1167" s="7" t="str">
        <f t="shared" si="72"/>
        <v/>
      </c>
      <c r="I1167" s="7" t="str">
        <f>IF(AND(ISBLANK(D1167),ISBLANK(C1167)),"",((VLOOKUP(D1167,Cardápio!$A$2:$C$16,3,0))*E1167)+IF(B1167="iFood",F1167*0.27,(VLOOKUP(VENDAS!C1167,Bairros!$A$2:$B$90,2,0))))</f>
        <v/>
      </c>
      <c r="J1167" s="7" t="str">
        <f t="shared" si="73"/>
        <v/>
      </c>
      <c r="K1167" s="9">
        <f t="shared" ca="1" si="74"/>
        <v>45404.878290162036</v>
      </c>
      <c r="L1167" s="10">
        <f t="shared" ca="1" si="75"/>
        <v>45404.878290046297</v>
      </c>
    </row>
    <row r="1168" spans="6:12" x14ac:dyDescent="0.25">
      <c r="F1168" s="11" t="str">
        <f>IF(ISBLANK(D1168),"",(VLOOKUP(D1168,Cardápio!$A$2:$B$16,2,0))*E1168)</f>
        <v/>
      </c>
      <c r="H1168" s="7" t="str">
        <f t="shared" si="72"/>
        <v/>
      </c>
      <c r="I1168" s="7" t="str">
        <f>IF(AND(ISBLANK(D1168),ISBLANK(C1168)),"",((VLOOKUP(D1168,Cardápio!$A$2:$C$16,3,0))*E1168)+IF(B1168="iFood",F1168*0.27,(VLOOKUP(VENDAS!C1168,Bairros!$A$2:$B$90,2,0))))</f>
        <v/>
      </c>
      <c r="J1168" s="7" t="str">
        <f t="shared" si="73"/>
        <v/>
      </c>
      <c r="K1168" s="9">
        <f t="shared" ca="1" si="74"/>
        <v>45404.878290162036</v>
      </c>
      <c r="L1168" s="10">
        <f t="shared" ca="1" si="75"/>
        <v>45404.878290046297</v>
      </c>
    </row>
    <row r="1169" spans="6:12" x14ac:dyDescent="0.25">
      <c r="F1169" s="11" t="str">
        <f>IF(ISBLANK(D1169),"",(VLOOKUP(D1169,Cardápio!$A$2:$B$16,2,0))*E1169)</f>
        <v/>
      </c>
      <c r="H1169" s="7" t="str">
        <f t="shared" si="72"/>
        <v/>
      </c>
      <c r="I1169" s="7" t="str">
        <f>IF(AND(ISBLANK(D1169),ISBLANK(C1169)),"",((VLOOKUP(D1169,Cardápio!$A$2:$C$16,3,0))*E1169)+IF(B1169="iFood",F1169*0.27,(VLOOKUP(VENDAS!C1169,Bairros!$A$2:$B$90,2,0))))</f>
        <v/>
      </c>
      <c r="J1169" s="7" t="str">
        <f t="shared" si="73"/>
        <v/>
      </c>
      <c r="K1169" s="9">
        <f t="shared" ca="1" si="74"/>
        <v>45404.878290162036</v>
      </c>
      <c r="L1169" s="10">
        <f t="shared" ca="1" si="75"/>
        <v>45404.878290046297</v>
      </c>
    </row>
    <row r="1170" spans="6:12" x14ac:dyDescent="0.25">
      <c r="F1170" s="11" t="str">
        <f>IF(ISBLANK(D1170),"",(VLOOKUP(D1170,Cardápio!$A$2:$B$16,2,0))*E1170)</f>
        <v/>
      </c>
      <c r="H1170" s="7" t="str">
        <f t="shared" si="72"/>
        <v/>
      </c>
      <c r="I1170" s="7" t="str">
        <f>IF(AND(ISBLANK(D1170),ISBLANK(C1170)),"",((VLOOKUP(D1170,Cardápio!$A$2:$C$16,3,0))*E1170)+IF(B1170="iFood",F1170*0.27,(VLOOKUP(VENDAS!C1170,Bairros!$A$2:$B$90,2,0))))</f>
        <v/>
      </c>
      <c r="J1170" s="7" t="str">
        <f t="shared" si="73"/>
        <v/>
      </c>
      <c r="K1170" s="9">
        <f t="shared" ca="1" si="74"/>
        <v>45404.878290162036</v>
      </c>
      <c r="L1170" s="10">
        <f t="shared" ca="1" si="75"/>
        <v>45404.878290046297</v>
      </c>
    </row>
    <row r="1171" spans="6:12" x14ac:dyDescent="0.25">
      <c r="F1171" s="11" t="str">
        <f>IF(ISBLANK(D1171),"",(VLOOKUP(D1171,Cardápio!$A$2:$B$16,2,0))*E1171)</f>
        <v/>
      </c>
      <c r="H1171" s="7" t="str">
        <f t="shared" si="72"/>
        <v/>
      </c>
      <c r="I1171" s="7" t="str">
        <f>IF(AND(ISBLANK(D1171),ISBLANK(C1171)),"",((VLOOKUP(D1171,Cardápio!$A$2:$C$16,3,0))*E1171)+IF(B1171="iFood",F1171*0.27,(VLOOKUP(VENDAS!C1171,Bairros!$A$2:$B$90,2,0))))</f>
        <v/>
      </c>
      <c r="J1171" s="7" t="str">
        <f t="shared" si="73"/>
        <v/>
      </c>
      <c r="K1171" s="9">
        <f t="shared" ca="1" si="74"/>
        <v>45404.878290162036</v>
      </c>
      <c r="L1171" s="10">
        <f t="shared" ca="1" si="75"/>
        <v>45404.878290046297</v>
      </c>
    </row>
    <row r="1172" spans="6:12" x14ac:dyDescent="0.25">
      <c r="F1172" s="11" t="str">
        <f>IF(ISBLANK(D1172),"",(VLOOKUP(D1172,Cardápio!$A$2:$B$16,2,0))*E1172)</f>
        <v/>
      </c>
      <c r="H1172" s="7" t="str">
        <f t="shared" si="72"/>
        <v/>
      </c>
      <c r="I1172" s="7" t="str">
        <f>IF(AND(ISBLANK(D1172),ISBLANK(C1172)),"",((VLOOKUP(D1172,Cardápio!$A$2:$C$16,3,0))*E1172)+IF(B1172="iFood",F1172*0.27,(VLOOKUP(VENDAS!C1172,Bairros!$A$2:$B$90,2,0))))</f>
        <v/>
      </c>
      <c r="J1172" s="7" t="str">
        <f t="shared" si="73"/>
        <v/>
      </c>
      <c r="K1172" s="9">
        <f t="shared" ca="1" si="74"/>
        <v>45404.878290162036</v>
      </c>
      <c r="L1172" s="10">
        <f t="shared" ca="1" si="75"/>
        <v>45404.878290046297</v>
      </c>
    </row>
    <row r="1173" spans="6:12" x14ac:dyDescent="0.25">
      <c r="F1173" s="11" t="str">
        <f>IF(ISBLANK(D1173),"",(VLOOKUP(D1173,Cardápio!$A$2:$B$16,2,0))*E1173)</f>
        <v/>
      </c>
      <c r="H1173" s="7" t="str">
        <f t="shared" si="72"/>
        <v/>
      </c>
      <c r="I1173" s="7" t="str">
        <f>IF(AND(ISBLANK(D1173),ISBLANK(C1173)),"",((VLOOKUP(D1173,Cardápio!$A$2:$C$16,3,0))*E1173)+IF(B1173="iFood",F1173*0.27,(VLOOKUP(VENDAS!C1173,Bairros!$A$2:$B$90,2,0))))</f>
        <v/>
      </c>
      <c r="J1173" s="7" t="str">
        <f t="shared" si="73"/>
        <v/>
      </c>
      <c r="K1173" s="9">
        <f t="shared" ca="1" si="74"/>
        <v>45404.878290162036</v>
      </c>
      <c r="L1173" s="10">
        <f t="shared" ca="1" si="75"/>
        <v>45404.878290046297</v>
      </c>
    </row>
    <row r="1174" spans="6:12" x14ac:dyDescent="0.25">
      <c r="F1174" s="11" t="str">
        <f>IF(ISBLANK(D1174),"",(VLOOKUP(D1174,Cardápio!$A$2:$B$16,2,0))*E1174)</f>
        <v/>
      </c>
      <c r="H1174" s="7" t="str">
        <f t="shared" si="72"/>
        <v/>
      </c>
      <c r="I1174" s="7" t="str">
        <f>IF(AND(ISBLANK(D1174),ISBLANK(C1174)),"",((VLOOKUP(D1174,Cardápio!$A$2:$C$16,3,0))*E1174)+IF(B1174="iFood",F1174*0.27,(VLOOKUP(VENDAS!C1174,Bairros!$A$2:$B$90,2,0))))</f>
        <v/>
      </c>
      <c r="J1174" s="7" t="str">
        <f t="shared" si="73"/>
        <v/>
      </c>
      <c r="K1174" s="9">
        <f t="shared" ca="1" si="74"/>
        <v>45404.878290162036</v>
      </c>
      <c r="L1174" s="10">
        <f t="shared" ca="1" si="75"/>
        <v>45404.878290046297</v>
      </c>
    </row>
    <row r="1175" spans="6:12" x14ac:dyDescent="0.25">
      <c r="F1175" s="11" t="str">
        <f>IF(ISBLANK(D1175),"",(VLOOKUP(D1175,Cardápio!$A$2:$B$16,2,0))*E1175)</f>
        <v/>
      </c>
      <c r="H1175" s="7" t="str">
        <f t="shared" si="72"/>
        <v/>
      </c>
      <c r="I1175" s="7" t="str">
        <f>IF(AND(ISBLANK(D1175),ISBLANK(C1175)),"",((VLOOKUP(D1175,Cardápio!$A$2:$C$16,3,0))*E1175)+IF(B1175="iFood",F1175*0.27,(VLOOKUP(VENDAS!C1175,Bairros!$A$2:$B$90,2,0))))</f>
        <v/>
      </c>
      <c r="J1175" s="7" t="str">
        <f t="shared" si="73"/>
        <v/>
      </c>
      <c r="K1175" s="9">
        <f t="shared" ca="1" si="74"/>
        <v>45404.878290162036</v>
      </c>
      <c r="L1175" s="10">
        <f t="shared" ca="1" si="75"/>
        <v>45404.878290046297</v>
      </c>
    </row>
    <row r="1176" spans="6:12" x14ac:dyDescent="0.25">
      <c r="F1176" s="11" t="str">
        <f>IF(ISBLANK(D1176),"",(VLOOKUP(D1176,Cardápio!$A$2:$B$16,2,0))*E1176)</f>
        <v/>
      </c>
      <c r="H1176" s="7" t="str">
        <f t="shared" si="72"/>
        <v/>
      </c>
      <c r="I1176" s="7" t="str">
        <f>IF(AND(ISBLANK(D1176),ISBLANK(C1176)),"",((VLOOKUP(D1176,Cardápio!$A$2:$C$16,3,0))*E1176)+IF(B1176="iFood",F1176*0.27,(VLOOKUP(VENDAS!C1176,Bairros!$A$2:$B$90,2,0))))</f>
        <v/>
      </c>
      <c r="J1176" s="7" t="str">
        <f t="shared" si="73"/>
        <v/>
      </c>
      <c r="K1176" s="9">
        <f t="shared" ca="1" si="74"/>
        <v>45404.878290162036</v>
      </c>
      <c r="L1176" s="10">
        <f t="shared" ca="1" si="75"/>
        <v>45404.878290046297</v>
      </c>
    </row>
    <row r="1177" spans="6:12" x14ac:dyDescent="0.25">
      <c r="F1177" s="11" t="str">
        <f>IF(ISBLANK(D1177),"",(VLOOKUP(D1177,Cardápio!$A$2:$B$16,2,0))*E1177)</f>
        <v/>
      </c>
      <c r="H1177" s="7" t="str">
        <f t="shared" si="72"/>
        <v/>
      </c>
      <c r="I1177" s="7" t="str">
        <f>IF(AND(ISBLANK(D1177),ISBLANK(C1177)),"",((VLOOKUP(D1177,Cardápio!$A$2:$C$16,3,0))*E1177)+IF(B1177="iFood",F1177*0.27,(VLOOKUP(VENDAS!C1177,Bairros!$A$2:$B$90,2,0))))</f>
        <v/>
      </c>
      <c r="J1177" s="7" t="str">
        <f t="shared" si="73"/>
        <v/>
      </c>
      <c r="K1177" s="9">
        <f t="shared" ca="1" si="74"/>
        <v>45404.878290162036</v>
      </c>
      <c r="L1177" s="10">
        <f t="shared" ca="1" si="75"/>
        <v>45404.878290046297</v>
      </c>
    </row>
    <row r="1178" spans="6:12" x14ac:dyDescent="0.25">
      <c r="F1178" s="11" t="str">
        <f>IF(ISBLANK(D1178),"",(VLOOKUP(D1178,Cardápio!$A$2:$B$16,2,0))*E1178)</f>
        <v/>
      </c>
      <c r="H1178" s="7" t="str">
        <f t="shared" si="72"/>
        <v/>
      </c>
      <c r="I1178" s="7" t="str">
        <f>IF(AND(ISBLANK(D1178),ISBLANK(C1178)),"",((VLOOKUP(D1178,Cardápio!$A$2:$C$16,3,0))*E1178)+IF(B1178="iFood",F1178*0.27,(VLOOKUP(VENDAS!C1178,Bairros!$A$2:$B$90,2,0))))</f>
        <v/>
      </c>
      <c r="J1178" s="7" t="str">
        <f t="shared" si="73"/>
        <v/>
      </c>
      <c r="K1178" s="9">
        <f t="shared" ca="1" si="74"/>
        <v>45404.878290162036</v>
      </c>
      <c r="L1178" s="10">
        <f t="shared" ca="1" si="75"/>
        <v>45404.878290046297</v>
      </c>
    </row>
    <row r="1179" spans="6:12" x14ac:dyDescent="0.25">
      <c r="F1179" s="11" t="str">
        <f>IF(ISBLANK(D1179),"",(VLOOKUP(D1179,Cardápio!$A$2:$B$16,2,0))*E1179)</f>
        <v/>
      </c>
      <c r="H1179" s="7" t="str">
        <f t="shared" si="72"/>
        <v/>
      </c>
      <c r="I1179" s="7" t="str">
        <f>IF(AND(ISBLANK(D1179),ISBLANK(C1179)),"",((VLOOKUP(D1179,Cardápio!$A$2:$C$16,3,0))*E1179)+IF(B1179="iFood",F1179*0.27,(VLOOKUP(VENDAS!C1179,Bairros!$A$2:$B$90,2,0))))</f>
        <v/>
      </c>
      <c r="J1179" s="7" t="str">
        <f t="shared" si="73"/>
        <v/>
      </c>
      <c r="K1179" s="9">
        <f t="shared" ca="1" si="74"/>
        <v>45404.878290162036</v>
      </c>
      <c r="L1179" s="10">
        <f t="shared" ca="1" si="75"/>
        <v>45404.878290046297</v>
      </c>
    </row>
    <row r="1180" spans="6:12" x14ac:dyDescent="0.25">
      <c r="F1180" s="11" t="str">
        <f>IF(ISBLANK(D1180),"",(VLOOKUP(D1180,Cardápio!$A$2:$B$16,2,0))*E1180)</f>
        <v/>
      </c>
      <c r="H1180" s="7" t="str">
        <f t="shared" si="72"/>
        <v/>
      </c>
      <c r="I1180" s="7" t="str">
        <f>IF(AND(ISBLANK(D1180),ISBLANK(C1180)),"",((VLOOKUP(D1180,Cardápio!$A$2:$C$16,3,0))*E1180)+IF(B1180="iFood",F1180*0.27,(VLOOKUP(VENDAS!C1180,Bairros!$A$2:$B$90,2,0))))</f>
        <v/>
      </c>
      <c r="J1180" s="7" t="str">
        <f t="shared" si="73"/>
        <v/>
      </c>
      <c r="K1180" s="9">
        <f t="shared" ca="1" si="74"/>
        <v>45404.878290162036</v>
      </c>
      <c r="L1180" s="10">
        <f t="shared" ca="1" si="75"/>
        <v>45404.878290046297</v>
      </c>
    </row>
    <row r="1181" spans="6:12" x14ac:dyDescent="0.25">
      <c r="F1181" s="11" t="str">
        <f>IF(ISBLANK(D1181),"",(VLOOKUP(D1181,Cardápio!$A$2:$B$16,2,0))*E1181)</f>
        <v/>
      </c>
      <c r="H1181" s="7" t="str">
        <f t="shared" si="72"/>
        <v/>
      </c>
      <c r="I1181" s="7" t="str">
        <f>IF(AND(ISBLANK(D1181),ISBLANK(C1181)),"",((VLOOKUP(D1181,Cardápio!$A$2:$C$16,3,0))*E1181)+IF(B1181="iFood",F1181*0.27,(VLOOKUP(VENDAS!C1181,Bairros!$A$2:$B$90,2,0))))</f>
        <v/>
      </c>
      <c r="J1181" s="7" t="str">
        <f t="shared" si="73"/>
        <v/>
      </c>
      <c r="K1181" s="9">
        <f t="shared" ca="1" si="74"/>
        <v>45404.878290162036</v>
      </c>
      <c r="L1181" s="10">
        <f t="shared" ca="1" si="75"/>
        <v>45404.878290046297</v>
      </c>
    </row>
    <row r="1182" spans="6:12" x14ac:dyDescent="0.25">
      <c r="F1182" s="11" t="str">
        <f>IF(ISBLANK(D1182),"",(VLOOKUP(D1182,Cardápio!$A$2:$B$16,2,0))*E1182)</f>
        <v/>
      </c>
      <c r="H1182" s="7" t="str">
        <f t="shared" si="72"/>
        <v/>
      </c>
      <c r="I1182" s="7" t="str">
        <f>IF(AND(ISBLANK(D1182),ISBLANK(C1182)),"",((VLOOKUP(D1182,Cardápio!$A$2:$C$16,3,0))*E1182)+IF(B1182="iFood",F1182*0.27,(VLOOKUP(VENDAS!C1182,Bairros!$A$2:$B$90,2,0))))</f>
        <v/>
      </c>
      <c r="J1182" s="7" t="str">
        <f t="shared" si="73"/>
        <v/>
      </c>
      <c r="K1182" s="9">
        <f t="shared" ca="1" si="74"/>
        <v>45404.878290162036</v>
      </c>
      <c r="L1182" s="10">
        <f t="shared" ca="1" si="75"/>
        <v>45404.878290046297</v>
      </c>
    </row>
    <row r="1183" spans="6:12" x14ac:dyDescent="0.25">
      <c r="F1183" s="11" t="str">
        <f>IF(ISBLANK(D1183),"",(VLOOKUP(D1183,Cardápio!$A$2:$B$16,2,0))*E1183)</f>
        <v/>
      </c>
      <c r="H1183" s="7" t="str">
        <f t="shared" si="72"/>
        <v/>
      </c>
      <c r="I1183" s="7" t="str">
        <f>IF(AND(ISBLANK(D1183),ISBLANK(C1183)),"",((VLOOKUP(D1183,Cardápio!$A$2:$C$16,3,0))*E1183)+IF(B1183="iFood",F1183*0.27,(VLOOKUP(VENDAS!C1183,Bairros!$A$2:$B$90,2,0))))</f>
        <v/>
      </c>
      <c r="J1183" s="7" t="str">
        <f t="shared" si="73"/>
        <v/>
      </c>
      <c r="K1183" s="9">
        <f t="shared" ca="1" si="74"/>
        <v>45404.878290162036</v>
      </c>
      <c r="L1183" s="10">
        <f t="shared" ca="1" si="75"/>
        <v>45404.878290046297</v>
      </c>
    </row>
    <row r="1184" spans="6:12" x14ac:dyDescent="0.25">
      <c r="F1184" s="11" t="str">
        <f>IF(ISBLANK(D1184),"",(VLOOKUP(D1184,Cardápio!$A$2:$B$16,2,0))*E1184)</f>
        <v/>
      </c>
      <c r="H1184" s="7" t="str">
        <f t="shared" si="72"/>
        <v/>
      </c>
      <c r="I1184" s="7" t="str">
        <f>IF(AND(ISBLANK(D1184),ISBLANK(C1184)),"",((VLOOKUP(D1184,Cardápio!$A$2:$C$16,3,0))*E1184)+IF(B1184="iFood",F1184*0.27,(VLOOKUP(VENDAS!C1184,Bairros!$A$2:$B$90,2,0))))</f>
        <v/>
      </c>
      <c r="J1184" s="7" t="str">
        <f t="shared" si="73"/>
        <v/>
      </c>
      <c r="K1184" s="9">
        <f t="shared" ca="1" si="74"/>
        <v>45404.878290162036</v>
      </c>
      <c r="L1184" s="10">
        <f t="shared" ca="1" si="75"/>
        <v>45404.878290046297</v>
      </c>
    </row>
    <row r="1185" spans="6:12" x14ac:dyDescent="0.25">
      <c r="F1185" s="11" t="str">
        <f>IF(ISBLANK(D1185),"",(VLOOKUP(D1185,Cardápio!$A$2:$B$16,2,0))*E1185)</f>
        <v/>
      </c>
      <c r="H1185" s="7" t="str">
        <f t="shared" si="72"/>
        <v/>
      </c>
      <c r="I1185" s="7" t="str">
        <f>IF(AND(ISBLANK(D1185),ISBLANK(C1185)),"",((VLOOKUP(D1185,Cardápio!$A$2:$C$16,3,0))*E1185)+IF(B1185="iFood",F1185*0.27,(VLOOKUP(VENDAS!C1185,Bairros!$A$2:$B$90,2,0))))</f>
        <v/>
      </c>
      <c r="J1185" s="7" t="str">
        <f t="shared" si="73"/>
        <v/>
      </c>
      <c r="K1185" s="9">
        <f t="shared" ca="1" si="74"/>
        <v>45404.878290162036</v>
      </c>
      <c r="L1185" s="10">
        <f t="shared" ca="1" si="75"/>
        <v>45404.878290046297</v>
      </c>
    </row>
    <row r="1186" spans="6:12" x14ac:dyDescent="0.25">
      <c r="F1186" s="11" t="str">
        <f>IF(ISBLANK(D1186),"",(VLOOKUP(D1186,Cardápio!$A$2:$B$16,2,0))*E1186)</f>
        <v/>
      </c>
      <c r="H1186" s="7" t="str">
        <f t="shared" si="72"/>
        <v/>
      </c>
      <c r="I1186" s="7" t="str">
        <f>IF(AND(ISBLANK(D1186),ISBLANK(C1186)),"",((VLOOKUP(D1186,Cardápio!$A$2:$C$16,3,0))*E1186)+IF(B1186="iFood",F1186*0.27,(VLOOKUP(VENDAS!C1186,Bairros!$A$2:$B$90,2,0))))</f>
        <v/>
      </c>
      <c r="J1186" s="7" t="str">
        <f t="shared" si="73"/>
        <v/>
      </c>
      <c r="K1186" s="9">
        <f t="shared" ca="1" si="74"/>
        <v>45404.878290162036</v>
      </c>
      <c r="L1186" s="10">
        <f t="shared" ca="1" si="75"/>
        <v>45404.878290046297</v>
      </c>
    </row>
    <row r="1187" spans="6:12" x14ac:dyDescent="0.25">
      <c r="F1187" s="11" t="str">
        <f>IF(ISBLANK(D1187),"",(VLOOKUP(D1187,Cardápio!$A$2:$B$16,2,0))*E1187)</f>
        <v/>
      </c>
      <c r="H1187" s="7" t="str">
        <f t="shared" si="72"/>
        <v/>
      </c>
      <c r="I1187" s="7" t="str">
        <f>IF(AND(ISBLANK(D1187),ISBLANK(C1187)),"",((VLOOKUP(D1187,Cardápio!$A$2:$C$16,3,0))*E1187)+IF(B1187="iFood",F1187*0.27,(VLOOKUP(VENDAS!C1187,Bairros!$A$2:$B$90,2,0))))</f>
        <v/>
      </c>
      <c r="J1187" s="7" t="str">
        <f t="shared" si="73"/>
        <v/>
      </c>
      <c r="K1187" s="9">
        <f t="shared" ca="1" si="74"/>
        <v>45404.878290162036</v>
      </c>
      <c r="L1187" s="10">
        <f t="shared" ca="1" si="75"/>
        <v>45404.878290046297</v>
      </c>
    </row>
    <row r="1188" spans="6:12" x14ac:dyDescent="0.25">
      <c r="F1188" s="11" t="str">
        <f>IF(ISBLANK(D1188),"",(VLOOKUP(D1188,Cardápio!$A$2:$B$16,2,0))*E1188)</f>
        <v/>
      </c>
      <c r="H1188" s="7" t="str">
        <f t="shared" si="72"/>
        <v/>
      </c>
      <c r="I1188" s="7" t="str">
        <f>IF(AND(ISBLANK(D1188),ISBLANK(C1188)),"",((VLOOKUP(D1188,Cardápio!$A$2:$C$16,3,0))*E1188)+IF(B1188="iFood",F1188*0.27,(VLOOKUP(VENDAS!C1188,Bairros!$A$2:$B$90,2,0))))</f>
        <v/>
      </c>
      <c r="J1188" s="7" t="str">
        <f t="shared" si="73"/>
        <v/>
      </c>
      <c r="K1188" s="9">
        <f t="shared" ca="1" si="74"/>
        <v>45404.878290162036</v>
      </c>
      <c r="L1188" s="10">
        <f t="shared" ca="1" si="75"/>
        <v>45404.878290046297</v>
      </c>
    </row>
    <row r="1189" spans="6:12" x14ac:dyDescent="0.25">
      <c r="F1189" s="11" t="str">
        <f>IF(ISBLANK(D1189),"",(VLOOKUP(D1189,Cardápio!$A$2:$B$16,2,0))*E1189)</f>
        <v/>
      </c>
      <c r="H1189" s="7" t="str">
        <f t="shared" si="72"/>
        <v/>
      </c>
      <c r="I1189" s="7" t="str">
        <f>IF(AND(ISBLANK(D1189),ISBLANK(C1189)),"",((VLOOKUP(D1189,Cardápio!$A$2:$C$16,3,0))*E1189)+IF(B1189="iFood",F1189*0.27,(VLOOKUP(VENDAS!C1189,Bairros!$A$2:$B$90,2,0))))</f>
        <v/>
      </c>
      <c r="J1189" s="7" t="str">
        <f t="shared" si="73"/>
        <v/>
      </c>
      <c r="K1189" s="9">
        <f t="shared" ca="1" si="74"/>
        <v>45404.878290162036</v>
      </c>
      <c r="L1189" s="10">
        <f t="shared" ca="1" si="75"/>
        <v>45404.878290046297</v>
      </c>
    </row>
    <row r="1190" spans="6:12" x14ac:dyDescent="0.25">
      <c r="F1190" s="11" t="str">
        <f>IF(ISBLANK(D1190),"",(VLOOKUP(D1190,Cardápio!$A$2:$B$16,2,0))*E1190)</f>
        <v/>
      </c>
      <c r="H1190" s="7" t="str">
        <f t="shared" si="72"/>
        <v/>
      </c>
      <c r="I1190" s="7" t="str">
        <f>IF(AND(ISBLANK(D1190),ISBLANK(C1190)),"",((VLOOKUP(D1190,Cardápio!$A$2:$C$16,3,0))*E1190)+IF(B1190="iFood",F1190*0.27,(VLOOKUP(VENDAS!C1190,Bairros!$A$2:$B$90,2,0))))</f>
        <v/>
      </c>
      <c r="J1190" s="7" t="str">
        <f t="shared" si="73"/>
        <v/>
      </c>
      <c r="K1190" s="9">
        <f t="shared" ca="1" si="74"/>
        <v>45404.878290162036</v>
      </c>
      <c r="L1190" s="10">
        <f t="shared" ca="1" si="75"/>
        <v>45404.878290046297</v>
      </c>
    </row>
    <row r="1191" spans="6:12" x14ac:dyDescent="0.25">
      <c r="F1191" s="11" t="str">
        <f>IF(ISBLANK(D1191),"",(VLOOKUP(D1191,Cardápio!$A$2:$B$16,2,0))*E1191)</f>
        <v/>
      </c>
      <c r="H1191" s="7" t="str">
        <f t="shared" si="72"/>
        <v/>
      </c>
      <c r="I1191" s="7" t="str">
        <f>IF(AND(ISBLANK(D1191),ISBLANK(C1191)),"",((VLOOKUP(D1191,Cardápio!$A$2:$C$16,3,0))*E1191)+IF(B1191="iFood",F1191*0.27,(VLOOKUP(VENDAS!C1191,Bairros!$A$2:$B$90,2,0))))</f>
        <v/>
      </c>
      <c r="J1191" s="7" t="str">
        <f t="shared" si="73"/>
        <v/>
      </c>
      <c r="K1191" s="9">
        <f t="shared" ca="1" si="74"/>
        <v>45404.878290162036</v>
      </c>
      <c r="L1191" s="10">
        <f t="shared" ca="1" si="75"/>
        <v>45404.878290046297</v>
      </c>
    </row>
    <row r="1192" spans="6:12" x14ac:dyDescent="0.25">
      <c r="F1192" s="11" t="str">
        <f>IF(ISBLANK(D1192),"",(VLOOKUP(D1192,Cardápio!$A$2:$B$16,2,0))*E1192)</f>
        <v/>
      </c>
      <c r="H1192" s="7" t="str">
        <f t="shared" si="72"/>
        <v/>
      </c>
      <c r="I1192" s="7" t="str">
        <f>IF(AND(ISBLANK(D1192),ISBLANK(C1192)),"",((VLOOKUP(D1192,Cardápio!$A$2:$C$16,3,0))*E1192)+IF(B1192="iFood",F1192*0.27,(VLOOKUP(VENDAS!C1192,Bairros!$A$2:$B$90,2,0))))</f>
        <v/>
      </c>
      <c r="J1192" s="7" t="str">
        <f t="shared" si="73"/>
        <v/>
      </c>
      <c r="K1192" s="9">
        <f t="shared" ca="1" si="74"/>
        <v>45404.878290162036</v>
      </c>
      <c r="L1192" s="10">
        <f t="shared" ca="1" si="75"/>
        <v>45404.878290046297</v>
      </c>
    </row>
    <row r="1193" spans="6:12" x14ac:dyDescent="0.25">
      <c r="F1193" s="11" t="str">
        <f>IF(ISBLANK(D1193),"",(VLOOKUP(D1193,Cardápio!$A$2:$B$16,2,0))*E1193)</f>
        <v/>
      </c>
      <c r="H1193" s="7" t="str">
        <f t="shared" si="72"/>
        <v/>
      </c>
      <c r="I1193" s="7" t="str">
        <f>IF(AND(ISBLANK(D1193),ISBLANK(C1193)),"",((VLOOKUP(D1193,Cardápio!$A$2:$C$16,3,0))*E1193)+IF(B1193="iFood",F1193*0.27,(VLOOKUP(VENDAS!C1193,Bairros!$A$2:$B$90,2,0))))</f>
        <v/>
      </c>
      <c r="J1193" s="7" t="str">
        <f t="shared" si="73"/>
        <v/>
      </c>
      <c r="K1193" s="9">
        <f t="shared" ca="1" si="74"/>
        <v>45404.878290162036</v>
      </c>
      <c r="L1193" s="10">
        <f t="shared" ca="1" si="75"/>
        <v>45404.878290046297</v>
      </c>
    </row>
    <row r="1194" spans="6:12" x14ac:dyDescent="0.25">
      <c r="F1194" s="11" t="str">
        <f>IF(ISBLANK(D1194),"",(VLOOKUP(D1194,Cardápio!$A$2:$B$16,2,0))*E1194)</f>
        <v/>
      </c>
      <c r="H1194" s="7" t="str">
        <f t="shared" si="72"/>
        <v/>
      </c>
      <c r="I1194" s="7" t="str">
        <f>IF(AND(ISBLANK(D1194),ISBLANK(C1194)),"",((VLOOKUP(D1194,Cardápio!$A$2:$C$16,3,0))*E1194)+IF(B1194="iFood",F1194*0.27,(VLOOKUP(VENDAS!C1194,Bairros!$A$2:$B$90,2,0))))</f>
        <v/>
      </c>
      <c r="J1194" s="7" t="str">
        <f t="shared" si="73"/>
        <v/>
      </c>
      <c r="K1194" s="9">
        <f t="shared" ca="1" si="74"/>
        <v>45404.878290162036</v>
      </c>
      <c r="L1194" s="10">
        <f t="shared" ca="1" si="75"/>
        <v>45404.878290046297</v>
      </c>
    </row>
    <row r="1195" spans="6:12" x14ac:dyDescent="0.25">
      <c r="F1195" s="11" t="str">
        <f>IF(ISBLANK(D1195),"",(VLOOKUP(D1195,Cardápio!$A$2:$B$16,2,0))*E1195)</f>
        <v/>
      </c>
      <c r="H1195" s="7" t="str">
        <f t="shared" si="72"/>
        <v/>
      </c>
      <c r="I1195" s="7" t="str">
        <f>IF(AND(ISBLANK(D1195),ISBLANK(C1195)),"",((VLOOKUP(D1195,Cardápio!$A$2:$C$16,3,0))*E1195)+IF(B1195="iFood",F1195*0.27,(VLOOKUP(VENDAS!C1195,Bairros!$A$2:$B$90,2,0))))</f>
        <v/>
      </c>
      <c r="J1195" s="7" t="str">
        <f t="shared" si="73"/>
        <v/>
      </c>
      <c r="K1195" s="9">
        <f t="shared" ca="1" si="74"/>
        <v>45404.878290162036</v>
      </c>
      <c r="L1195" s="10">
        <f t="shared" ca="1" si="75"/>
        <v>45404.878290046297</v>
      </c>
    </row>
    <row r="1196" spans="6:12" x14ac:dyDescent="0.25">
      <c r="F1196" s="11" t="str">
        <f>IF(ISBLANK(D1196),"",(VLOOKUP(D1196,Cardápio!$A$2:$B$16,2,0))*E1196)</f>
        <v/>
      </c>
      <c r="H1196" s="7" t="str">
        <f t="shared" si="72"/>
        <v/>
      </c>
      <c r="I1196" s="7" t="str">
        <f>IF(AND(ISBLANK(D1196),ISBLANK(C1196)),"",((VLOOKUP(D1196,Cardápio!$A$2:$C$16,3,0))*E1196)+IF(B1196="iFood",F1196*0.27,(VLOOKUP(VENDAS!C1196,Bairros!$A$2:$B$90,2,0))))</f>
        <v/>
      </c>
      <c r="J1196" s="7" t="str">
        <f t="shared" si="73"/>
        <v/>
      </c>
      <c r="K1196" s="9">
        <f t="shared" ca="1" si="74"/>
        <v>45404.878290162036</v>
      </c>
      <c r="L1196" s="10">
        <f t="shared" ca="1" si="75"/>
        <v>45404.878290046297</v>
      </c>
    </row>
    <row r="1197" spans="6:12" x14ac:dyDescent="0.25">
      <c r="F1197" s="11" t="str">
        <f>IF(ISBLANK(D1197),"",(VLOOKUP(D1197,Cardápio!$A$2:$B$16,2,0))*E1197)</f>
        <v/>
      </c>
      <c r="H1197" s="7" t="str">
        <f t="shared" si="72"/>
        <v/>
      </c>
      <c r="I1197" s="7" t="str">
        <f>IF(AND(ISBLANK(D1197),ISBLANK(C1197)),"",((VLOOKUP(D1197,Cardápio!$A$2:$C$16,3,0))*E1197)+IF(B1197="iFood",F1197*0.27,(VLOOKUP(VENDAS!C1197,Bairros!$A$2:$B$90,2,0))))</f>
        <v/>
      </c>
      <c r="J1197" s="7" t="str">
        <f t="shared" si="73"/>
        <v/>
      </c>
      <c r="K1197" s="9">
        <f t="shared" ca="1" si="74"/>
        <v>45404.878290162036</v>
      </c>
      <c r="L1197" s="10">
        <f t="shared" ca="1" si="75"/>
        <v>45404.878290046297</v>
      </c>
    </row>
    <row r="1198" spans="6:12" x14ac:dyDescent="0.25">
      <c r="F1198" s="11" t="str">
        <f>IF(ISBLANK(D1198),"",(VLOOKUP(D1198,Cardápio!$A$2:$B$16,2,0))*E1198)</f>
        <v/>
      </c>
      <c r="H1198" s="7" t="str">
        <f t="shared" si="72"/>
        <v/>
      </c>
      <c r="I1198" s="7" t="str">
        <f>IF(AND(ISBLANK(D1198),ISBLANK(C1198)),"",((VLOOKUP(D1198,Cardápio!$A$2:$C$16,3,0))*E1198)+IF(B1198="iFood",F1198*0.27,(VLOOKUP(VENDAS!C1198,Bairros!$A$2:$B$90,2,0))))</f>
        <v/>
      </c>
      <c r="J1198" s="7" t="str">
        <f t="shared" si="73"/>
        <v/>
      </c>
      <c r="K1198" s="9">
        <f t="shared" ca="1" si="74"/>
        <v>45404.878290162036</v>
      </c>
      <c r="L1198" s="10">
        <f t="shared" ca="1" si="75"/>
        <v>45404.878290046297</v>
      </c>
    </row>
    <row r="1199" spans="6:12" x14ac:dyDescent="0.25">
      <c r="F1199" s="11" t="str">
        <f>IF(ISBLANK(D1199),"",(VLOOKUP(D1199,Cardápio!$A$2:$B$16,2,0))*E1199)</f>
        <v/>
      </c>
      <c r="H1199" s="7" t="str">
        <f t="shared" si="72"/>
        <v/>
      </c>
      <c r="I1199" s="7" t="str">
        <f>IF(AND(ISBLANK(D1199),ISBLANK(C1199)),"",((VLOOKUP(D1199,Cardápio!$A$2:$C$16,3,0))*E1199)+IF(B1199="iFood",F1199*0.27,(VLOOKUP(VENDAS!C1199,Bairros!$A$2:$B$90,2,0))))</f>
        <v/>
      </c>
      <c r="J1199" s="7" t="str">
        <f t="shared" si="73"/>
        <v/>
      </c>
      <c r="K1199" s="9">
        <f t="shared" ca="1" si="74"/>
        <v>45404.878290162036</v>
      </c>
      <c r="L1199" s="10">
        <f t="shared" ca="1" si="75"/>
        <v>45404.878290046297</v>
      </c>
    </row>
    <row r="1200" spans="6:12" x14ac:dyDescent="0.25">
      <c r="F1200" s="11" t="str">
        <f>IF(ISBLANK(D1200),"",(VLOOKUP(D1200,Cardápio!$A$2:$B$16,2,0))*E1200)</f>
        <v/>
      </c>
      <c r="H1200" s="7" t="str">
        <f t="shared" si="72"/>
        <v/>
      </c>
      <c r="I1200" s="7" t="str">
        <f>IF(AND(ISBLANK(D1200),ISBLANK(C1200)),"",((VLOOKUP(D1200,Cardápio!$A$2:$C$16,3,0))*E1200)+IF(B1200="iFood",F1200*0.27,(VLOOKUP(VENDAS!C1200,Bairros!$A$2:$B$90,2,0))))</f>
        <v/>
      </c>
      <c r="J1200" s="7" t="str">
        <f t="shared" si="73"/>
        <v/>
      </c>
      <c r="K1200" s="9">
        <f t="shared" ca="1" si="74"/>
        <v>45404.878290162036</v>
      </c>
      <c r="L1200" s="10">
        <f t="shared" ca="1" si="75"/>
        <v>45404.878290046297</v>
      </c>
    </row>
    <row r="1201" spans="6:12" x14ac:dyDescent="0.25">
      <c r="F1201" s="11" t="str">
        <f>IF(ISBLANK(D1201),"",(VLOOKUP(D1201,Cardápio!$A$2:$B$16,2,0))*E1201)</f>
        <v/>
      </c>
      <c r="H1201" s="7" t="str">
        <f t="shared" si="72"/>
        <v/>
      </c>
      <c r="I1201" s="7" t="str">
        <f>IF(AND(ISBLANK(D1201),ISBLANK(C1201)),"",((VLOOKUP(D1201,Cardápio!$A$2:$C$16,3,0))*E1201)+IF(B1201="iFood",F1201*0.27,(VLOOKUP(VENDAS!C1201,Bairros!$A$2:$B$90,2,0))))</f>
        <v/>
      </c>
      <c r="J1201" s="7" t="str">
        <f t="shared" si="73"/>
        <v/>
      </c>
      <c r="K1201" s="9">
        <f t="shared" ca="1" si="74"/>
        <v>45404.878290162036</v>
      </c>
      <c r="L1201" s="10">
        <f t="shared" ca="1" si="75"/>
        <v>45404.878290046297</v>
      </c>
    </row>
    <row r="1202" spans="6:12" x14ac:dyDescent="0.25">
      <c r="F1202" s="11" t="str">
        <f>IF(ISBLANK(D1202),"",(VLOOKUP(D1202,Cardápio!$A$2:$B$16,2,0))*E1202)</f>
        <v/>
      </c>
      <c r="H1202" s="7" t="str">
        <f t="shared" si="72"/>
        <v/>
      </c>
      <c r="I1202" s="7" t="str">
        <f>IF(AND(ISBLANK(D1202),ISBLANK(C1202)),"",((VLOOKUP(D1202,Cardápio!$A$2:$C$16,3,0))*E1202)+IF(B1202="iFood",F1202*0.27,(VLOOKUP(VENDAS!C1202,Bairros!$A$2:$B$90,2,0))))</f>
        <v/>
      </c>
      <c r="J1202" s="7" t="str">
        <f t="shared" si="73"/>
        <v/>
      </c>
      <c r="K1202" s="9">
        <f t="shared" ca="1" si="74"/>
        <v>45404.878290162036</v>
      </c>
      <c r="L1202" s="10">
        <f t="shared" ca="1" si="75"/>
        <v>45404.878290046297</v>
      </c>
    </row>
    <row r="1203" spans="6:12" x14ac:dyDescent="0.25">
      <c r="F1203" s="11" t="str">
        <f>IF(ISBLANK(D1203),"",(VLOOKUP(D1203,Cardápio!$A$2:$B$16,2,0))*E1203)</f>
        <v/>
      </c>
      <c r="H1203" s="7" t="str">
        <f t="shared" si="72"/>
        <v/>
      </c>
      <c r="I1203" s="7" t="str">
        <f>IF(AND(ISBLANK(D1203),ISBLANK(C1203)),"",((VLOOKUP(D1203,Cardápio!$A$2:$C$16,3,0))*E1203)+IF(B1203="iFood",F1203*0.27,(VLOOKUP(VENDAS!C1203,Bairros!$A$2:$B$90,2,0))))</f>
        <v/>
      </c>
      <c r="J1203" s="7" t="str">
        <f t="shared" si="73"/>
        <v/>
      </c>
      <c r="K1203" s="9">
        <f t="shared" ca="1" si="74"/>
        <v>45404.878290162036</v>
      </c>
      <c r="L1203" s="10">
        <f t="shared" ca="1" si="75"/>
        <v>45404.878290046297</v>
      </c>
    </row>
    <row r="1204" spans="6:12" x14ac:dyDescent="0.25">
      <c r="F1204" s="11" t="str">
        <f>IF(ISBLANK(D1204),"",(VLOOKUP(D1204,Cardápio!$A$2:$B$16,2,0))*E1204)</f>
        <v/>
      </c>
      <c r="H1204" s="7" t="str">
        <f t="shared" si="72"/>
        <v/>
      </c>
      <c r="I1204" s="7" t="str">
        <f>IF(AND(ISBLANK(D1204),ISBLANK(C1204)),"",((VLOOKUP(D1204,Cardápio!$A$2:$C$16,3,0))*E1204)+IF(B1204="iFood",F1204*0.27,(VLOOKUP(VENDAS!C1204,Bairros!$A$2:$B$90,2,0))))</f>
        <v/>
      </c>
      <c r="J1204" s="7" t="str">
        <f t="shared" si="73"/>
        <v/>
      </c>
      <c r="K1204" s="9">
        <f t="shared" ca="1" si="74"/>
        <v>45404.878290162036</v>
      </c>
      <c r="L1204" s="10">
        <f t="shared" ca="1" si="75"/>
        <v>45404.878290046297</v>
      </c>
    </row>
    <row r="1205" spans="6:12" x14ac:dyDescent="0.25">
      <c r="F1205" s="11" t="str">
        <f>IF(ISBLANK(D1205),"",(VLOOKUP(D1205,Cardápio!$A$2:$B$16,2,0))*E1205)</f>
        <v/>
      </c>
      <c r="H1205" s="7" t="str">
        <f t="shared" ref="H1205:H1268" si="76">IF(ISBLANK(D1205),"",F1205-G1205)</f>
        <v/>
      </c>
      <c r="I1205" s="7" t="str">
        <f>IF(AND(ISBLANK(D1205),ISBLANK(C1205)),"",((VLOOKUP(D1205,Cardápio!$A$2:$C$16,3,0))*E1205)+IF(B1205="iFood",F1205*0.27,(VLOOKUP(VENDAS!C1205,Bairros!$A$2:$B$90,2,0))))</f>
        <v/>
      </c>
      <c r="J1205" s="7" t="str">
        <f t="shared" ref="J1205:J1268" si="77">IF(OR(AND(ISBLANK(H1205),ISBLANK(I1205)),(AND(H1205="",I1205=""))),"",H1205-I1205)</f>
        <v/>
      </c>
      <c r="K1205" s="9">
        <f t="shared" ref="K1205:K1268" ca="1" si="78">IF(D1205&lt;&gt;"",K1205,NOW())</f>
        <v>45404.878290162036</v>
      </c>
      <c r="L1205" s="10">
        <f t="shared" ref="L1205:L1268" ca="1" si="79">IF(D1205&lt;&gt;"",L1205,NOW())</f>
        <v>45404.878290046297</v>
      </c>
    </row>
    <row r="1206" spans="6:12" x14ac:dyDescent="0.25">
      <c r="F1206" s="11" t="str">
        <f>IF(ISBLANK(D1206),"",(VLOOKUP(D1206,Cardápio!$A$2:$B$16,2,0))*E1206)</f>
        <v/>
      </c>
      <c r="H1206" s="7" t="str">
        <f t="shared" si="76"/>
        <v/>
      </c>
      <c r="I1206" s="7" t="str">
        <f>IF(AND(ISBLANK(D1206),ISBLANK(C1206)),"",((VLOOKUP(D1206,Cardápio!$A$2:$C$16,3,0))*E1206)+IF(B1206="iFood",F1206*0.27,(VLOOKUP(VENDAS!C1206,Bairros!$A$2:$B$90,2,0))))</f>
        <v/>
      </c>
      <c r="J1206" s="7" t="str">
        <f t="shared" si="77"/>
        <v/>
      </c>
      <c r="K1206" s="9">
        <f t="shared" ca="1" si="78"/>
        <v>45404.878290162036</v>
      </c>
      <c r="L1206" s="10">
        <f t="shared" ca="1" si="79"/>
        <v>45404.878290046297</v>
      </c>
    </row>
    <row r="1207" spans="6:12" x14ac:dyDescent="0.25">
      <c r="F1207" s="11" t="str">
        <f>IF(ISBLANK(D1207),"",(VLOOKUP(D1207,Cardápio!$A$2:$B$16,2,0))*E1207)</f>
        <v/>
      </c>
      <c r="H1207" s="7" t="str">
        <f t="shared" si="76"/>
        <v/>
      </c>
      <c r="I1207" s="7" t="str">
        <f>IF(AND(ISBLANK(D1207),ISBLANK(C1207)),"",((VLOOKUP(D1207,Cardápio!$A$2:$C$16,3,0))*E1207)+IF(B1207="iFood",F1207*0.27,(VLOOKUP(VENDAS!C1207,Bairros!$A$2:$B$90,2,0))))</f>
        <v/>
      </c>
      <c r="J1207" s="7" t="str">
        <f t="shared" si="77"/>
        <v/>
      </c>
      <c r="K1207" s="9">
        <f t="shared" ca="1" si="78"/>
        <v>45404.878290162036</v>
      </c>
      <c r="L1207" s="10">
        <f t="shared" ca="1" si="79"/>
        <v>45404.878290046297</v>
      </c>
    </row>
    <row r="1208" spans="6:12" x14ac:dyDescent="0.25">
      <c r="F1208" s="11" t="str">
        <f>IF(ISBLANK(D1208),"",(VLOOKUP(D1208,Cardápio!$A$2:$B$16,2,0))*E1208)</f>
        <v/>
      </c>
      <c r="H1208" s="7" t="str">
        <f t="shared" si="76"/>
        <v/>
      </c>
      <c r="I1208" s="7" t="str">
        <f>IF(AND(ISBLANK(D1208),ISBLANK(C1208)),"",((VLOOKUP(D1208,Cardápio!$A$2:$C$16,3,0))*E1208)+IF(B1208="iFood",F1208*0.27,(VLOOKUP(VENDAS!C1208,Bairros!$A$2:$B$90,2,0))))</f>
        <v/>
      </c>
      <c r="J1208" s="7" t="str">
        <f t="shared" si="77"/>
        <v/>
      </c>
      <c r="K1208" s="9">
        <f t="shared" ca="1" si="78"/>
        <v>45404.878290162036</v>
      </c>
      <c r="L1208" s="10">
        <f t="shared" ca="1" si="79"/>
        <v>45404.878290046297</v>
      </c>
    </row>
    <row r="1209" spans="6:12" x14ac:dyDescent="0.25">
      <c r="F1209" s="11" t="str">
        <f>IF(ISBLANK(D1209),"",(VLOOKUP(D1209,Cardápio!$A$2:$B$16,2,0))*E1209)</f>
        <v/>
      </c>
      <c r="H1209" s="7" t="str">
        <f t="shared" si="76"/>
        <v/>
      </c>
      <c r="I1209" s="7" t="str">
        <f>IF(AND(ISBLANK(D1209),ISBLANK(C1209)),"",((VLOOKUP(D1209,Cardápio!$A$2:$C$16,3,0))*E1209)+IF(B1209="iFood",F1209*0.27,(VLOOKUP(VENDAS!C1209,Bairros!$A$2:$B$90,2,0))))</f>
        <v/>
      </c>
      <c r="J1209" s="7" t="str">
        <f t="shared" si="77"/>
        <v/>
      </c>
      <c r="K1209" s="9">
        <f t="shared" ca="1" si="78"/>
        <v>45404.878290162036</v>
      </c>
      <c r="L1209" s="10">
        <f t="shared" ca="1" si="79"/>
        <v>45404.878290046297</v>
      </c>
    </row>
    <row r="1210" spans="6:12" x14ac:dyDescent="0.25">
      <c r="F1210" s="11" t="str">
        <f>IF(ISBLANK(D1210),"",(VLOOKUP(D1210,Cardápio!$A$2:$B$16,2,0))*E1210)</f>
        <v/>
      </c>
      <c r="H1210" s="7" t="str">
        <f t="shared" si="76"/>
        <v/>
      </c>
      <c r="I1210" s="7" t="str">
        <f>IF(AND(ISBLANK(D1210),ISBLANK(C1210)),"",((VLOOKUP(D1210,Cardápio!$A$2:$C$16,3,0))*E1210)+IF(B1210="iFood",F1210*0.27,(VLOOKUP(VENDAS!C1210,Bairros!$A$2:$B$90,2,0))))</f>
        <v/>
      </c>
      <c r="J1210" s="7" t="str">
        <f t="shared" si="77"/>
        <v/>
      </c>
      <c r="K1210" s="9">
        <f t="shared" ca="1" si="78"/>
        <v>45404.878290162036</v>
      </c>
      <c r="L1210" s="10">
        <f t="shared" ca="1" si="79"/>
        <v>45404.878290046297</v>
      </c>
    </row>
    <row r="1211" spans="6:12" x14ac:dyDescent="0.25">
      <c r="F1211" s="11" t="str">
        <f>IF(ISBLANK(D1211),"",(VLOOKUP(D1211,Cardápio!$A$2:$B$16,2,0))*E1211)</f>
        <v/>
      </c>
      <c r="H1211" s="7" t="str">
        <f t="shared" si="76"/>
        <v/>
      </c>
      <c r="I1211" s="7" t="str">
        <f>IF(AND(ISBLANK(D1211),ISBLANK(C1211)),"",((VLOOKUP(D1211,Cardápio!$A$2:$C$16,3,0))*E1211)+IF(B1211="iFood",F1211*0.27,(VLOOKUP(VENDAS!C1211,Bairros!$A$2:$B$90,2,0))))</f>
        <v/>
      </c>
      <c r="J1211" s="7" t="str">
        <f t="shared" si="77"/>
        <v/>
      </c>
      <c r="K1211" s="9">
        <f t="shared" ca="1" si="78"/>
        <v>45404.878290162036</v>
      </c>
      <c r="L1211" s="10">
        <f t="shared" ca="1" si="79"/>
        <v>45404.878290046297</v>
      </c>
    </row>
    <row r="1212" spans="6:12" x14ac:dyDescent="0.25">
      <c r="F1212" s="11" t="str">
        <f>IF(ISBLANK(D1212),"",(VLOOKUP(D1212,Cardápio!$A$2:$B$16,2,0))*E1212)</f>
        <v/>
      </c>
      <c r="H1212" s="7" t="str">
        <f t="shared" si="76"/>
        <v/>
      </c>
      <c r="I1212" s="7" t="str">
        <f>IF(AND(ISBLANK(D1212),ISBLANK(C1212)),"",((VLOOKUP(D1212,Cardápio!$A$2:$C$16,3,0))*E1212)+IF(B1212="iFood",F1212*0.27,(VLOOKUP(VENDAS!C1212,Bairros!$A$2:$B$90,2,0))))</f>
        <v/>
      </c>
      <c r="J1212" s="7" t="str">
        <f t="shared" si="77"/>
        <v/>
      </c>
      <c r="K1212" s="9">
        <f t="shared" ca="1" si="78"/>
        <v>45404.878290162036</v>
      </c>
      <c r="L1212" s="10">
        <f t="shared" ca="1" si="79"/>
        <v>45404.878290046297</v>
      </c>
    </row>
    <row r="1213" spans="6:12" x14ac:dyDescent="0.25">
      <c r="F1213" s="11" t="str">
        <f>IF(ISBLANK(D1213),"",(VLOOKUP(D1213,Cardápio!$A$2:$B$16,2,0))*E1213)</f>
        <v/>
      </c>
      <c r="H1213" s="7" t="str">
        <f t="shared" si="76"/>
        <v/>
      </c>
      <c r="I1213" s="7" t="str">
        <f>IF(AND(ISBLANK(D1213),ISBLANK(C1213)),"",((VLOOKUP(D1213,Cardápio!$A$2:$C$16,3,0))*E1213)+IF(B1213="iFood",F1213*0.27,(VLOOKUP(VENDAS!C1213,Bairros!$A$2:$B$90,2,0))))</f>
        <v/>
      </c>
      <c r="J1213" s="7" t="str">
        <f t="shared" si="77"/>
        <v/>
      </c>
      <c r="K1213" s="9">
        <f t="shared" ca="1" si="78"/>
        <v>45404.878290162036</v>
      </c>
      <c r="L1213" s="10">
        <f t="shared" ca="1" si="79"/>
        <v>45404.878290046297</v>
      </c>
    </row>
    <row r="1214" spans="6:12" x14ac:dyDescent="0.25">
      <c r="F1214" s="11" t="str">
        <f>IF(ISBLANK(D1214),"",(VLOOKUP(D1214,Cardápio!$A$2:$B$16,2,0))*E1214)</f>
        <v/>
      </c>
      <c r="H1214" s="7" t="str">
        <f t="shared" si="76"/>
        <v/>
      </c>
      <c r="I1214" s="7" t="str">
        <f>IF(AND(ISBLANK(D1214),ISBLANK(C1214)),"",((VLOOKUP(D1214,Cardápio!$A$2:$C$16,3,0))*E1214)+IF(B1214="iFood",F1214*0.27,(VLOOKUP(VENDAS!C1214,Bairros!$A$2:$B$90,2,0))))</f>
        <v/>
      </c>
      <c r="J1214" s="7" t="str">
        <f t="shared" si="77"/>
        <v/>
      </c>
      <c r="K1214" s="9">
        <f t="shared" ca="1" si="78"/>
        <v>45404.878290162036</v>
      </c>
      <c r="L1214" s="10">
        <f t="shared" ca="1" si="79"/>
        <v>45404.878290046297</v>
      </c>
    </row>
    <row r="1215" spans="6:12" x14ac:dyDescent="0.25">
      <c r="F1215" s="11" t="str">
        <f>IF(ISBLANK(D1215),"",(VLOOKUP(D1215,Cardápio!$A$2:$B$16,2,0))*E1215)</f>
        <v/>
      </c>
      <c r="H1215" s="7" t="str">
        <f t="shared" si="76"/>
        <v/>
      </c>
      <c r="I1215" s="7" t="str">
        <f>IF(AND(ISBLANK(D1215),ISBLANK(C1215)),"",((VLOOKUP(D1215,Cardápio!$A$2:$C$16,3,0))*E1215)+IF(B1215="iFood",F1215*0.27,(VLOOKUP(VENDAS!C1215,Bairros!$A$2:$B$90,2,0))))</f>
        <v/>
      </c>
      <c r="J1215" s="7" t="str">
        <f t="shared" si="77"/>
        <v/>
      </c>
      <c r="K1215" s="9">
        <f t="shared" ca="1" si="78"/>
        <v>45404.878290162036</v>
      </c>
      <c r="L1215" s="10">
        <f t="shared" ca="1" si="79"/>
        <v>45404.878290046297</v>
      </c>
    </row>
    <row r="1216" spans="6:12" x14ac:dyDescent="0.25">
      <c r="F1216" s="11" t="str">
        <f>IF(ISBLANK(D1216),"",(VLOOKUP(D1216,Cardápio!$A$2:$B$16,2,0))*E1216)</f>
        <v/>
      </c>
      <c r="H1216" s="7" t="str">
        <f t="shared" si="76"/>
        <v/>
      </c>
      <c r="I1216" s="7" t="str">
        <f>IF(AND(ISBLANK(D1216),ISBLANK(C1216)),"",((VLOOKUP(D1216,Cardápio!$A$2:$C$16,3,0))*E1216)+IF(B1216="iFood",F1216*0.27,(VLOOKUP(VENDAS!C1216,Bairros!$A$2:$B$90,2,0))))</f>
        <v/>
      </c>
      <c r="J1216" s="7" t="str">
        <f t="shared" si="77"/>
        <v/>
      </c>
      <c r="K1216" s="9">
        <f t="shared" ca="1" si="78"/>
        <v>45404.878290162036</v>
      </c>
      <c r="L1216" s="10">
        <f t="shared" ca="1" si="79"/>
        <v>45404.878290046297</v>
      </c>
    </row>
    <row r="1217" spans="6:12" x14ac:dyDescent="0.25">
      <c r="F1217" s="11" t="str">
        <f>IF(ISBLANK(D1217),"",(VLOOKUP(D1217,Cardápio!$A$2:$B$16,2,0))*E1217)</f>
        <v/>
      </c>
      <c r="H1217" s="7" t="str">
        <f t="shared" si="76"/>
        <v/>
      </c>
      <c r="I1217" s="7" t="str">
        <f>IF(AND(ISBLANK(D1217),ISBLANK(C1217)),"",((VLOOKUP(D1217,Cardápio!$A$2:$C$16,3,0))*E1217)+IF(B1217="iFood",F1217*0.27,(VLOOKUP(VENDAS!C1217,Bairros!$A$2:$B$90,2,0))))</f>
        <v/>
      </c>
      <c r="J1217" s="7" t="str">
        <f t="shared" si="77"/>
        <v/>
      </c>
      <c r="K1217" s="9">
        <f t="shared" ca="1" si="78"/>
        <v>45404.878290162036</v>
      </c>
      <c r="L1217" s="10">
        <f t="shared" ca="1" si="79"/>
        <v>45404.878290046297</v>
      </c>
    </row>
    <row r="1218" spans="6:12" x14ac:dyDescent="0.25">
      <c r="F1218" s="11" t="str">
        <f>IF(ISBLANK(D1218),"",(VLOOKUP(D1218,Cardápio!$A$2:$B$16,2,0))*E1218)</f>
        <v/>
      </c>
      <c r="H1218" s="7" t="str">
        <f t="shared" si="76"/>
        <v/>
      </c>
      <c r="I1218" s="7" t="str">
        <f>IF(AND(ISBLANK(D1218),ISBLANK(C1218)),"",((VLOOKUP(D1218,Cardápio!$A$2:$C$16,3,0))*E1218)+IF(B1218="iFood",F1218*0.27,(VLOOKUP(VENDAS!C1218,Bairros!$A$2:$B$90,2,0))))</f>
        <v/>
      </c>
      <c r="J1218" s="7" t="str">
        <f t="shared" si="77"/>
        <v/>
      </c>
      <c r="K1218" s="9">
        <f t="shared" ca="1" si="78"/>
        <v>45404.878290162036</v>
      </c>
      <c r="L1218" s="10">
        <f t="shared" ca="1" si="79"/>
        <v>45404.878290046297</v>
      </c>
    </row>
    <row r="1219" spans="6:12" x14ac:dyDescent="0.25">
      <c r="F1219" s="11" t="str">
        <f>IF(ISBLANK(D1219),"",(VLOOKUP(D1219,Cardápio!$A$2:$B$16,2,0))*E1219)</f>
        <v/>
      </c>
      <c r="H1219" s="7" t="str">
        <f t="shared" si="76"/>
        <v/>
      </c>
      <c r="I1219" s="7" t="str">
        <f>IF(AND(ISBLANK(D1219),ISBLANK(C1219)),"",((VLOOKUP(D1219,Cardápio!$A$2:$C$16,3,0))*E1219)+IF(B1219="iFood",F1219*0.27,(VLOOKUP(VENDAS!C1219,Bairros!$A$2:$B$90,2,0))))</f>
        <v/>
      </c>
      <c r="J1219" s="7" t="str">
        <f t="shared" si="77"/>
        <v/>
      </c>
      <c r="K1219" s="9">
        <f t="shared" ca="1" si="78"/>
        <v>45404.878290162036</v>
      </c>
      <c r="L1219" s="10">
        <f t="shared" ca="1" si="79"/>
        <v>45404.878290046297</v>
      </c>
    </row>
    <row r="1220" spans="6:12" x14ac:dyDescent="0.25">
      <c r="F1220" s="11" t="str">
        <f>IF(ISBLANK(D1220),"",(VLOOKUP(D1220,Cardápio!$A$2:$B$16,2,0))*E1220)</f>
        <v/>
      </c>
      <c r="H1220" s="7" t="str">
        <f t="shared" si="76"/>
        <v/>
      </c>
      <c r="I1220" s="7" t="str">
        <f>IF(AND(ISBLANK(D1220),ISBLANK(C1220)),"",((VLOOKUP(D1220,Cardápio!$A$2:$C$16,3,0))*E1220)+IF(B1220="iFood",F1220*0.27,(VLOOKUP(VENDAS!C1220,Bairros!$A$2:$B$90,2,0))))</f>
        <v/>
      </c>
      <c r="J1220" s="7" t="str">
        <f t="shared" si="77"/>
        <v/>
      </c>
      <c r="K1220" s="9">
        <f t="shared" ca="1" si="78"/>
        <v>45404.878290162036</v>
      </c>
      <c r="L1220" s="10">
        <f t="shared" ca="1" si="79"/>
        <v>45404.878290046297</v>
      </c>
    </row>
    <row r="1221" spans="6:12" x14ac:dyDescent="0.25">
      <c r="F1221" s="11" t="str">
        <f>IF(ISBLANK(D1221),"",(VLOOKUP(D1221,Cardápio!$A$2:$B$16,2,0))*E1221)</f>
        <v/>
      </c>
      <c r="H1221" s="7" t="str">
        <f t="shared" si="76"/>
        <v/>
      </c>
      <c r="I1221" s="7" t="str">
        <f>IF(AND(ISBLANK(D1221),ISBLANK(C1221)),"",((VLOOKUP(D1221,Cardápio!$A$2:$C$16,3,0))*E1221)+IF(B1221="iFood",F1221*0.27,(VLOOKUP(VENDAS!C1221,Bairros!$A$2:$B$90,2,0))))</f>
        <v/>
      </c>
      <c r="J1221" s="7" t="str">
        <f t="shared" si="77"/>
        <v/>
      </c>
      <c r="K1221" s="9">
        <f t="shared" ca="1" si="78"/>
        <v>45404.878290162036</v>
      </c>
      <c r="L1221" s="10">
        <f t="shared" ca="1" si="79"/>
        <v>45404.878290046297</v>
      </c>
    </row>
    <row r="1222" spans="6:12" x14ac:dyDescent="0.25">
      <c r="F1222" s="11" t="str">
        <f>IF(ISBLANK(D1222),"",(VLOOKUP(D1222,Cardápio!$A$2:$B$16,2,0))*E1222)</f>
        <v/>
      </c>
      <c r="H1222" s="7" t="str">
        <f t="shared" si="76"/>
        <v/>
      </c>
      <c r="I1222" s="7" t="str">
        <f>IF(AND(ISBLANK(D1222),ISBLANK(C1222)),"",((VLOOKUP(D1222,Cardápio!$A$2:$C$16,3,0))*E1222)+IF(B1222="iFood",F1222*0.27,(VLOOKUP(VENDAS!C1222,Bairros!$A$2:$B$90,2,0))))</f>
        <v/>
      </c>
      <c r="J1222" s="7" t="str">
        <f t="shared" si="77"/>
        <v/>
      </c>
      <c r="K1222" s="9">
        <f t="shared" ca="1" si="78"/>
        <v>45404.878290162036</v>
      </c>
      <c r="L1222" s="10">
        <f t="shared" ca="1" si="79"/>
        <v>45404.878290046297</v>
      </c>
    </row>
    <row r="1223" spans="6:12" x14ac:dyDescent="0.25">
      <c r="F1223" s="11" t="str">
        <f>IF(ISBLANK(D1223),"",(VLOOKUP(D1223,Cardápio!$A$2:$B$16,2,0))*E1223)</f>
        <v/>
      </c>
      <c r="H1223" s="7" t="str">
        <f t="shared" si="76"/>
        <v/>
      </c>
      <c r="I1223" s="7" t="str">
        <f>IF(AND(ISBLANK(D1223),ISBLANK(C1223)),"",((VLOOKUP(D1223,Cardápio!$A$2:$C$16,3,0))*E1223)+IF(B1223="iFood",F1223*0.27,(VLOOKUP(VENDAS!C1223,Bairros!$A$2:$B$90,2,0))))</f>
        <v/>
      </c>
      <c r="J1223" s="7" t="str">
        <f t="shared" si="77"/>
        <v/>
      </c>
      <c r="K1223" s="9">
        <f t="shared" ca="1" si="78"/>
        <v>45404.878290162036</v>
      </c>
      <c r="L1223" s="10">
        <f t="shared" ca="1" si="79"/>
        <v>45404.878290046297</v>
      </c>
    </row>
    <row r="1224" spans="6:12" x14ac:dyDescent="0.25">
      <c r="F1224" s="11" t="str">
        <f>IF(ISBLANK(D1224),"",(VLOOKUP(D1224,Cardápio!$A$2:$B$16,2,0))*E1224)</f>
        <v/>
      </c>
      <c r="H1224" s="7" t="str">
        <f t="shared" si="76"/>
        <v/>
      </c>
      <c r="I1224" s="7" t="str">
        <f>IF(AND(ISBLANK(D1224),ISBLANK(C1224)),"",((VLOOKUP(D1224,Cardápio!$A$2:$C$16,3,0))*E1224)+IF(B1224="iFood",F1224*0.27,(VLOOKUP(VENDAS!C1224,Bairros!$A$2:$B$90,2,0))))</f>
        <v/>
      </c>
      <c r="J1224" s="7" t="str">
        <f t="shared" si="77"/>
        <v/>
      </c>
      <c r="K1224" s="9">
        <f t="shared" ca="1" si="78"/>
        <v>45404.878290162036</v>
      </c>
      <c r="L1224" s="10">
        <f t="shared" ca="1" si="79"/>
        <v>45404.878290046297</v>
      </c>
    </row>
    <row r="1225" spans="6:12" x14ac:dyDescent="0.25">
      <c r="F1225" s="11" t="str">
        <f>IF(ISBLANK(D1225),"",(VLOOKUP(D1225,Cardápio!$A$2:$B$16,2,0))*E1225)</f>
        <v/>
      </c>
      <c r="H1225" s="7" t="str">
        <f t="shared" si="76"/>
        <v/>
      </c>
      <c r="I1225" s="7" t="str">
        <f>IF(AND(ISBLANK(D1225),ISBLANK(C1225)),"",((VLOOKUP(D1225,Cardápio!$A$2:$C$16,3,0))*E1225)+IF(B1225="iFood",F1225*0.27,(VLOOKUP(VENDAS!C1225,Bairros!$A$2:$B$90,2,0))))</f>
        <v/>
      </c>
      <c r="J1225" s="7" t="str">
        <f t="shared" si="77"/>
        <v/>
      </c>
      <c r="K1225" s="9">
        <f t="shared" ca="1" si="78"/>
        <v>45404.878290162036</v>
      </c>
      <c r="L1225" s="10">
        <f t="shared" ca="1" si="79"/>
        <v>45404.878290046297</v>
      </c>
    </row>
    <row r="1226" spans="6:12" x14ac:dyDescent="0.25">
      <c r="F1226" s="11" t="str">
        <f>IF(ISBLANK(D1226),"",(VLOOKUP(D1226,Cardápio!$A$2:$B$16,2,0))*E1226)</f>
        <v/>
      </c>
      <c r="H1226" s="7" t="str">
        <f t="shared" si="76"/>
        <v/>
      </c>
      <c r="I1226" s="7" t="str">
        <f>IF(AND(ISBLANK(D1226),ISBLANK(C1226)),"",((VLOOKUP(D1226,Cardápio!$A$2:$C$16,3,0))*E1226)+IF(B1226="iFood",F1226*0.27,(VLOOKUP(VENDAS!C1226,Bairros!$A$2:$B$90,2,0))))</f>
        <v/>
      </c>
      <c r="J1226" s="7" t="str">
        <f t="shared" si="77"/>
        <v/>
      </c>
      <c r="K1226" s="9">
        <f t="shared" ca="1" si="78"/>
        <v>45404.878290162036</v>
      </c>
      <c r="L1226" s="10">
        <f t="shared" ca="1" si="79"/>
        <v>45404.878290046297</v>
      </c>
    </row>
    <row r="1227" spans="6:12" x14ac:dyDescent="0.25">
      <c r="F1227" s="11" t="str">
        <f>IF(ISBLANK(D1227),"",(VLOOKUP(D1227,Cardápio!$A$2:$B$16,2,0))*E1227)</f>
        <v/>
      </c>
      <c r="H1227" s="7" t="str">
        <f t="shared" si="76"/>
        <v/>
      </c>
      <c r="I1227" s="7" t="str">
        <f>IF(AND(ISBLANK(D1227),ISBLANK(C1227)),"",((VLOOKUP(D1227,Cardápio!$A$2:$C$16,3,0))*E1227)+IF(B1227="iFood",F1227*0.27,(VLOOKUP(VENDAS!C1227,Bairros!$A$2:$B$90,2,0))))</f>
        <v/>
      </c>
      <c r="J1227" s="7" t="str">
        <f t="shared" si="77"/>
        <v/>
      </c>
      <c r="K1227" s="9">
        <f t="shared" ca="1" si="78"/>
        <v>45404.878290162036</v>
      </c>
      <c r="L1227" s="10">
        <f t="shared" ca="1" si="79"/>
        <v>45404.878290046297</v>
      </c>
    </row>
    <row r="1228" spans="6:12" x14ac:dyDescent="0.25">
      <c r="F1228" s="11" t="str">
        <f>IF(ISBLANK(D1228),"",(VLOOKUP(D1228,Cardápio!$A$2:$B$16,2,0))*E1228)</f>
        <v/>
      </c>
      <c r="H1228" s="7" t="str">
        <f t="shared" si="76"/>
        <v/>
      </c>
      <c r="I1228" s="7" t="str">
        <f>IF(AND(ISBLANK(D1228),ISBLANK(C1228)),"",((VLOOKUP(D1228,Cardápio!$A$2:$C$16,3,0))*E1228)+IF(B1228="iFood",F1228*0.27,(VLOOKUP(VENDAS!C1228,Bairros!$A$2:$B$90,2,0))))</f>
        <v/>
      </c>
      <c r="J1228" s="7" t="str">
        <f t="shared" si="77"/>
        <v/>
      </c>
      <c r="K1228" s="9">
        <f t="shared" ca="1" si="78"/>
        <v>45404.878290162036</v>
      </c>
      <c r="L1228" s="10">
        <f t="shared" ca="1" si="79"/>
        <v>45404.878290046297</v>
      </c>
    </row>
    <row r="1229" spans="6:12" x14ac:dyDescent="0.25">
      <c r="F1229" s="11" t="str">
        <f>IF(ISBLANK(D1229),"",(VLOOKUP(D1229,Cardápio!$A$2:$B$16,2,0))*E1229)</f>
        <v/>
      </c>
      <c r="H1229" s="7" t="str">
        <f t="shared" si="76"/>
        <v/>
      </c>
      <c r="I1229" s="7" t="str">
        <f>IF(AND(ISBLANK(D1229),ISBLANK(C1229)),"",((VLOOKUP(D1229,Cardápio!$A$2:$C$16,3,0))*E1229)+IF(B1229="iFood",F1229*0.27,(VLOOKUP(VENDAS!C1229,Bairros!$A$2:$B$90,2,0))))</f>
        <v/>
      </c>
      <c r="J1229" s="7" t="str">
        <f t="shared" si="77"/>
        <v/>
      </c>
      <c r="K1229" s="9">
        <f t="shared" ca="1" si="78"/>
        <v>45404.878290162036</v>
      </c>
      <c r="L1229" s="10">
        <f t="shared" ca="1" si="79"/>
        <v>45404.878290046297</v>
      </c>
    </row>
    <row r="1230" spans="6:12" x14ac:dyDescent="0.25">
      <c r="F1230" s="11" t="str">
        <f>IF(ISBLANK(D1230),"",(VLOOKUP(D1230,Cardápio!$A$2:$B$16,2,0))*E1230)</f>
        <v/>
      </c>
      <c r="H1230" s="7" t="str">
        <f t="shared" si="76"/>
        <v/>
      </c>
      <c r="I1230" s="7" t="str">
        <f>IF(AND(ISBLANK(D1230),ISBLANK(C1230)),"",((VLOOKUP(D1230,Cardápio!$A$2:$C$16,3,0))*E1230)+IF(B1230="iFood",F1230*0.27,(VLOOKUP(VENDAS!C1230,Bairros!$A$2:$B$90,2,0))))</f>
        <v/>
      </c>
      <c r="J1230" s="7" t="str">
        <f t="shared" si="77"/>
        <v/>
      </c>
      <c r="K1230" s="9">
        <f t="shared" ca="1" si="78"/>
        <v>45404.878290162036</v>
      </c>
      <c r="L1230" s="10">
        <f t="shared" ca="1" si="79"/>
        <v>45404.878290046297</v>
      </c>
    </row>
    <row r="1231" spans="6:12" x14ac:dyDescent="0.25">
      <c r="F1231" s="11" t="str">
        <f>IF(ISBLANK(D1231),"",(VLOOKUP(D1231,Cardápio!$A$2:$B$16,2,0))*E1231)</f>
        <v/>
      </c>
      <c r="H1231" s="7" t="str">
        <f t="shared" si="76"/>
        <v/>
      </c>
      <c r="I1231" s="7" t="str">
        <f>IF(AND(ISBLANK(D1231),ISBLANK(C1231)),"",((VLOOKUP(D1231,Cardápio!$A$2:$C$16,3,0))*E1231)+IF(B1231="iFood",F1231*0.27,(VLOOKUP(VENDAS!C1231,Bairros!$A$2:$B$90,2,0))))</f>
        <v/>
      </c>
      <c r="J1231" s="7" t="str">
        <f t="shared" si="77"/>
        <v/>
      </c>
      <c r="K1231" s="9">
        <f t="shared" ca="1" si="78"/>
        <v>45404.878290162036</v>
      </c>
      <c r="L1231" s="10">
        <f t="shared" ca="1" si="79"/>
        <v>45404.878290046297</v>
      </c>
    </row>
    <row r="1232" spans="6:12" x14ac:dyDescent="0.25">
      <c r="F1232" s="11" t="str">
        <f>IF(ISBLANK(D1232),"",(VLOOKUP(D1232,Cardápio!$A$2:$B$16,2,0))*E1232)</f>
        <v/>
      </c>
      <c r="H1232" s="7" t="str">
        <f t="shared" si="76"/>
        <v/>
      </c>
      <c r="I1232" s="7" t="str">
        <f>IF(AND(ISBLANK(D1232),ISBLANK(C1232)),"",((VLOOKUP(D1232,Cardápio!$A$2:$C$16,3,0))*E1232)+IF(B1232="iFood",F1232*0.27,(VLOOKUP(VENDAS!C1232,Bairros!$A$2:$B$90,2,0))))</f>
        <v/>
      </c>
      <c r="J1232" s="7" t="str">
        <f t="shared" si="77"/>
        <v/>
      </c>
      <c r="K1232" s="9">
        <f t="shared" ca="1" si="78"/>
        <v>45404.878290162036</v>
      </c>
      <c r="L1232" s="10">
        <f t="shared" ca="1" si="79"/>
        <v>45404.878290046297</v>
      </c>
    </row>
    <row r="1233" spans="6:12" x14ac:dyDescent="0.25">
      <c r="F1233" s="11" t="str">
        <f>IF(ISBLANK(D1233),"",(VLOOKUP(D1233,Cardápio!$A$2:$B$16,2,0))*E1233)</f>
        <v/>
      </c>
      <c r="H1233" s="7" t="str">
        <f t="shared" si="76"/>
        <v/>
      </c>
      <c r="I1233" s="7" t="str">
        <f>IF(AND(ISBLANK(D1233),ISBLANK(C1233)),"",((VLOOKUP(D1233,Cardápio!$A$2:$C$16,3,0))*E1233)+IF(B1233="iFood",F1233*0.27,(VLOOKUP(VENDAS!C1233,Bairros!$A$2:$B$90,2,0))))</f>
        <v/>
      </c>
      <c r="J1233" s="7" t="str">
        <f t="shared" si="77"/>
        <v/>
      </c>
      <c r="K1233" s="9">
        <f t="shared" ca="1" si="78"/>
        <v>45404.878290162036</v>
      </c>
      <c r="L1233" s="10">
        <f t="shared" ca="1" si="79"/>
        <v>45404.878290046297</v>
      </c>
    </row>
    <row r="1234" spans="6:12" x14ac:dyDescent="0.25">
      <c r="F1234" s="11" t="str">
        <f>IF(ISBLANK(D1234),"",(VLOOKUP(D1234,Cardápio!$A$2:$B$16,2,0))*E1234)</f>
        <v/>
      </c>
      <c r="H1234" s="7" t="str">
        <f t="shared" si="76"/>
        <v/>
      </c>
      <c r="I1234" s="7" t="str">
        <f>IF(AND(ISBLANK(D1234),ISBLANK(C1234)),"",((VLOOKUP(D1234,Cardápio!$A$2:$C$16,3,0))*E1234)+IF(B1234="iFood",F1234*0.27,(VLOOKUP(VENDAS!C1234,Bairros!$A$2:$B$90,2,0))))</f>
        <v/>
      </c>
      <c r="J1234" s="7" t="str">
        <f t="shared" si="77"/>
        <v/>
      </c>
      <c r="K1234" s="9">
        <f t="shared" ca="1" si="78"/>
        <v>45404.878290162036</v>
      </c>
      <c r="L1234" s="10">
        <f t="shared" ca="1" si="79"/>
        <v>45404.878290046297</v>
      </c>
    </row>
    <row r="1235" spans="6:12" x14ac:dyDescent="0.25">
      <c r="F1235" s="11" t="str">
        <f>IF(ISBLANK(D1235),"",(VLOOKUP(D1235,Cardápio!$A$2:$B$16,2,0))*E1235)</f>
        <v/>
      </c>
      <c r="H1235" s="7" t="str">
        <f t="shared" si="76"/>
        <v/>
      </c>
      <c r="I1235" s="7" t="str">
        <f>IF(AND(ISBLANK(D1235),ISBLANK(C1235)),"",((VLOOKUP(D1235,Cardápio!$A$2:$C$16,3,0))*E1235)+IF(B1235="iFood",F1235*0.27,(VLOOKUP(VENDAS!C1235,Bairros!$A$2:$B$90,2,0))))</f>
        <v/>
      </c>
      <c r="J1235" s="7" t="str">
        <f t="shared" si="77"/>
        <v/>
      </c>
      <c r="K1235" s="9">
        <f t="shared" ca="1" si="78"/>
        <v>45404.878290162036</v>
      </c>
      <c r="L1235" s="10">
        <f t="shared" ca="1" si="79"/>
        <v>45404.878290046297</v>
      </c>
    </row>
    <row r="1236" spans="6:12" x14ac:dyDescent="0.25">
      <c r="F1236" s="11" t="str">
        <f>IF(ISBLANK(D1236),"",(VLOOKUP(D1236,Cardápio!$A$2:$B$16,2,0))*E1236)</f>
        <v/>
      </c>
      <c r="H1236" s="7" t="str">
        <f t="shared" si="76"/>
        <v/>
      </c>
      <c r="I1236" s="7" t="str">
        <f>IF(AND(ISBLANK(D1236),ISBLANK(C1236)),"",((VLOOKUP(D1236,Cardápio!$A$2:$C$16,3,0))*E1236)+IF(B1236="iFood",F1236*0.27,(VLOOKUP(VENDAS!C1236,Bairros!$A$2:$B$90,2,0))))</f>
        <v/>
      </c>
      <c r="J1236" s="7" t="str">
        <f t="shared" si="77"/>
        <v/>
      </c>
      <c r="K1236" s="9">
        <f t="shared" ca="1" si="78"/>
        <v>45404.878290162036</v>
      </c>
      <c r="L1236" s="10">
        <f t="shared" ca="1" si="79"/>
        <v>45404.878290046297</v>
      </c>
    </row>
    <row r="1237" spans="6:12" x14ac:dyDescent="0.25">
      <c r="F1237" s="11" t="str">
        <f>IF(ISBLANK(D1237),"",(VLOOKUP(D1237,Cardápio!$A$2:$B$16,2,0))*E1237)</f>
        <v/>
      </c>
      <c r="H1237" s="7" t="str">
        <f t="shared" si="76"/>
        <v/>
      </c>
      <c r="I1237" s="7" t="str">
        <f>IF(AND(ISBLANK(D1237),ISBLANK(C1237)),"",((VLOOKUP(D1237,Cardápio!$A$2:$C$16,3,0))*E1237)+IF(B1237="iFood",F1237*0.27,(VLOOKUP(VENDAS!C1237,Bairros!$A$2:$B$90,2,0))))</f>
        <v/>
      </c>
      <c r="J1237" s="7" t="str">
        <f t="shared" si="77"/>
        <v/>
      </c>
      <c r="K1237" s="9">
        <f t="shared" ca="1" si="78"/>
        <v>45404.878290162036</v>
      </c>
      <c r="L1237" s="10">
        <f t="shared" ca="1" si="79"/>
        <v>45404.878290046297</v>
      </c>
    </row>
    <row r="1238" spans="6:12" x14ac:dyDescent="0.25">
      <c r="F1238" s="11" t="str">
        <f>IF(ISBLANK(D1238),"",(VLOOKUP(D1238,Cardápio!$A$2:$B$16,2,0))*E1238)</f>
        <v/>
      </c>
      <c r="H1238" s="7" t="str">
        <f t="shared" si="76"/>
        <v/>
      </c>
      <c r="I1238" s="7" t="str">
        <f>IF(AND(ISBLANK(D1238),ISBLANK(C1238)),"",((VLOOKUP(D1238,Cardápio!$A$2:$C$16,3,0))*E1238)+IF(B1238="iFood",F1238*0.27,(VLOOKUP(VENDAS!C1238,Bairros!$A$2:$B$90,2,0))))</f>
        <v/>
      </c>
      <c r="J1238" s="7" t="str">
        <f t="shared" si="77"/>
        <v/>
      </c>
      <c r="K1238" s="9">
        <f t="shared" ca="1" si="78"/>
        <v>45404.878290162036</v>
      </c>
      <c r="L1238" s="10">
        <f t="shared" ca="1" si="79"/>
        <v>45404.878290046297</v>
      </c>
    </row>
    <row r="1239" spans="6:12" x14ac:dyDescent="0.25">
      <c r="F1239" s="11" t="str">
        <f>IF(ISBLANK(D1239),"",(VLOOKUP(D1239,Cardápio!$A$2:$B$16,2,0))*E1239)</f>
        <v/>
      </c>
      <c r="H1239" s="7" t="str">
        <f t="shared" si="76"/>
        <v/>
      </c>
      <c r="I1239" s="7" t="str">
        <f>IF(AND(ISBLANK(D1239),ISBLANK(C1239)),"",((VLOOKUP(D1239,Cardápio!$A$2:$C$16,3,0))*E1239)+IF(B1239="iFood",F1239*0.27,(VLOOKUP(VENDAS!C1239,Bairros!$A$2:$B$90,2,0))))</f>
        <v/>
      </c>
      <c r="J1239" s="7" t="str">
        <f t="shared" si="77"/>
        <v/>
      </c>
      <c r="K1239" s="9">
        <f t="shared" ca="1" si="78"/>
        <v>45404.878290162036</v>
      </c>
      <c r="L1239" s="10">
        <f t="shared" ca="1" si="79"/>
        <v>45404.878290046297</v>
      </c>
    </row>
    <row r="1240" spans="6:12" x14ac:dyDescent="0.25">
      <c r="F1240" s="11" t="str">
        <f>IF(ISBLANK(D1240),"",(VLOOKUP(D1240,Cardápio!$A$2:$B$16,2,0))*E1240)</f>
        <v/>
      </c>
      <c r="H1240" s="7" t="str">
        <f t="shared" si="76"/>
        <v/>
      </c>
      <c r="I1240" s="7" t="str">
        <f>IF(AND(ISBLANK(D1240),ISBLANK(C1240)),"",((VLOOKUP(D1240,Cardápio!$A$2:$C$16,3,0))*E1240)+IF(B1240="iFood",F1240*0.27,(VLOOKUP(VENDAS!C1240,Bairros!$A$2:$B$90,2,0))))</f>
        <v/>
      </c>
      <c r="J1240" s="7" t="str">
        <f t="shared" si="77"/>
        <v/>
      </c>
      <c r="K1240" s="9">
        <f t="shared" ca="1" si="78"/>
        <v>45404.878290162036</v>
      </c>
      <c r="L1240" s="10">
        <f t="shared" ca="1" si="79"/>
        <v>45404.878290046297</v>
      </c>
    </row>
    <row r="1241" spans="6:12" x14ac:dyDescent="0.25">
      <c r="F1241" s="11" t="str">
        <f>IF(ISBLANK(D1241),"",(VLOOKUP(D1241,Cardápio!$A$2:$B$16,2,0))*E1241)</f>
        <v/>
      </c>
      <c r="H1241" s="7" t="str">
        <f t="shared" si="76"/>
        <v/>
      </c>
      <c r="I1241" s="7" t="str">
        <f>IF(AND(ISBLANK(D1241),ISBLANK(C1241)),"",((VLOOKUP(D1241,Cardápio!$A$2:$C$16,3,0))*E1241)+IF(B1241="iFood",F1241*0.27,(VLOOKUP(VENDAS!C1241,Bairros!$A$2:$B$90,2,0))))</f>
        <v/>
      </c>
      <c r="J1241" s="7" t="str">
        <f t="shared" si="77"/>
        <v/>
      </c>
      <c r="K1241" s="9">
        <f t="shared" ca="1" si="78"/>
        <v>45404.878290162036</v>
      </c>
      <c r="L1241" s="10">
        <f t="shared" ca="1" si="79"/>
        <v>45404.878290046297</v>
      </c>
    </row>
    <row r="1242" spans="6:12" x14ac:dyDescent="0.25">
      <c r="F1242" s="11" t="str">
        <f>IF(ISBLANK(D1242),"",(VLOOKUP(D1242,Cardápio!$A$2:$B$16,2,0))*E1242)</f>
        <v/>
      </c>
      <c r="H1242" s="7" t="str">
        <f t="shared" si="76"/>
        <v/>
      </c>
      <c r="I1242" s="7" t="str">
        <f>IF(AND(ISBLANK(D1242),ISBLANK(C1242)),"",((VLOOKUP(D1242,Cardápio!$A$2:$C$16,3,0))*E1242)+IF(B1242="iFood",F1242*0.27,(VLOOKUP(VENDAS!C1242,Bairros!$A$2:$B$90,2,0))))</f>
        <v/>
      </c>
      <c r="J1242" s="7" t="str">
        <f t="shared" si="77"/>
        <v/>
      </c>
      <c r="K1242" s="9">
        <f t="shared" ca="1" si="78"/>
        <v>45404.878290162036</v>
      </c>
      <c r="L1242" s="10">
        <f t="shared" ca="1" si="79"/>
        <v>45404.878290046297</v>
      </c>
    </row>
    <row r="1243" spans="6:12" x14ac:dyDescent="0.25">
      <c r="F1243" s="11" t="str">
        <f>IF(ISBLANK(D1243),"",(VLOOKUP(D1243,Cardápio!$A$2:$B$16,2,0))*E1243)</f>
        <v/>
      </c>
      <c r="H1243" s="7" t="str">
        <f t="shared" si="76"/>
        <v/>
      </c>
      <c r="I1243" s="7" t="str">
        <f>IF(AND(ISBLANK(D1243),ISBLANK(C1243)),"",((VLOOKUP(D1243,Cardápio!$A$2:$C$16,3,0))*E1243)+IF(B1243="iFood",F1243*0.27,(VLOOKUP(VENDAS!C1243,Bairros!$A$2:$B$90,2,0))))</f>
        <v/>
      </c>
      <c r="J1243" s="7" t="str">
        <f t="shared" si="77"/>
        <v/>
      </c>
      <c r="K1243" s="9">
        <f t="shared" ca="1" si="78"/>
        <v>45404.878290162036</v>
      </c>
      <c r="L1243" s="10">
        <f t="shared" ca="1" si="79"/>
        <v>45404.878290046297</v>
      </c>
    </row>
    <row r="1244" spans="6:12" x14ac:dyDescent="0.25">
      <c r="F1244" s="11" t="str">
        <f>IF(ISBLANK(D1244),"",(VLOOKUP(D1244,Cardápio!$A$2:$B$16,2,0))*E1244)</f>
        <v/>
      </c>
      <c r="H1244" s="7" t="str">
        <f t="shared" si="76"/>
        <v/>
      </c>
      <c r="I1244" s="7" t="str">
        <f>IF(AND(ISBLANK(D1244),ISBLANK(C1244)),"",((VLOOKUP(D1244,Cardápio!$A$2:$C$16,3,0))*E1244)+IF(B1244="iFood",F1244*0.27,(VLOOKUP(VENDAS!C1244,Bairros!$A$2:$B$90,2,0))))</f>
        <v/>
      </c>
      <c r="J1244" s="7" t="str">
        <f t="shared" si="77"/>
        <v/>
      </c>
      <c r="K1244" s="9">
        <f t="shared" ca="1" si="78"/>
        <v>45404.878290162036</v>
      </c>
      <c r="L1244" s="10">
        <f t="shared" ca="1" si="79"/>
        <v>45404.878290046297</v>
      </c>
    </row>
    <row r="1245" spans="6:12" x14ac:dyDescent="0.25">
      <c r="F1245" s="11" t="str">
        <f>IF(ISBLANK(D1245),"",(VLOOKUP(D1245,Cardápio!$A$2:$B$16,2,0))*E1245)</f>
        <v/>
      </c>
      <c r="H1245" s="7" t="str">
        <f t="shared" si="76"/>
        <v/>
      </c>
      <c r="I1245" s="7" t="str">
        <f>IF(AND(ISBLANK(D1245),ISBLANK(C1245)),"",((VLOOKUP(D1245,Cardápio!$A$2:$C$16,3,0))*E1245)+IF(B1245="iFood",F1245*0.27,(VLOOKUP(VENDAS!C1245,Bairros!$A$2:$B$90,2,0))))</f>
        <v/>
      </c>
      <c r="J1245" s="7" t="str">
        <f t="shared" si="77"/>
        <v/>
      </c>
      <c r="K1245" s="9">
        <f t="shared" ca="1" si="78"/>
        <v>45404.878290162036</v>
      </c>
      <c r="L1245" s="10">
        <f t="shared" ca="1" si="79"/>
        <v>45404.878290046297</v>
      </c>
    </row>
    <row r="1246" spans="6:12" x14ac:dyDescent="0.25">
      <c r="F1246" s="11" t="str">
        <f>IF(ISBLANK(D1246),"",(VLOOKUP(D1246,Cardápio!$A$2:$B$16,2,0))*E1246)</f>
        <v/>
      </c>
      <c r="H1246" s="7" t="str">
        <f t="shared" si="76"/>
        <v/>
      </c>
      <c r="I1246" s="7" t="str">
        <f>IF(AND(ISBLANK(D1246),ISBLANK(C1246)),"",((VLOOKUP(D1246,Cardápio!$A$2:$C$16,3,0))*E1246)+IF(B1246="iFood",F1246*0.27,(VLOOKUP(VENDAS!C1246,Bairros!$A$2:$B$90,2,0))))</f>
        <v/>
      </c>
      <c r="J1246" s="7" t="str">
        <f t="shared" si="77"/>
        <v/>
      </c>
      <c r="K1246" s="9">
        <f t="shared" ca="1" si="78"/>
        <v>45404.878290162036</v>
      </c>
      <c r="L1246" s="10">
        <f t="shared" ca="1" si="79"/>
        <v>45404.878290046297</v>
      </c>
    </row>
    <row r="1247" spans="6:12" x14ac:dyDescent="0.25">
      <c r="F1247" s="11" t="str">
        <f>IF(ISBLANK(D1247),"",(VLOOKUP(D1247,Cardápio!$A$2:$B$16,2,0))*E1247)</f>
        <v/>
      </c>
      <c r="H1247" s="7" t="str">
        <f t="shared" si="76"/>
        <v/>
      </c>
      <c r="I1247" s="7" t="str">
        <f>IF(AND(ISBLANK(D1247),ISBLANK(C1247)),"",((VLOOKUP(D1247,Cardápio!$A$2:$C$16,3,0))*E1247)+IF(B1247="iFood",F1247*0.27,(VLOOKUP(VENDAS!C1247,Bairros!$A$2:$B$90,2,0))))</f>
        <v/>
      </c>
      <c r="J1247" s="7" t="str">
        <f t="shared" si="77"/>
        <v/>
      </c>
      <c r="K1247" s="9">
        <f t="shared" ca="1" si="78"/>
        <v>45404.878290162036</v>
      </c>
      <c r="L1247" s="10">
        <f t="shared" ca="1" si="79"/>
        <v>45404.878290046297</v>
      </c>
    </row>
    <row r="1248" spans="6:12" x14ac:dyDescent="0.25">
      <c r="F1248" s="11" t="str">
        <f>IF(ISBLANK(D1248),"",(VLOOKUP(D1248,Cardápio!$A$2:$B$16,2,0))*E1248)</f>
        <v/>
      </c>
      <c r="H1248" s="7" t="str">
        <f t="shared" si="76"/>
        <v/>
      </c>
      <c r="I1248" s="7" t="str">
        <f>IF(AND(ISBLANK(D1248),ISBLANK(C1248)),"",((VLOOKUP(D1248,Cardápio!$A$2:$C$16,3,0))*E1248)+IF(B1248="iFood",F1248*0.27,(VLOOKUP(VENDAS!C1248,Bairros!$A$2:$B$90,2,0))))</f>
        <v/>
      </c>
      <c r="J1248" s="7" t="str">
        <f t="shared" si="77"/>
        <v/>
      </c>
      <c r="K1248" s="9">
        <f t="shared" ca="1" si="78"/>
        <v>45404.878290162036</v>
      </c>
      <c r="L1248" s="10">
        <f t="shared" ca="1" si="79"/>
        <v>45404.878290046297</v>
      </c>
    </row>
    <row r="1249" spans="6:12" x14ac:dyDescent="0.25">
      <c r="F1249" s="11" t="str">
        <f>IF(ISBLANK(D1249),"",(VLOOKUP(D1249,Cardápio!$A$2:$B$16,2,0))*E1249)</f>
        <v/>
      </c>
      <c r="H1249" s="7" t="str">
        <f t="shared" si="76"/>
        <v/>
      </c>
      <c r="I1249" s="7" t="str">
        <f>IF(AND(ISBLANK(D1249),ISBLANK(C1249)),"",((VLOOKUP(D1249,Cardápio!$A$2:$C$16,3,0))*E1249)+IF(B1249="iFood",F1249*0.27,(VLOOKUP(VENDAS!C1249,Bairros!$A$2:$B$90,2,0))))</f>
        <v/>
      </c>
      <c r="J1249" s="7" t="str">
        <f t="shared" si="77"/>
        <v/>
      </c>
      <c r="K1249" s="9">
        <f t="shared" ca="1" si="78"/>
        <v>45404.878290162036</v>
      </c>
      <c r="L1249" s="10">
        <f t="shared" ca="1" si="79"/>
        <v>45404.878290046297</v>
      </c>
    </row>
    <row r="1250" spans="6:12" x14ac:dyDescent="0.25">
      <c r="F1250" s="11" t="str">
        <f>IF(ISBLANK(D1250),"",(VLOOKUP(D1250,Cardápio!$A$2:$B$16,2,0))*E1250)</f>
        <v/>
      </c>
      <c r="H1250" s="7" t="str">
        <f t="shared" si="76"/>
        <v/>
      </c>
      <c r="I1250" s="7" t="str">
        <f>IF(AND(ISBLANK(D1250),ISBLANK(C1250)),"",((VLOOKUP(D1250,Cardápio!$A$2:$C$16,3,0))*E1250)+IF(B1250="iFood",F1250*0.27,(VLOOKUP(VENDAS!C1250,Bairros!$A$2:$B$90,2,0))))</f>
        <v/>
      </c>
      <c r="J1250" s="7" t="str">
        <f t="shared" si="77"/>
        <v/>
      </c>
      <c r="K1250" s="9">
        <f t="shared" ca="1" si="78"/>
        <v>45404.878290162036</v>
      </c>
      <c r="L1250" s="10">
        <f t="shared" ca="1" si="79"/>
        <v>45404.878290046297</v>
      </c>
    </row>
    <row r="1251" spans="6:12" x14ac:dyDescent="0.25">
      <c r="F1251" s="11" t="str">
        <f>IF(ISBLANK(D1251),"",(VLOOKUP(D1251,Cardápio!$A$2:$B$16,2,0))*E1251)</f>
        <v/>
      </c>
      <c r="H1251" s="7" t="str">
        <f t="shared" si="76"/>
        <v/>
      </c>
      <c r="I1251" s="7" t="str">
        <f>IF(AND(ISBLANK(D1251),ISBLANK(C1251)),"",((VLOOKUP(D1251,Cardápio!$A$2:$C$16,3,0))*E1251)+IF(B1251="iFood",F1251*0.27,(VLOOKUP(VENDAS!C1251,Bairros!$A$2:$B$90,2,0))))</f>
        <v/>
      </c>
      <c r="J1251" s="7" t="str">
        <f t="shared" si="77"/>
        <v/>
      </c>
      <c r="K1251" s="9">
        <f t="shared" ca="1" si="78"/>
        <v>45404.878290162036</v>
      </c>
      <c r="L1251" s="10">
        <f t="shared" ca="1" si="79"/>
        <v>45404.878290046297</v>
      </c>
    </row>
    <row r="1252" spans="6:12" x14ac:dyDescent="0.25">
      <c r="F1252" s="11" t="str">
        <f>IF(ISBLANK(D1252),"",(VLOOKUP(D1252,Cardápio!$A$2:$B$16,2,0))*E1252)</f>
        <v/>
      </c>
      <c r="H1252" s="7" t="str">
        <f t="shared" si="76"/>
        <v/>
      </c>
      <c r="I1252" s="7" t="str">
        <f>IF(AND(ISBLANK(D1252),ISBLANK(C1252)),"",((VLOOKUP(D1252,Cardápio!$A$2:$C$16,3,0))*E1252)+IF(B1252="iFood",F1252*0.27,(VLOOKUP(VENDAS!C1252,Bairros!$A$2:$B$90,2,0))))</f>
        <v/>
      </c>
      <c r="J1252" s="7" t="str">
        <f t="shared" si="77"/>
        <v/>
      </c>
      <c r="K1252" s="9">
        <f t="shared" ca="1" si="78"/>
        <v>45404.878290162036</v>
      </c>
      <c r="L1252" s="10">
        <f t="shared" ca="1" si="79"/>
        <v>45404.878290046297</v>
      </c>
    </row>
    <row r="1253" spans="6:12" x14ac:dyDescent="0.25">
      <c r="F1253" s="11" t="str">
        <f>IF(ISBLANK(D1253),"",(VLOOKUP(D1253,Cardápio!$A$2:$B$16,2,0))*E1253)</f>
        <v/>
      </c>
      <c r="H1253" s="7" t="str">
        <f t="shared" si="76"/>
        <v/>
      </c>
      <c r="I1253" s="7" t="str">
        <f>IF(AND(ISBLANK(D1253),ISBLANK(C1253)),"",((VLOOKUP(D1253,Cardápio!$A$2:$C$16,3,0))*E1253)+IF(B1253="iFood",F1253*0.27,(VLOOKUP(VENDAS!C1253,Bairros!$A$2:$B$90,2,0))))</f>
        <v/>
      </c>
      <c r="J1253" s="7" t="str">
        <f t="shared" si="77"/>
        <v/>
      </c>
      <c r="K1253" s="9">
        <f t="shared" ca="1" si="78"/>
        <v>45404.878290162036</v>
      </c>
      <c r="L1253" s="10">
        <f t="shared" ca="1" si="79"/>
        <v>45404.878290046297</v>
      </c>
    </row>
    <row r="1254" spans="6:12" x14ac:dyDescent="0.25">
      <c r="F1254" s="11" t="str">
        <f>IF(ISBLANK(D1254),"",(VLOOKUP(D1254,Cardápio!$A$2:$B$16,2,0))*E1254)</f>
        <v/>
      </c>
      <c r="H1254" s="7" t="str">
        <f t="shared" si="76"/>
        <v/>
      </c>
      <c r="I1254" s="7" t="str">
        <f>IF(AND(ISBLANK(D1254),ISBLANK(C1254)),"",((VLOOKUP(D1254,Cardápio!$A$2:$C$16,3,0))*E1254)+IF(B1254="iFood",F1254*0.27,(VLOOKUP(VENDAS!C1254,Bairros!$A$2:$B$90,2,0))))</f>
        <v/>
      </c>
      <c r="J1254" s="7" t="str">
        <f t="shared" si="77"/>
        <v/>
      </c>
      <c r="K1254" s="9">
        <f t="shared" ca="1" si="78"/>
        <v>45404.878290162036</v>
      </c>
      <c r="L1254" s="10">
        <f t="shared" ca="1" si="79"/>
        <v>45404.878290046297</v>
      </c>
    </row>
    <row r="1255" spans="6:12" x14ac:dyDescent="0.25">
      <c r="F1255" s="11" t="str">
        <f>IF(ISBLANK(D1255),"",(VLOOKUP(D1255,Cardápio!$A$2:$B$16,2,0))*E1255)</f>
        <v/>
      </c>
      <c r="H1255" s="7" t="str">
        <f t="shared" si="76"/>
        <v/>
      </c>
      <c r="I1255" s="7" t="str">
        <f>IF(AND(ISBLANK(D1255),ISBLANK(C1255)),"",((VLOOKUP(D1255,Cardápio!$A$2:$C$16,3,0))*E1255)+IF(B1255="iFood",F1255*0.27,(VLOOKUP(VENDAS!C1255,Bairros!$A$2:$B$90,2,0))))</f>
        <v/>
      </c>
      <c r="J1255" s="7" t="str">
        <f t="shared" si="77"/>
        <v/>
      </c>
      <c r="K1255" s="9">
        <f t="shared" ca="1" si="78"/>
        <v>45404.878290162036</v>
      </c>
      <c r="L1255" s="10">
        <f t="shared" ca="1" si="79"/>
        <v>45404.878290046297</v>
      </c>
    </row>
    <row r="1256" spans="6:12" x14ac:dyDescent="0.25">
      <c r="F1256" s="11" t="str">
        <f>IF(ISBLANK(D1256),"",(VLOOKUP(D1256,Cardápio!$A$2:$B$16,2,0))*E1256)</f>
        <v/>
      </c>
      <c r="H1256" s="7" t="str">
        <f t="shared" si="76"/>
        <v/>
      </c>
      <c r="I1256" s="7" t="str">
        <f>IF(AND(ISBLANK(D1256),ISBLANK(C1256)),"",((VLOOKUP(D1256,Cardápio!$A$2:$C$16,3,0))*E1256)+IF(B1256="iFood",F1256*0.27,(VLOOKUP(VENDAS!C1256,Bairros!$A$2:$B$90,2,0))))</f>
        <v/>
      </c>
      <c r="J1256" s="7" t="str">
        <f t="shared" si="77"/>
        <v/>
      </c>
      <c r="K1256" s="9">
        <f t="shared" ca="1" si="78"/>
        <v>45404.878290162036</v>
      </c>
      <c r="L1256" s="10">
        <f t="shared" ca="1" si="79"/>
        <v>45404.878290046297</v>
      </c>
    </row>
    <row r="1257" spans="6:12" x14ac:dyDescent="0.25">
      <c r="F1257" s="11" t="str">
        <f>IF(ISBLANK(D1257),"",(VLOOKUP(D1257,Cardápio!$A$2:$B$16,2,0))*E1257)</f>
        <v/>
      </c>
      <c r="H1257" s="7" t="str">
        <f t="shared" si="76"/>
        <v/>
      </c>
      <c r="I1257" s="7" t="str">
        <f>IF(AND(ISBLANK(D1257),ISBLANK(C1257)),"",((VLOOKUP(D1257,Cardápio!$A$2:$C$16,3,0))*E1257)+IF(B1257="iFood",F1257*0.27,(VLOOKUP(VENDAS!C1257,Bairros!$A$2:$B$90,2,0))))</f>
        <v/>
      </c>
      <c r="J1257" s="7" t="str">
        <f t="shared" si="77"/>
        <v/>
      </c>
      <c r="K1257" s="9">
        <f t="shared" ca="1" si="78"/>
        <v>45404.878290162036</v>
      </c>
      <c r="L1257" s="10">
        <f t="shared" ca="1" si="79"/>
        <v>45404.878290046297</v>
      </c>
    </row>
    <row r="1258" spans="6:12" x14ac:dyDescent="0.25">
      <c r="F1258" s="11" t="str">
        <f>IF(ISBLANK(D1258),"",(VLOOKUP(D1258,Cardápio!$A$2:$B$16,2,0))*E1258)</f>
        <v/>
      </c>
      <c r="H1258" s="7" t="str">
        <f t="shared" si="76"/>
        <v/>
      </c>
      <c r="I1258" s="7" t="str">
        <f>IF(AND(ISBLANK(D1258),ISBLANK(C1258)),"",((VLOOKUP(D1258,Cardápio!$A$2:$C$16,3,0))*E1258)+IF(B1258="iFood",F1258*0.27,(VLOOKUP(VENDAS!C1258,Bairros!$A$2:$B$90,2,0))))</f>
        <v/>
      </c>
      <c r="J1258" s="7" t="str">
        <f t="shared" si="77"/>
        <v/>
      </c>
      <c r="K1258" s="9">
        <f t="shared" ca="1" si="78"/>
        <v>45404.878290162036</v>
      </c>
      <c r="L1258" s="10">
        <f t="shared" ca="1" si="79"/>
        <v>45404.878290046297</v>
      </c>
    </row>
    <row r="1259" spans="6:12" x14ac:dyDescent="0.25">
      <c r="F1259" s="11" t="str">
        <f>IF(ISBLANK(D1259),"",(VLOOKUP(D1259,Cardápio!$A$2:$B$16,2,0))*E1259)</f>
        <v/>
      </c>
      <c r="H1259" s="7" t="str">
        <f t="shared" si="76"/>
        <v/>
      </c>
      <c r="I1259" s="7" t="str">
        <f>IF(AND(ISBLANK(D1259),ISBLANK(C1259)),"",((VLOOKUP(D1259,Cardápio!$A$2:$C$16,3,0))*E1259)+IF(B1259="iFood",F1259*0.27,(VLOOKUP(VENDAS!C1259,Bairros!$A$2:$B$90,2,0))))</f>
        <v/>
      </c>
      <c r="J1259" s="7" t="str">
        <f t="shared" si="77"/>
        <v/>
      </c>
      <c r="K1259" s="9">
        <f t="shared" ca="1" si="78"/>
        <v>45404.878290162036</v>
      </c>
      <c r="L1259" s="10">
        <f t="shared" ca="1" si="79"/>
        <v>45404.878290046297</v>
      </c>
    </row>
    <row r="1260" spans="6:12" x14ac:dyDescent="0.25">
      <c r="F1260" s="11" t="str">
        <f>IF(ISBLANK(D1260),"",(VLOOKUP(D1260,Cardápio!$A$2:$B$16,2,0))*E1260)</f>
        <v/>
      </c>
      <c r="H1260" s="7" t="str">
        <f t="shared" si="76"/>
        <v/>
      </c>
      <c r="I1260" s="7" t="str">
        <f>IF(AND(ISBLANK(D1260),ISBLANK(C1260)),"",((VLOOKUP(D1260,Cardápio!$A$2:$C$16,3,0))*E1260)+IF(B1260="iFood",F1260*0.27,(VLOOKUP(VENDAS!C1260,Bairros!$A$2:$B$90,2,0))))</f>
        <v/>
      </c>
      <c r="J1260" s="7" t="str">
        <f t="shared" si="77"/>
        <v/>
      </c>
      <c r="K1260" s="9">
        <f t="shared" ca="1" si="78"/>
        <v>45404.878290162036</v>
      </c>
      <c r="L1260" s="10">
        <f t="shared" ca="1" si="79"/>
        <v>45404.878290046297</v>
      </c>
    </row>
    <row r="1261" spans="6:12" x14ac:dyDescent="0.25">
      <c r="F1261" s="11" t="str">
        <f>IF(ISBLANK(D1261),"",(VLOOKUP(D1261,Cardápio!$A$2:$B$16,2,0))*E1261)</f>
        <v/>
      </c>
      <c r="H1261" s="7" t="str">
        <f t="shared" si="76"/>
        <v/>
      </c>
      <c r="I1261" s="7" t="str">
        <f>IF(AND(ISBLANK(D1261),ISBLANK(C1261)),"",((VLOOKUP(D1261,Cardápio!$A$2:$C$16,3,0))*E1261)+IF(B1261="iFood",F1261*0.27,(VLOOKUP(VENDAS!C1261,Bairros!$A$2:$B$90,2,0))))</f>
        <v/>
      </c>
      <c r="J1261" s="7" t="str">
        <f t="shared" si="77"/>
        <v/>
      </c>
      <c r="K1261" s="9">
        <f t="shared" ca="1" si="78"/>
        <v>45404.878290162036</v>
      </c>
      <c r="L1261" s="10">
        <f t="shared" ca="1" si="79"/>
        <v>45404.878290046297</v>
      </c>
    </row>
    <row r="1262" spans="6:12" x14ac:dyDescent="0.25">
      <c r="F1262" s="11" t="str">
        <f>IF(ISBLANK(D1262),"",(VLOOKUP(D1262,Cardápio!$A$2:$B$16,2,0))*E1262)</f>
        <v/>
      </c>
      <c r="H1262" s="7" t="str">
        <f t="shared" si="76"/>
        <v/>
      </c>
      <c r="I1262" s="7" t="str">
        <f>IF(AND(ISBLANK(D1262),ISBLANK(C1262)),"",((VLOOKUP(D1262,Cardápio!$A$2:$C$16,3,0))*E1262)+IF(B1262="iFood",F1262*0.27,(VLOOKUP(VENDAS!C1262,Bairros!$A$2:$B$90,2,0))))</f>
        <v/>
      </c>
      <c r="J1262" s="7" t="str">
        <f t="shared" si="77"/>
        <v/>
      </c>
      <c r="K1262" s="9">
        <f t="shared" ca="1" si="78"/>
        <v>45404.878290162036</v>
      </c>
      <c r="L1262" s="10">
        <f t="shared" ca="1" si="79"/>
        <v>45404.878290046297</v>
      </c>
    </row>
    <row r="1263" spans="6:12" x14ac:dyDescent="0.25">
      <c r="F1263" s="11" t="str">
        <f>IF(ISBLANK(D1263),"",(VLOOKUP(D1263,Cardápio!$A$2:$B$16,2,0))*E1263)</f>
        <v/>
      </c>
      <c r="H1263" s="7" t="str">
        <f t="shared" si="76"/>
        <v/>
      </c>
      <c r="I1263" s="7" t="str">
        <f>IF(AND(ISBLANK(D1263),ISBLANK(C1263)),"",((VLOOKUP(D1263,Cardápio!$A$2:$C$16,3,0))*E1263)+IF(B1263="iFood",F1263*0.27,(VLOOKUP(VENDAS!C1263,Bairros!$A$2:$B$90,2,0))))</f>
        <v/>
      </c>
      <c r="J1263" s="7" t="str">
        <f t="shared" si="77"/>
        <v/>
      </c>
      <c r="K1263" s="9">
        <f t="shared" ca="1" si="78"/>
        <v>45404.878290162036</v>
      </c>
      <c r="L1263" s="10">
        <f t="shared" ca="1" si="79"/>
        <v>45404.878290046297</v>
      </c>
    </row>
    <row r="1264" spans="6:12" x14ac:dyDescent="0.25">
      <c r="F1264" s="11" t="str">
        <f>IF(ISBLANK(D1264),"",(VLOOKUP(D1264,Cardápio!$A$2:$B$16,2,0))*E1264)</f>
        <v/>
      </c>
      <c r="H1264" s="7" t="str">
        <f t="shared" si="76"/>
        <v/>
      </c>
      <c r="I1264" s="7" t="str">
        <f>IF(AND(ISBLANK(D1264),ISBLANK(C1264)),"",((VLOOKUP(D1264,Cardápio!$A$2:$C$16,3,0))*E1264)+IF(B1264="iFood",F1264*0.27,(VLOOKUP(VENDAS!C1264,Bairros!$A$2:$B$90,2,0))))</f>
        <v/>
      </c>
      <c r="J1264" s="7" t="str">
        <f t="shared" si="77"/>
        <v/>
      </c>
      <c r="K1264" s="9">
        <f t="shared" ca="1" si="78"/>
        <v>45404.878290162036</v>
      </c>
      <c r="L1264" s="10">
        <f t="shared" ca="1" si="79"/>
        <v>45404.878290046297</v>
      </c>
    </row>
    <row r="1265" spans="6:12" x14ac:dyDescent="0.25">
      <c r="F1265" s="11" t="str">
        <f>IF(ISBLANK(D1265),"",(VLOOKUP(D1265,Cardápio!$A$2:$B$16,2,0))*E1265)</f>
        <v/>
      </c>
      <c r="H1265" s="7" t="str">
        <f t="shared" si="76"/>
        <v/>
      </c>
      <c r="I1265" s="7" t="str">
        <f>IF(AND(ISBLANK(D1265),ISBLANK(C1265)),"",((VLOOKUP(D1265,Cardápio!$A$2:$C$16,3,0))*E1265)+IF(B1265="iFood",F1265*0.27,(VLOOKUP(VENDAS!C1265,Bairros!$A$2:$B$90,2,0))))</f>
        <v/>
      </c>
      <c r="J1265" s="7" t="str">
        <f t="shared" si="77"/>
        <v/>
      </c>
      <c r="K1265" s="9">
        <f t="shared" ca="1" si="78"/>
        <v>45404.878290162036</v>
      </c>
      <c r="L1265" s="10">
        <f t="shared" ca="1" si="79"/>
        <v>45404.878290046297</v>
      </c>
    </row>
    <row r="1266" spans="6:12" x14ac:dyDescent="0.25">
      <c r="F1266" s="11" t="str">
        <f>IF(ISBLANK(D1266),"",(VLOOKUP(D1266,Cardápio!$A$2:$B$16,2,0))*E1266)</f>
        <v/>
      </c>
      <c r="H1266" s="7" t="str">
        <f t="shared" si="76"/>
        <v/>
      </c>
      <c r="I1266" s="7" t="str">
        <f>IF(AND(ISBLANK(D1266),ISBLANK(C1266)),"",((VLOOKUP(D1266,Cardápio!$A$2:$C$16,3,0))*E1266)+IF(B1266="iFood",F1266*0.27,(VLOOKUP(VENDAS!C1266,Bairros!$A$2:$B$90,2,0))))</f>
        <v/>
      </c>
      <c r="J1266" s="7" t="str">
        <f t="shared" si="77"/>
        <v/>
      </c>
      <c r="K1266" s="9">
        <f t="shared" ca="1" si="78"/>
        <v>45404.878290162036</v>
      </c>
      <c r="L1266" s="10">
        <f t="shared" ca="1" si="79"/>
        <v>45404.878290046297</v>
      </c>
    </row>
    <row r="1267" spans="6:12" x14ac:dyDescent="0.25">
      <c r="F1267" s="11" t="str">
        <f>IF(ISBLANK(D1267),"",(VLOOKUP(D1267,Cardápio!$A$2:$B$16,2,0))*E1267)</f>
        <v/>
      </c>
      <c r="H1267" s="7" t="str">
        <f t="shared" si="76"/>
        <v/>
      </c>
      <c r="I1267" s="7" t="str">
        <f>IF(AND(ISBLANK(D1267),ISBLANK(C1267)),"",((VLOOKUP(D1267,Cardápio!$A$2:$C$16,3,0))*E1267)+IF(B1267="iFood",F1267*0.27,(VLOOKUP(VENDAS!C1267,Bairros!$A$2:$B$90,2,0))))</f>
        <v/>
      </c>
      <c r="J1267" s="7" t="str">
        <f t="shared" si="77"/>
        <v/>
      </c>
      <c r="K1267" s="9">
        <f t="shared" ca="1" si="78"/>
        <v>45404.878290162036</v>
      </c>
      <c r="L1267" s="10">
        <f t="shared" ca="1" si="79"/>
        <v>45404.878290046297</v>
      </c>
    </row>
    <row r="1268" spans="6:12" x14ac:dyDescent="0.25">
      <c r="F1268" s="11" t="str">
        <f>IF(ISBLANK(D1268),"",(VLOOKUP(D1268,Cardápio!$A$2:$B$16,2,0))*E1268)</f>
        <v/>
      </c>
      <c r="H1268" s="7" t="str">
        <f t="shared" si="76"/>
        <v/>
      </c>
      <c r="I1268" s="7" t="str">
        <f>IF(AND(ISBLANK(D1268),ISBLANK(C1268)),"",((VLOOKUP(D1268,Cardápio!$A$2:$C$16,3,0))*E1268)+IF(B1268="iFood",F1268*0.27,(VLOOKUP(VENDAS!C1268,Bairros!$A$2:$B$90,2,0))))</f>
        <v/>
      </c>
      <c r="J1268" s="7" t="str">
        <f t="shared" si="77"/>
        <v/>
      </c>
      <c r="K1268" s="9">
        <f t="shared" ca="1" si="78"/>
        <v>45404.878290162036</v>
      </c>
      <c r="L1268" s="10">
        <f t="shared" ca="1" si="79"/>
        <v>45404.878290046297</v>
      </c>
    </row>
    <row r="1269" spans="6:12" x14ac:dyDescent="0.25">
      <c r="F1269" s="11" t="str">
        <f>IF(ISBLANK(D1269),"",(VLOOKUP(D1269,Cardápio!$A$2:$B$16,2,0))*E1269)</f>
        <v/>
      </c>
      <c r="H1269" s="7" t="str">
        <f t="shared" ref="H1269:H1332" si="80">IF(ISBLANK(D1269),"",F1269-G1269)</f>
        <v/>
      </c>
      <c r="I1269" s="7" t="str">
        <f>IF(AND(ISBLANK(D1269),ISBLANK(C1269)),"",((VLOOKUP(D1269,Cardápio!$A$2:$C$16,3,0))*E1269)+IF(B1269="iFood",F1269*0.27,(VLOOKUP(VENDAS!C1269,Bairros!$A$2:$B$90,2,0))))</f>
        <v/>
      </c>
      <c r="J1269" s="7" t="str">
        <f t="shared" ref="J1269:J1332" si="81">IF(OR(AND(ISBLANK(H1269),ISBLANK(I1269)),(AND(H1269="",I1269=""))),"",H1269-I1269)</f>
        <v/>
      </c>
      <c r="K1269" s="9">
        <f t="shared" ref="K1269:K1332" ca="1" si="82">IF(D1269&lt;&gt;"",K1269,NOW())</f>
        <v>45404.878290162036</v>
      </c>
      <c r="L1269" s="10">
        <f t="shared" ref="L1269:L1332" ca="1" si="83">IF(D1269&lt;&gt;"",L1269,NOW())</f>
        <v>45404.878290046297</v>
      </c>
    </row>
    <row r="1270" spans="6:12" x14ac:dyDescent="0.25">
      <c r="F1270" s="11" t="str">
        <f>IF(ISBLANK(D1270),"",(VLOOKUP(D1270,Cardápio!$A$2:$B$16,2,0))*E1270)</f>
        <v/>
      </c>
      <c r="H1270" s="7" t="str">
        <f t="shared" si="80"/>
        <v/>
      </c>
      <c r="I1270" s="7" t="str">
        <f>IF(AND(ISBLANK(D1270),ISBLANK(C1270)),"",((VLOOKUP(D1270,Cardápio!$A$2:$C$16,3,0))*E1270)+IF(B1270="iFood",F1270*0.27,(VLOOKUP(VENDAS!C1270,Bairros!$A$2:$B$90,2,0))))</f>
        <v/>
      </c>
      <c r="J1270" s="7" t="str">
        <f t="shared" si="81"/>
        <v/>
      </c>
      <c r="K1270" s="9">
        <f t="shared" ca="1" si="82"/>
        <v>45404.878290162036</v>
      </c>
      <c r="L1270" s="10">
        <f t="shared" ca="1" si="83"/>
        <v>45404.878290046297</v>
      </c>
    </row>
    <row r="1271" spans="6:12" x14ac:dyDescent="0.25">
      <c r="F1271" s="11" t="str">
        <f>IF(ISBLANK(D1271),"",(VLOOKUP(D1271,Cardápio!$A$2:$B$16,2,0))*E1271)</f>
        <v/>
      </c>
      <c r="H1271" s="7" t="str">
        <f t="shared" si="80"/>
        <v/>
      </c>
      <c r="I1271" s="7" t="str">
        <f>IF(AND(ISBLANK(D1271),ISBLANK(C1271)),"",((VLOOKUP(D1271,Cardápio!$A$2:$C$16,3,0))*E1271)+IF(B1271="iFood",F1271*0.27,(VLOOKUP(VENDAS!C1271,Bairros!$A$2:$B$90,2,0))))</f>
        <v/>
      </c>
      <c r="J1271" s="7" t="str">
        <f t="shared" si="81"/>
        <v/>
      </c>
      <c r="K1271" s="9">
        <f t="shared" ca="1" si="82"/>
        <v>45404.878290162036</v>
      </c>
      <c r="L1271" s="10">
        <f t="shared" ca="1" si="83"/>
        <v>45404.878290046297</v>
      </c>
    </row>
    <row r="1272" spans="6:12" x14ac:dyDescent="0.25">
      <c r="F1272" s="11" t="str">
        <f>IF(ISBLANK(D1272),"",(VLOOKUP(D1272,Cardápio!$A$2:$B$16,2,0))*E1272)</f>
        <v/>
      </c>
      <c r="H1272" s="7" t="str">
        <f t="shared" si="80"/>
        <v/>
      </c>
      <c r="I1272" s="7" t="str">
        <f>IF(AND(ISBLANK(D1272),ISBLANK(C1272)),"",((VLOOKUP(D1272,Cardápio!$A$2:$C$16,3,0))*E1272)+IF(B1272="iFood",F1272*0.27,(VLOOKUP(VENDAS!C1272,Bairros!$A$2:$B$90,2,0))))</f>
        <v/>
      </c>
      <c r="J1272" s="7" t="str">
        <f t="shared" si="81"/>
        <v/>
      </c>
      <c r="K1272" s="9">
        <f t="shared" ca="1" si="82"/>
        <v>45404.878290162036</v>
      </c>
      <c r="L1272" s="10">
        <f t="shared" ca="1" si="83"/>
        <v>45404.878290046297</v>
      </c>
    </row>
    <row r="1273" spans="6:12" x14ac:dyDescent="0.25">
      <c r="F1273" s="11" t="str">
        <f>IF(ISBLANK(D1273),"",(VLOOKUP(D1273,Cardápio!$A$2:$B$16,2,0))*E1273)</f>
        <v/>
      </c>
      <c r="H1273" s="7" t="str">
        <f t="shared" si="80"/>
        <v/>
      </c>
      <c r="I1273" s="7" t="str">
        <f>IF(AND(ISBLANK(D1273),ISBLANK(C1273)),"",((VLOOKUP(D1273,Cardápio!$A$2:$C$16,3,0))*E1273)+IF(B1273="iFood",F1273*0.27,(VLOOKUP(VENDAS!C1273,Bairros!$A$2:$B$90,2,0))))</f>
        <v/>
      </c>
      <c r="J1273" s="7" t="str">
        <f t="shared" si="81"/>
        <v/>
      </c>
      <c r="K1273" s="9">
        <f t="shared" ca="1" si="82"/>
        <v>45404.878290162036</v>
      </c>
      <c r="L1273" s="10">
        <f t="shared" ca="1" si="83"/>
        <v>45404.878290046297</v>
      </c>
    </row>
    <row r="1274" spans="6:12" x14ac:dyDescent="0.25">
      <c r="F1274" s="11" t="str">
        <f>IF(ISBLANK(D1274),"",(VLOOKUP(D1274,Cardápio!$A$2:$B$16,2,0))*E1274)</f>
        <v/>
      </c>
      <c r="H1274" s="7" t="str">
        <f t="shared" si="80"/>
        <v/>
      </c>
      <c r="I1274" s="7" t="str">
        <f>IF(AND(ISBLANK(D1274),ISBLANK(C1274)),"",((VLOOKUP(D1274,Cardápio!$A$2:$C$16,3,0))*E1274)+IF(B1274="iFood",F1274*0.27,(VLOOKUP(VENDAS!C1274,Bairros!$A$2:$B$90,2,0))))</f>
        <v/>
      </c>
      <c r="J1274" s="7" t="str">
        <f t="shared" si="81"/>
        <v/>
      </c>
      <c r="K1274" s="9">
        <f t="shared" ca="1" si="82"/>
        <v>45404.878290162036</v>
      </c>
      <c r="L1274" s="10">
        <f t="shared" ca="1" si="83"/>
        <v>45404.878290046297</v>
      </c>
    </row>
    <row r="1275" spans="6:12" x14ac:dyDescent="0.25">
      <c r="F1275" s="11" t="str">
        <f>IF(ISBLANK(D1275),"",(VLOOKUP(D1275,Cardápio!$A$2:$B$16,2,0))*E1275)</f>
        <v/>
      </c>
      <c r="H1275" s="7" t="str">
        <f t="shared" si="80"/>
        <v/>
      </c>
      <c r="I1275" s="7" t="str">
        <f>IF(AND(ISBLANK(D1275),ISBLANK(C1275)),"",((VLOOKUP(D1275,Cardápio!$A$2:$C$16,3,0))*E1275)+IF(B1275="iFood",F1275*0.27,(VLOOKUP(VENDAS!C1275,Bairros!$A$2:$B$90,2,0))))</f>
        <v/>
      </c>
      <c r="J1275" s="7" t="str">
        <f t="shared" si="81"/>
        <v/>
      </c>
      <c r="K1275" s="9">
        <f t="shared" ca="1" si="82"/>
        <v>45404.878290162036</v>
      </c>
      <c r="L1275" s="10">
        <f t="shared" ca="1" si="83"/>
        <v>45404.878290046297</v>
      </c>
    </row>
    <row r="1276" spans="6:12" x14ac:dyDescent="0.25">
      <c r="F1276" s="11" t="str">
        <f>IF(ISBLANK(D1276),"",(VLOOKUP(D1276,Cardápio!$A$2:$B$16,2,0))*E1276)</f>
        <v/>
      </c>
      <c r="H1276" s="7" t="str">
        <f t="shared" si="80"/>
        <v/>
      </c>
      <c r="I1276" s="7" t="str">
        <f>IF(AND(ISBLANK(D1276),ISBLANK(C1276)),"",((VLOOKUP(D1276,Cardápio!$A$2:$C$16,3,0))*E1276)+IF(B1276="iFood",F1276*0.27,(VLOOKUP(VENDAS!C1276,Bairros!$A$2:$B$90,2,0))))</f>
        <v/>
      </c>
      <c r="J1276" s="7" t="str">
        <f t="shared" si="81"/>
        <v/>
      </c>
      <c r="K1276" s="9">
        <f t="shared" ca="1" si="82"/>
        <v>45404.878290162036</v>
      </c>
      <c r="L1276" s="10">
        <f t="shared" ca="1" si="83"/>
        <v>45404.878290046297</v>
      </c>
    </row>
    <row r="1277" spans="6:12" x14ac:dyDescent="0.25">
      <c r="F1277" s="11" t="str">
        <f>IF(ISBLANK(D1277),"",(VLOOKUP(D1277,Cardápio!$A$2:$B$16,2,0))*E1277)</f>
        <v/>
      </c>
      <c r="H1277" s="7" t="str">
        <f t="shared" si="80"/>
        <v/>
      </c>
      <c r="I1277" s="7" t="str">
        <f>IF(AND(ISBLANK(D1277),ISBLANK(C1277)),"",((VLOOKUP(D1277,Cardápio!$A$2:$C$16,3,0))*E1277)+IF(B1277="iFood",F1277*0.27,(VLOOKUP(VENDAS!C1277,Bairros!$A$2:$B$90,2,0))))</f>
        <v/>
      </c>
      <c r="J1277" s="7" t="str">
        <f t="shared" si="81"/>
        <v/>
      </c>
      <c r="K1277" s="9">
        <f t="shared" ca="1" si="82"/>
        <v>45404.878290162036</v>
      </c>
      <c r="L1277" s="10">
        <f t="shared" ca="1" si="83"/>
        <v>45404.878290046297</v>
      </c>
    </row>
    <row r="1278" spans="6:12" x14ac:dyDescent="0.25">
      <c r="F1278" s="11" t="str">
        <f>IF(ISBLANK(D1278),"",(VLOOKUP(D1278,Cardápio!$A$2:$B$16,2,0))*E1278)</f>
        <v/>
      </c>
      <c r="H1278" s="7" t="str">
        <f t="shared" si="80"/>
        <v/>
      </c>
      <c r="I1278" s="7" t="str">
        <f>IF(AND(ISBLANK(D1278),ISBLANK(C1278)),"",((VLOOKUP(D1278,Cardápio!$A$2:$C$16,3,0))*E1278)+IF(B1278="iFood",F1278*0.27,(VLOOKUP(VENDAS!C1278,Bairros!$A$2:$B$90,2,0))))</f>
        <v/>
      </c>
      <c r="J1278" s="7" t="str">
        <f t="shared" si="81"/>
        <v/>
      </c>
      <c r="K1278" s="9">
        <f t="shared" ca="1" si="82"/>
        <v>45404.878290162036</v>
      </c>
      <c r="L1278" s="10">
        <f t="shared" ca="1" si="83"/>
        <v>45404.878290046297</v>
      </c>
    </row>
    <row r="1279" spans="6:12" x14ac:dyDescent="0.25">
      <c r="F1279" s="11" t="str">
        <f>IF(ISBLANK(D1279),"",(VLOOKUP(D1279,Cardápio!$A$2:$B$16,2,0))*E1279)</f>
        <v/>
      </c>
      <c r="H1279" s="7" t="str">
        <f t="shared" si="80"/>
        <v/>
      </c>
      <c r="I1279" s="7" t="str">
        <f>IF(AND(ISBLANK(D1279),ISBLANK(C1279)),"",((VLOOKUP(D1279,Cardápio!$A$2:$C$16,3,0))*E1279)+IF(B1279="iFood",F1279*0.27,(VLOOKUP(VENDAS!C1279,Bairros!$A$2:$B$90,2,0))))</f>
        <v/>
      </c>
      <c r="J1279" s="7" t="str">
        <f t="shared" si="81"/>
        <v/>
      </c>
      <c r="K1279" s="9">
        <f t="shared" ca="1" si="82"/>
        <v>45404.878290162036</v>
      </c>
      <c r="L1279" s="10">
        <f t="shared" ca="1" si="83"/>
        <v>45404.878290046297</v>
      </c>
    </row>
    <row r="1280" spans="6:12" x14ac:dyDescent="0.25">
      <c r="F1280" s="11" t="str">
        <f>IF(ISBLANK(D1280),"",(VLOOKUP(D1280,Cardápio!$A$2:$B$16,2,0))*E1280)</f>
        <v/>
      </c>
      <c r="H1280" s="7" t="str">
        <f t="shared" si="80"/>
        <v/>
      </c>
      <c r="I1280" s="7" t="str">
        <f>IF(AND(ISBLANK(D1280),ISBLANK(C1280)),"",((VLOOKUP(D1280,Cardápio!$A$2:$C$16,3,0))*E1280)+IF(B1280="iFood",F1280*0.27,(VLOOKUP(VENDAS!C1280,Bairros!$A$2:$B$90,2,0))))</f>
        <v/>
      </c>
      <c r="J1280" s="7" t="str">
        <f t="shared" si="81"/>
        <v/>
      </c>
      <c r="K1280" s="9">
        <f t="shared" ca="1" si="82"/>
        <v>45404.878290162036</v>
      </c>
      <c r="L1280" s="10">
        <f t="shared" ca="1" si="83"/>
        <v>45404.878290046297</v>
      </c>
    </row>
    <row r="1281" spans="6:12" x14ac:dyDescent="0.25">
      <c r="F1281" s="11" t="str">
        <f>IF(ISBLANK(D1281),"",(VLOOKUP(D1281,Cardápio!$A$2:$B$16,2,0))*E1281)</f>
        <v/>
      </c>
      <c r="H1281" s="7" t="str">
        <f t="shared" si="80"/>
        <v/>
      </c>
      <c r="I1281" s="7" t="str">
        <f>IF(AND(ISBLANK(D1281),ISBLANK(C1281)),"",((VLOOKUP(D1281,Cardápio!$A$2:$C$16,3,0))*E1281)+IF(B1281="iFood",F1281*0.27,(VLOOKUP(VENDAS!C1281,Bairros!$A$2:$B$90,2,0))))</f>
        <v/>
      </c>
      <c r="J1281" s="7" t="str">
        <f t="shared" si="81"/>
        <v/>
      </c>
      <c r="K1281" s="9">
        <f t="shared" ca="1" si="82"/>
        <v>45404.878290162036</v>
      </c>
      <c r="L1281" s="10">
        <f t="shared" ca="1" si="83"/>
        <v>45404.878290046297</v>
      </c>
    </row>
    <row r="1282" spans="6:12" x14ac:dyDescent="0.25">
      <c r="F1282" s="11" t="str">
        <f>IF(ISBLANK(D1282),"",(VLOOKUP(D1282,Cardápio!$A$2:$B$16,2,0))*E1282)</f>
        <v/>
      </c>
      <c r="H1282" s="7" t="str">
        <f t="shared" si="80"/>
        <v/>
      </c>
      <c r="I1282" s="7" t="str">
        <f>IF(AND(ISBLANK(D1282),ISBLANK(C1282)),"",((VLOOKUP(D1282,Cardápio!$A$2:$C$16,3,0))*E1282)+IF(B1282="iFood",F1282*0.27,(VLOOKUP(VENDAS!C1282,Bairros!$A$2:$B$90,2,0))))</f>
        <v/>
      </c>
      <c r="J1282" s="7" t="str">
        <f t="shared" si="81"/>
        <v/>
      </c>
      <c r="K1282" s="9">
        <f t="shared" ca="1" si="82"/>
        <v>45404.878290162036</v>
      </c>
      <c r="L1282" s="10">
        <f t="shared" ca="1" si="83"/>
        <v>45404.878290046297</v>
      </c>
    </row>
    <row r="1283" spans="6:12" x14ac:dyDescent="0.25">
      <c r="F1283" s="11" t="str">
        <f>IF(ISBLANK(D1283),"",(VLOOKUP(D1283,Cardápio!$A$2:$B$16,2,0))*E1283)</f>
        <v/>
      </c>
      <c r="H1283" s="7" t="str">
        <f t="shared" si="80"/>
        <v/>
      </c>
      <c r="I1283" s="7" t="str">
        <f>IF(AND(ISBLANK(D1283),ISBLANK(C1283)),"",((VLOOKUP(D1283,Cardápio!$A$2:$C$16,3,0))*E1283)+IF(B1283="iFood",F1283*0.27,(VLOOKUP(VENDAS!C1283,Bairros!$A$2:$B$90,2,0))))</f>
        <v/>
      </c>
      <c r="J1283" s="7" t="str">
        <f t="shared" si="81"/>
        <v/>
      </c>
      <c r="K1283" s="9">
        <f t="shared" ca="1" si="82"/>
        <v>45404.878290162036</v>
      </c>
      <c r="L1283" s="10">
        <f t="shared" ca="1" si="83"/>
        <v>45404.878290046297</v>
      </c>
    </row>
    <row r="1284" spans="6:12" x14ac:dyDescent="0.25">
      <c r="F1284" s="11" t="str">
        <f>IF(ISBLANK(D1284),"",(VLOOKUP(D1284,Cardápio!$A$2:$B$16,2,0))*E1284)</f>
        <v/>
      </c>
      <c r="H1284" s="7" t="str">
        <f t="shared" si="80"/>
        <v/>
      </c>
      <c r="I1284" s="7" t="str">
        <f>IF(AND(ISBLANK(D1284),ISBLANK(C1284)),"",((VLOOKUP(D1284,Cardápio!$A$2:$C$16,3,0))*E1284)+IF(B1284="iFood",F1284*0.27,(VLOOKUP(VENDAS!C1284,Bairros!$A$2:$B$90,2,0))))</f>
        <v/>
      </c>
      <c r="J1284" s="7" t="str">
        <f t="shared" si="81"/>
        <v/>
      </c>
      <c r="K1284" s="9">
        <f t="shared" ca="1" si="82"/>
        <v>45404.878290162036</v>
      </c>
      <c r="L1284" s="10">
        <f t="shared" ca="1" si="83"/>
        <v>45404.878290046297</v>
      </c>
    </row>
    <row r="1285" spans="6:12" x14ac:dyDescent="0.25">
      <c r="F1285" s="11" t="str">
        <f>IF(ISBLANK(D1285),"",(VLOOKUP(D1285,Cardápio!$A$2:$B$16,2,0))*E1285)</f>
        <v/>
      </c>
      <c r="H1285" s="7" t="str">
        <f t="shared" si="80"/>
        <v/>
      </c>
      <c r="I1285" s="7" t="str">
        <f>IF(AND(ISBLANK(D1285),ISBLANK(C1285)),"",((VLOOKUP(D1285,Cardápio!$A$2:$C$16,3,0))*E1285)+IF(B1285="iFood",F1285*0.27,(VLOOKUP(VENDAS!C1285,Bairros!$A$2:$B$90,2,0))))</f>
        <v/>
      </c>
      <c r="J1285" s="7" t="str">
        <f t="shared" si="81"/>
        <v/>
      </c>
      <c r="K1285" s="9">
        <f t="shared" ca="1" si="82"/>
        <v>45404.878290162036</v>
      </c>
      <c r="L1285" s="10">
        <f t="shared" ca="1" si="83"/>
        <v>45404.878290046297</v>
      </c>
    </row>
    <row r="1286" spans="6:12" x14ac:dyDescent="0.25">
      <c r="F1286" s="11" t="str">
        <f>IF(ISBLANK(D1286),"",(VLOOKUP(D1286,Cardápio!$A$2:$B$16,2,0))*E1286)</f>
        <v/>
      </c>
      <c r="H1286" s="7" t="str">
        <f t="shared" si="80"/>
        <v/>
      </c>
      <c r="I1286" s="7" t="str">
        <f>IF(AND(ISBLANK(D1286),ISBLANK(C1286)),"",((VLOOKUP(D1286,Cardápio!$A$2:$C$16,3,0))*E1286)+IF(B1286="iFood",F1286*0.27,(VLOOKUP(VENDAS!C1286,Bairros!$A$2:$B$90,2,0))))</f>
        <v/>
      </c>
      <c r="J1286" s="7" t="str">
        <f t="shared" si="81"/>
        <v/>
      </c>
      <c r="K1286" s="9">
        <f t="shared" ca="1" si="82"/>
        <v>45404.878290162036</v>
      </c>
      <c r="L1286" s="10">
        <f t="shared" ca="1" si="83"/>
        <v>45404.878290046297</v>
      </c>
    </row>
    <row r="1287" spans="6:12" x14ac:dyDescent="0.25">
      <c r="F1287" s="11" t="str">
        <f>IF(ISBLANK(D1287),"",(VLOOKUP(D1287,Cardápio!$A$2:$B$16,2,0))*E1287)</f>
        <v/>
      </c>
      <c r="H1287" s="7" t="str">
        <f t="shared" si="80"/>
        <v/>
      </c>
      <c r="I1287" s="7" t="str">
        <f>IF(AND(ISBLANK(D1287),ISBLANK(C1287)),"",((VLOOKUP(D1287,Cardápio!$A$2:$C$16,3,0))*E1287)+IF(B1287="iFood",F1287*0.27,(VLOOKUP(VENDAS!C1287,Bairros!$A$2:$B$90,2,0))))</f>
        <v/>
      </c>
      <c r="J1287" s="7" t="str">
        <f t="shared" si="81"/>
        <v/>
      </c>
      <c r="K1287" s="9">
        <f t="shared" ca="1" si="82"/>
        <v>45404.878290162036</v>
      </c>
      <c r="L1287" s="10">
        <f t="shared" ca="1" si="83"/>
        <v>45404.878290046297</v>
      </c>
    </row>
    <row r="1288" spans="6:12" x14ac:dyDescent="0.25">
      <c r="F1288" s="11" t="str">
        <f>IF(ISBLANK(D1288),"",(VLOOKUP(D1288,Cardápio!$A$2:$B$16,2,0))*E1288)</f>
        <v/>
      </c>
      <c r="H1288" s="7" t="str">
        <f t="shared" si="80"/>
        <v/>
      </c>
      <c r="I1288" s="7" t="str">
        <f>IF(AND(ISBLANK(D1288),ISBLANK(C1288)),"",((VLOOKUP(D1288,Cardápio!$A$2:$C$16,3,0))*E1288)+IF(B1288="iFood",F1288*0.27,(VLOOKUP(VENDAS!C1288,Bairros!$A$2:$B$90,2,0))))</f>
        <v/>
      </c>
      <c r="J1288" s="7" t="str">
        <f t="shared" si="81"/>
        <v/>
      </c>
      <c r="K1288" s="9">
        <f t="shared" ca="1" si="82"/>
        <v>45404.878290162036</v>
      </c>
      <c r="L1288" s="10">
        <f t="shared" ca="1" si="83"/>
        <v>45404.878290046297</v>
      </c>
    </row>
    <row r="1289" spans="6:12" x14ac:dyDescent="0.25">
      <c r="F1289" s="11" t="str">
        <f>IF(ISBLANK(D1289),"",(VLOOKUP(D1289,Cardápio!$A$2:$B$16,2,0))*E1289)</f>
        <v/>
      </c>
      <c r="H1289" s="7" t="str">
        <f t="shared" si="80"/>
        <v/>
      </c>
      <c r="I1289" s="7" t="str">
        <f>IF(AND(ISBLANK(D1289),ISBLANK(C1289)),"",((VLOOKUP(D1289,Cardápio!$A$2:$C$16,3,0))*E1289)+IF(B1289="iFood",F1289*0.27,(VLOOKUP(VENDAS!C1289,Bairros!$A$2:$B$90,2,0))))</f>
        <v/>
      </c>
      <c r="J1289" s="7" t="str">
        <f t="shared" si="81"/>
        <v/>
      </c>
      <c r="K1289" s="9">
        <f t="shared" ca="1" si="82"/>
        <v>45404.878290162036</v>
      </c>
      <c r="L1289" s="10">
        <f t="shared" ca="1" si="83"/>
        <v>45404.878290046297</v>
      </c>
    </row>
    <row r="1290" spans="6:12" x14ac:dyDescent="0.25">
      <c r="F1290" s="11" t="str">
        <f>IF(ISBLANK(D1290),"",(VLOOKUP(D1290,Cardápio!$A$2:$B$16,2,0))*E1290)</f>
        <v/>
      </c>
      <c r="H1290" s="7" t="str">
        <f t="shared" si="80"/>
        <v/>
      </c>
      <c r="I1290" s="7" t="str">
        <f>IF(AND(ISBLANK(D1290),ISBLANK(C1290)),"",((VLOOKUP(D1290,Cardápio!$A$2:$C$16,3,0))*E1290)+IF(B1290="iFood",F1290*0.27,(VLOOKUP(VENDAS!C1290,Bairros!$A$2:$B$90,2,0))))</f>
        <v/>
      </c>
      <c r="J1290" s="7" t="str">
        <f t="shared" si="81"/>
        <v/>
      </c>
      <c r="K1290" s="9">
        <f t="shared" ca="1" si="82"/>
        <v>45404.878290162036</v>
      </c>
      <c r="L1290" s="10">
        <f t="shared" ca="1" si="83"/>
        <v>45404.878290046297</v>
      </c>
    </row>
    <row r="1291" spans="6:12" x14ac:dyDescent="0.25">
      <c r="F1291" s="11" t="str">
        <f>IF(ISBLANK(D1291),"",(VLOOKUP(D1291,Cardápio!$A$2:$B$16,2,0))*E1291)</f>
        <v/>
      </c>
      <c r="H1291" s="7" t="str">
        <f t="shared" si="80"/>
        <v/>
      </c>
      <c r="I1291" s="7" t="str">
        <f>IF(AND(ISBLANK(D1291),ISBLANK(C1291)),"",((VLOOKUP(D1291,Cardápio!$A$2:$C$16,3,0))*E1291)+IF(B1291="iFood",F1291*0.27,(VLOOKUP(VENDAS!C1291,Bairros!$A$2:$B$90,2,0))))</f>
        <v/>
      </c>
      <c r="J1291" s="7" t="str">
        <f t="shared" si="81"/>
        <v/>
      </c>
      <c r="K1291" s="9">
        <f t="shared" ca="1" si="82"/>
        <v>45404.878290162036</v>
      </c>
      <c r="L1291" s="10">
        <f t="shared" ca="1" si="83"/>
        <v>45404.878290046297</v>
      </c>
    </row>
    <row r="1292" spans="6:12" x14ac:dyDescent="0.25">
      <c r="F1292" s="11" t="str">
        <f>IF(ISBLANK(D1292),"",(VLOOKUP(D1292,Cardápio!$A$2:$B$16,2,0))*E1292)</f>
        <v/>
      </c>
      <c r="H1292" s="7" t="str">
        <f t="shared" si="80"/>
        <v/>
      </c>
      <c r="I1292" s="7" t="str">
        <f>IF(AND(ISBLANK(D1292),ISBLANK(C1292)),"",((VLOOKUP(D1292,Cardápio!$A$2:$C$16,3,0))*E1292)+IF(B1292="iFood",F1292*0.27,(VLOOKUP(VENDAS!C1292,Bairros!$A$2:$B$90,2,0))))</f>
        <v/>
      </c>
      <c r="J1292" s="7" t="str">
        <f t="shared" si="81"/>
        <v/>
      </c>
      <c r="K1292" s="9">
        <f t="shared" ca="1" si="82"/>
        <v>45404.878290162036</v>
      </c>
      <c r="L1292" s="10">
        <f t="shared" ca="1" si="83"/>
        <v>45404.878290046297</v>
      </c>
    </row>
    <row r="1293" spans="6:12" x14ac:dyDescent="0.25">
      <c r="F1293" s="11" t="str">
        <f>IF(ISBLANK(D1293),"",(VLOOKUP(D1293,Cardápio!$A$2:$B$16,2,0))*E1293)</f>
        <v/>
      </c>
      <c r="H1293" s="7" t="str">
        <f t="shared" si="80"/>
        <v/>
      </c>
      <c r="I1293" s="7" t="str">
        <f>IF(AND(ISBLANK(D1293),ISBLANK(C1293)),"",((VLOOKUP(D1293,Cardápio!$A$2:$C$16,3,0))*E1293)+IF(B1293="iFood",F1293*0.27,(VLOOKUP(VENDAS!C1293,Bairros!$A$2:$B$90,2,0))))</f>
        <v/>
      </c>
      <c r="J1293" s="7" t="str">
        <f t="shared" si="81"/>
        <v/>
      </c>
      <c r="K1293" s="9">
        <f t="shared" ca="1" si="82"/>
        <v>45404.878290162036</v>
      </c>
      <c r="L1293" s="10">
        <f t="shared" ca="1" si="83"/>
        <v>45404.878290046297</v>
      </c>
    </row>
    <row r="1294" spans="6:12" x14ac:dyDescent="0.25">
      <c r="F1294" s="11" t="str">
        <f>IF(ISBLANK(D1294),"",(VLOOKUP(D1294,Cardápio!$A$2:$B$16,2,0))*E1294)</f>
        <v/>
      </c>
      <c r="H1294" s="7" t="str">
        <f t="shared" si="80"/>
        <v/>
      </c>
      <c r="I1294" s="7" t="str">
        <f>IF(AND(ISBLANK(D1294),ISBLANK(C1294)),"",((VLOOKUP(D1294,Cardápio!$A$2:$C$16,3,0))*E1294)+IF(B1294="iFood",F1294*0.27,(VLOOKUP(VENDAS!C1294,Bairros!$A$2:$B$90,2,0))))</f>
        <v/>
      </c>
      <c r="J1294" s="7" t="str">
        <f t="shared" si="81"/>
        <v/>
      </c>
      <c r="K1294" s="9">
        <f t="shared" ca="1" si="82"/>
        <v>45404.878290162036</v>
      </c>
      <c r="L1294" s="10">
        <f t="shared" ca="1" si="83"/>
        <v>45404.878290046297</v>
      </c>
    </row>
    <row r="1295" spans="6:12" x14ac:dyDescent="0.25">
      <c r="F1295" s="11" t="str">
        <f>IF(ISBLANK(D1295),"",(VLOOKUP(D1295,Cardápio!$A$2:$B$16,2,0))*E1295)</f>
        <v/>
      </c>
      <c r="H1295" s="7" t="str">
        <f t="shared" si="80"/>
        <v/>
      </c>
      <c r="I1295" s="7" t="str">
        <f>IF(AND(ISBLANK(D1295),ISBLANK(C1295)),"",((VLOOKUP(D1295,Cardápio!$A$2:$C$16,3,0))*E1295)+IF(B1295="iFood",F1295*0.27,(VLOOKUP(VENDAS!C1295,Bairros!$A$2:$B$90,2,0))))</f>
        <v/>
      </c>
      <c r="J1295" s="7" t="str">
        <f t="shared" si="81"/>
        <v/>
      </c>
      <c r="K1295" s="9">
        <f t="shared" ca="1" si="82"/>
        <v>45404.878290162036</v>
      </c>
      <c r="L1295" s="10">
        <f t="shared" ca="1" si="83"/>
        <v>45404.878290046297</v>
      </c>
    </row>
    <row r="1296" spans="6:12" x14ac:dyDescent="0.25">
      <c r="F1296" s="11" t="str">
        <f>IF(ISBLANK(D1296),"",(VLOOKUP(D1296,Cardápio!$A$2:$B$16,2,0))*E1296)</f>
        <v/>
      </c>
      <c r="H1296" s="7" t="str">
        <f t="shared" si="80"/>
        <v/>
      </c>
      <c r="I1296" s="7" t="str">
        <f>IF(AND(ISBLANK(D1296),ISBLANK(C1296)),"",((VLOOKUP(D1296,Cardápio!$A$2:$C$16,3,0))*E1296)+IF(B1296="iFood",F1296*0.27,(VLOOKUP(VENDAS!C1296,Bairros!$A$2:$B$90,2,0))))</f>
        <v/>
      </c>
      <c r="J1296" s="7" t="str">
        <f t="shared" si="81"/>
        <v/>
      </c>
      <c r="K1296" s="9">
        <f t="shared" ca="1" si="82"/>
        <v>45404.878290162036</v>
      </c>
      <c r="L1296" s="10">
        <f t="shared" ca="1" si="83"/>
        <v>45404.878290046297</v>
      </c>
    </row>
    <row r="1297" spans="6:12" x14ac:dyDescent="0.25">
      <c r="F1297" s="11" t="str">
        <f>IF(ISBLANK(D1297),"",(VLOOKUP(D1297,Cardápio!$A$2:$B$16,2,0))*E1297)</f>
        <v/>
      </c>
      <c r="H1297" s="7" t="str">
        <f t="shared" si="80"/>
        <v/>
      </c>
      <c r="I1297" s="7" t="str">
        <f>IF(AND(ISBLANK(D1297),ISBLANK(C1297)),"",((VLOOKUP(D1297,Cardápio!$A$2:$C$16,3,0))*E1297)+IF(B1297="iFood",F1297*0.27,(VLOOKUP(VENDAS!C1297,Bairros!$A$2:$B$90,2,0))))</f>
        <v/>
      </c>
      <c r="J1297" s="7" t="str">
        <f t="shared" si="81"/>
        <v/>
      </c>
      <c r="K1297" s="9">
        <f t="shared" ca="1" si="82"/>
        <v>45404.878290162036</v>
      </c>
      <c r="L1297" s="10">
        <f t="shared" ca="1" si="83"/>
        <v>45404.878290046297</v>
      </c>
    </row>
    <row r="1298" spans="6:12" x14ac:dyDescent="0.25">
      <c r="F1298" s="11" t="str">
        <f>IF(ISBLANK(D1298),"",(VLOOKUP(D1298,Cardápio!$A$2:$B$16,2,0))*E1298)</f>
        <v/>
      </c>
      <c r="H1298" s="7" t="str">
        <f t="shared" si="80"/>
        <v/>
      </c>
      <c r="I1298" s="7" t="str">
        <f>IF(AND(ISBLANK(D1298),ISBLANK(C1298)),"",((VLOOKUP(D1298,Cardápio!$A$2:$C$16,3,0))*E1298)+IF(B1298="iFood",F1298*0.27,(VLOOKUP(VENDAS!C1298,Bairros!$A$2:$B$90,2,0))))</f>
        <v/>
      </c>
      <c r="J1298" s="7" t="str">
        <f t="shared" si="81"/>
        <v/>
      </c>
      <c r="K1298" s="9">
        <f t="shared" ca="1" si="82"/>
        <v>45404.878290162036</v>
      </c>
      <c r="L1298" s="10">
        <f t="shared" ca="1" si="83"/>
        <v>45404.878290046297</v>
      </c>
    </row>
    <row r="1299" spans="6:12" x14ac:dyDescent="0.25">
      <c r="F1299" s="11" t="str">
        <f>IF(ISBLANK(D1299),"",(VLOOKUP(D1299,Cardápio!$A$2:$B$16,2,0))*E1299)</f>
        <v/>
      </c>
      <c r="H1299" s="7" t="str">
        <f t="shared" si="80"/>
        <v/>
      </c>
      <c r="I1299" s="7" t="str">
        <f>IF(AND(ISBLANK(D1299),ISBLANK(C1299)),"",((VLOOKUP(D1299,Cardápio!$A$2:$C$16,3,0))*E1299)+IF(B1299="iFood",F1299*0.27,(VLOOKUP(VENDAS!C1299,Bairros!$A$2:$B$90,2,0))))</f>
        <v/>
      </c>
      <c r="J1299" s="7" t="str">
        <f t="shared" si="81"/>
        <v/>
      </c>
      <c r="K1299" s="9">
        <f t="shared" ca="1" si="82"/>
        <v>45404.878290162036</v>
      </c>
      <c r="L1299" s="10">
        <f t="shared" ca="1" si="83"/>
        <v>45404.878290046297</v>
      </c>
    </row>
    <row r="1300" spans="6:12" x14ac:dyDescent="0.25">
      <c r="F1300" s="11" t="str">
        <f>IF(ISBLANK(D1300),"",(VLOOKUP(D1300,Cardápio!$A$2:$B$16,2,0))*E1300)</f>
        <v/>
      </c>
      <c r="H1300" s="7" t="str">
        <f t="shared" si="80"/>
        <v/>
      </c>
      <c r="I1300" s="7" t="str">
        <f>IF(AND(ISBLANK(D1300),ISBLANK(C1300)),"",((VLOOKUP(D1300,Cardápio!$A$2:$C$16,3,0))*E1300)+IF(B1300="iFood",F1300*0.27,(VLOOKUP(VENDAS!C1300,Bairros!$A$2:$B$90,2,0))))</f>
        <v/>
      </c>
      <c r="J1300" s="7" t="str">
        <f t="shared" si="81"/>
        <v/>
      </c>
      <c r="K1300" s="9">
        <f t="shared" ca="1" si="82"/>
        <v>45404.878290162036</v>
      </c>
      <c r="L1300" s="10">
        <f t="shared" ca="1" si="83"/>
        <v>45404.878290046297</v>
      </c>
    </row>
    <row r="1301" spans="6:12" x14ac:dyDescent="0.25">
      <c r="F1301" s="11" t="str">
        <f>IF(ISBLANK(D1301),"",(VLOOKUP(D1301,Cardápio!$A$2:$B$16,2,0))*E1301)</f>
        <v/>
      </c>
      <c r="H1301" s="7" t="str">
        <f t="shared" si="80"/>
        <v/>
      </c>
      <c r="I1301" s="7" t="str">
        <f>IF(AND(ISBLANK(D1301),ISBLANK(C1301)),"",((VLOOKUP(D1301,Cardápio!$A$2:$C$16,3,0))*E1301)+IF(B1301="iFood",F1301*0.27,(VLOOKUP(VENDAS!C1301,Bairros!$A$2:$B$90,2,0))))</f>
        <v/>
      </c>
      <c r="J1301" s="7" t="str">
        <f t="shared" si="81"/>
        <v/>
      </c>
      <c r="K1301" s="9">
        <f t="shared" ca="1" si="82"/>
        <v>45404.878290162036</v>
      </c>
      <c r="L1301" s="10">
        <f t="shared" ca="1" si="83"/>
        <v>45404.878290046297</v>
      </c>
    </row>
    <row r="1302" spans="6:12" x14ac:dyDescent="0.25">
      <c r="F1302" s="11" t="str">
        <f>IF(ISBLANK(D1302),"",(VLOOKUP(D1302,Cardápio!$A$2:$B$16,2,0))*E1302)</f>
        <v/>
      </c>
      <c r="H1302" s="7" t="str">
        <f t="shared" si="80"/>
        <v/>
      </c>
      <c r="I1302" s="7" t="str">
        <f>IF(AND(ISBLANK(D1302),ISBLANK(C1302)),"",((VLOOKUP(D1302,Cardápio!$A$2:$C$16,3,0))*E1302)+IF(B1302="iFood",F1302*0.27,(VLOOKUP(VENDAS!C1302,Bairros!$A$2:$B$90,2,0))))</f>
        <v/>
      </c>
      <c r="J1302" s="7" t="str">
        <f t="shared" si="81"/>
        <v/>
      </c>
      <c r="K1302" s="9">
        <f t="shared" ca="1" si="82"/>
        <v>45404.878290162036</v>
      </c>
      <c r="L1302" s="10">
        <f t="shared" ca="1" si="83"/>
        <v>45404.878290046297</v>
      </c>
    </row>
    <row r="1303" spans="6:12" x14ac:dyDescent="0.25">
      <c r="F1303" s="11" t="str">
        <f>IF(ISBLANK(D1303),"",(VLOOKUP(D1303,Cardápio!$A$2:$B$16,2,0))*E1303)</f>
        <v/>
      </c>
      <c r="H1303" s="7" t="str">
        <f t="shared" si="80"/>
        <v/>
      </c>
      <c r="I1303" s="7" t="str">
        <f>IF(AND(ISBLANK(D1303),ISBLANK(C1303)),"",((VLOOKUP(D1303,Cardápio!$A$2:$C$16,3,0))*E1303)+IF(B1303="iFood",F1303*0.27,(VLOOKUP(VENDAS!C1303,Bairros!$A$2:$B$90,2,0))))</f>
        <v/>
      </c>
      <c r="J1303" s="7" t="str">
        <f t="shared" si="81"/>
        <v/>
      </c>
      <c r="K1303" s="9">
        <f t="shared" ca="1" si="82"/>
        <v>45404.878290162036</v>
      </c>
      <c r="L1303" s="10">
        <f t="shared" ca="1" si="83"/>
        <v>45404.878290046297</v>
      </c>
    </row>
    <row r="1304" spans="6:12" x14ac:dyDescent="0.25">
      <c r="F1304" s="11" t="str">
        <f>IF(ISBLANK(D1304),"",(VLOOKUP(D1304,Cardápio!$A$2:$B$16,2,0))*E1304)</f>
        <v/>
      </c>
      <c r="H1304" s="7" t="str">
        <f t="shared" si="80"/>
        <v/>
      </c>
      <c r="I1304" s="7" t="str">
        <f>IF(AND(ISBLANK(D1304),ISBLANK(C1304)),"",((VLOOKUP(D1304,Cardápio!$A$2:$C$16,3,0))*E1304)+IF(B1304="iFood",F1304*0.27,(VLOOKUP(VENDAS!C1304,Bairros!$A$2:$B$90,2,0))))</f>
        <v/>
      </c>
      <c r="J1304" s="7" t="str">
        <f t="shared" si="81"/>
        <v/>
      </c>
      <c r="K1304" s="9">
        <f t="shared" ca="1" si="82"/>
        <v>45404.878290162036</v>
      </c>
      <c r="L1304" s="10">
        <f t="shared" ca="1" si="83"/>
        <v>45404.878290046297</v>
      </c>
    </row>
    <row r="1305" spans="6:12" x14ac:dyDescent="0.25">
      <c r="F1305" s="11" t="str">
        <f>IF(ISBLANK(D1305),"",(VLOOKUP(D1305,Cardápio!$A$2:$B$16,2,0))*E1305)</f>
        <v/>
      </c>
      <c r="H1305" s="7" t="str">
        <f t="shared" si="80"/>
        <v/>
      </c>
      <c r="I1305" s="7" t="str">
        <f>IF(AND(ISBLANK(D1305),ISBLANK(C1305)),"",((VLOOKUP(D1305,Cardápio!$A$2:$C$16,3,0))*E1305)+IF(B1305="iFood",F1305*0.27,(VLOOKUP(VENDAS!C1305,Bairros!$A$2:$B$90,2,0))))</f>
        <v/>
      </c>
      <c r="J1305" s="7" t="str">
        <f t="shared" si="81"/>
        <v/>
      </c>
      <c r="K1305" s="9">
        <f t="shared" ca="1" si="82"/>
        <v>45404.878290162036</v>
      </c>
      <c r="L1305" s="10">
        <f t="shared" ca="1" si="83"/>
        <v>45404.878290046297</v>
      </c>
    </row>
    <row r="1306" spans="6:12" x14ac:dyDescent="0.25">
      <c r="F1306" s="11" t="str">
        <f>IF(ISBLANK(D1306),"",(VLOOKUP(D1306,Cardápio!$A$2:$B$16,2,0))*E1306)</f>
        <v/>
      </c>
      <c r="H1306" s="7" t="str">
        <f t="shared" si="80"/>
        <v/>
      </c>
      <c r="I1306" s="7" t="str">
        <f>IF(AND(ISBLANK(D1306),ISBLANK(C1306)),"",((VLOOKUP(D1306,Cardápio!$A$2:$C$16,3,0))*E1306)+IF(B1306="iFood",F1306*0.27,(VLOOKUP(VENDAS!C1306,Bairros!$A$2:$B$90,2,0))))</f>
        <v/>
      </c>
      <c r="J1306" s="7" t="str">
        <f t="shared" si="81"/>
        <v/>
      </c>
      <c r="K1306" s="9">
        <f t="shared" ca="1" si="82"/>
        <v>45404.878290162036</v>
      </c>
      <c r="L1306" s="10">
        <f t="shared" ca="1" si="83"/>
        <v>45404.878290046297</v>
      </c>
    </row>
    <row r="1307" spans="6:12" x14ac:dyDescent="0.25">
      <c r="F1307" s="11" t="str">
        <f>IF(ISBLANK(D1307),"",(VLOOKUP(D1307,Cardápio!$A$2:$B$16,2,0))*E1307)</f>
        <v/>
      </c>
      <c r="H1307" s="7" t="str">
        <f t="shared" si="80"/>
        <v/>
      </c>
      <c r="I1307" s="7" t="str">
        <f>IF(AND(ISBLANK(D1307),ISBLANK(C1307)),"",((VLOOKUP(D1307,Cardápio!$A$2:$C$16,3,0))*E1307)+IF(B1307="iFood",F1307*0.27,(VLOOKUP(VENDAS!C1307,Bairros!$A$2:$B$90,2,0))))</f>
        <v/>
      </c>
      <c r="J1307" s="7" t="str">
        <f t="shared" si="81"/>
        <v/>
      </c>
      <c r="K1307" s="9">
        <f t="shared" ca="1" si="82"/>
        <v>45404.878290162036</v>
      </c>
      <c r="L1307" s="10">
        <f t="shared" ca="1" si="83"/>
        <v>45404.878290046297</v>
      </c>
    </row>
    <row r="1308" spans="6:12" x14ac:dyDescent="0.25">
      <c r="F1308" s="11" t="str">
        <f>IF(ISBLANK(D1308),"",(VLOOKUP(D1308,Cardápio!$A$2:$B$16,2,0))*E1308)</f>
        <v/>
      </c>
      <c r="H1308" s="7" t="str">
        <f t="shared" si="80"/>
        <v/>
      </c>
      <c r="I1308" s="7" t="str">
        <f>IF(AND(ISBLANK(D1308),ISBLANK(C1308)),"",((VLOOKUP(D1308,Cardápio!$A$2:$C$16,3,0))*E1308)+IF(B1308="iFood",F1308*0.27,(VLOOKUP(VENDAS!C1308,Bairros!$A$2:$B$90,2,0))))</f>
        <v/>
      </c>
      <c r="J1308" s="7" t="str">
        <f t="shared" si="81"/>
        <v/>
      </c>
      <c r="K1308" s="9">
        <f t="shared" ca="1" si="82"/>
        <v>45404.878290162036</v>
      </c>
      <c r="L1308" s="10">
        <f t="shared" ca="1" si="83"/>
        <v>45404.878290046297</v>
      </c>
    </row>
    <row r="1309" spans="6:12" x14ac:dyDescent="0.25">
      <c r="F1309" s="11" t="str">
        <f>IF(ISBLANK(D1309),"",(VLOOKUP(D1309,Cardápio!$A$2:$B$16,2,0))*E1309)</f>
        <v/>
      </c>
      <c r="H1309" s="7" t="str">
        <f t="shared" si="80"/>
        <v/>
      </c>
      <c r="I1309" s="7" t="str">
        <f>IF(AND(ISBLANK(D1309),ISBLANK(C1309)),"",((VLOOKUP(D1309,Cardápio!$A$2:$C$16,3,0))*E1309)+IF(B1309="iFood",F1309*0.27,(VLOOKUP(VENDAS!C1309,Bairros!$A$2:$B$90,2,0))))</f>
        <v/>
      </c>
      <c r="J1309" s="7" t="str">
        <f t="shared" si="81"/>
        <v/>
      </c>
      <c r="K1309" s="9">
        <f t="shared" ca="1" si="82"/>
        <v>45404.878290162036</v>
      </c>
      <c r="L1309" s="10">
        <f t="shared" ca="1" si="83"/>
        <v>45404.878290046297</v>
      </c>
    </row>
    <row r="1310" spans="6:12" x14ac:dyDescent="0.25">
      <c r="F1310" s="11" t="str">
        <f>IF(ISBLANK(D1310),"",(VLOOKUP(D1310,Cardápio!$A$2:$B$16,2,0))*E1310)</f>
        <v/>
      </c>
      <c r="H1310" s="7" t="str">
        <f t="shared" si="80"/>
        <v/>
      </c>
      <c r="I1310" s="7" t="str">
        <f>IF(AND(ISBLANK(D1310),ISBLANK(C1310)),"",((VLOOKUP(D1310,Cardápio!$A$2:$C$16,3,0))*E1310)+IF(B1310="iFood",F1310*0.27,(VLOOKUP(VENDAS!C1310,Bairros!$A$2:$B$90,2,0))))</f>
        <v/>
      </c>
      <c r="J1310" s="7" t="str">
        <f t="shared" si="81"/>
        <v/>
      </c>
      <c r="K1310" s="9">
        <f t="shared" ca="1" si="82"/>
        <v>45404.878290162036</v>
      </c>
      <c r="L1310" s="10">
        <f t="shared" ca="1" si="83"/>
        <v>45404.878290046297</v>
      </c>
    </row>
    <row r="1311" spans="6:12" x14ac:dyDescent="0.25">
      <c r="F1311" s="11" t="str">
        <f>IF(ISBLANK(D1311),"",(VLOOKUP(D1311,Cardápio!$A$2:$B$16,2,0))*E1311)</f>
        <v/>
      </c>
      <c r="H1311" s="7" t="str">
        <f t="shared" si="80"/>
        <v/>
      </c>
      <c r="I1311" s="7" t="str">
        <f>IF(AND(ISBLANK(D1311),ISBLANK(C1311)),"",((VLOOKUP(D1311,Cardápio!$A$2:$C$16,3,0))*E1311)+IF(B1311="iFood",F1311*0.27,(VLOOKUP(VENDAS!C1311,Bairros!$A$2:$B$90,2,0))))</f>
        <v/>
      </c>
      <c r="J1311" s="7" t="str">
        <f t="shared" si="81"/>
        <v/>
      </c>
      <c r="K1311" s="9">
        <f t="shared" ca="1" si="82"/>
        <v>45404.878290162036</v>
      </c>
      <c r="L1311" s="10">
        <f t="shared" ca="1" si="83"/>
        <v>45404.878290046297</v>
      </c>
    </row>
    <row r="1312" spans="6:12" x14ac:dyDescent="0.25">
      <c r="F1312" s="11" t="str">
        <f>IF(ISBLANK(D1312),"",(VLOOKUP(D1312,Cardápio!$A$2:$B$16,2,0))*E1312)</f>
        <v/>
      </c>
      <c r="H1312" s="7" t="str">
        <f t="shared" si="80"/>
        <v/>
      </c>
      <c r="I1312" s="7" t="str">
        <f>IF(AND(ISBLANK(D1312),ISBLANK(C1312)),"",((VLOOKUP(D1312,Cardápio!$A$2:$C$16,3,0))*E1312)+IF(B1312="iFood",F1312*0.27,(VLOOKUP(VENDAS!C1312,Bairros!$A$2:$B$90,2,0))))</f>
        <v/>
      </c>
      <c r="J1312" s="7" t="str">
        <f t="shared" si="81"/>
        <v/>
      </c>
      <c r="K1312" s="9">
        <f t="shared" ca="1" si="82"/>
        <v>45404.878290162036</v>
      </c>
      <c r="L1312" s="10">
        <f t="shared" ca="1" si="83"/>
        <v>45404.878290046297</v>
      </c>
    </row>
    <row r="1313" spans="6:12" x14ac:dyDescent="0.25">
      <c r="F1313" s="11" t="str">
        <f>IF(ISBLANK(D1313),"",(VLOOKUP(D1313,Cardápio!$A$2:$B$16,2,0))*E1313)</f>
        <v/>
      </c>
      <c r="H1313" s="7" t="str">
        <f t="shared" si="80"/>
        <v/>
      </c>
      <c r="I1313" s="7" t="str">
        <f>IF(AND(ISBLANK(D1313),ISBLANK(C1313)),"",((VLOOKUP(D1313,Cardápio!$A$2:$C$16,3,0))*E1313)+IF(B1313="iFood",F1313*0.27,(VLOOKUP(VENDAS!C1313,Bairros!$A$2:$B$90,2,0))))</f>
        <v/>
      </c>
      <c r="J1313" s="7" t="str">
        <f t="shared" si="81"/>
        <v/>
      </c>
      <c r="K1313" s="9">
        <f t="shared" ca="1" si="82"/>
        <v>45404.878290162036</v>
      </c>
      <c r="L1313" s="10">
        <f t="shared" ca="1" si="83"/>
        <v>45404.878290046297</v>
      </c>
    </row>
    <row r="1314" spans="6:12" x14ac:dyDescent="0.25">
      <c r="F1314" s="11" t="str">
        <f>IF(ISBLANK(D1314),"",(VLOOKUP(D1314,Cardápio!$A$2:$B$16,2,0))*E1314)</f>
        <v/>
      </c>
      <c r="H1314" s="7" t="str">
        <f t="shared" si="80"/>
        <v/>
      </c>
      <c r="I1314" s="7" t="str">
        <f>IF(AND(ISBLANK(D1314),ISBLANK(C1314)),"",((VLOOKUP(D1314,Cardápio!$A$2:$C$16,3,0))*E1314)+IF(B1314="iFood",F1314*0.27,(VLOOKUP(VENDAS!C1314,Bairros!$A$2:$B$90,2,0))))</f>
        <v/>
      </c>
      <c r="J1314" s="7" t="str">
        <f t="shared" si="81"/>
        <v/>
      </c>
      <c r="K1314" s="9">
        <f t="shared" ca="1" si="82"/>
        <v>45404.878290162036</v>
      </c>
      <c r="L1314" s="10">
        <f t="shared" ca="1" si="83"/>
        <v>45404.878290046297</v>
      </c>
    </row>
    <row r="1315" spans="6:12" x14ac:dyDescent="0.25">
      <c r="F1315" s="11" t="str">
        <f>IF(ISBLANK(D1315),"",(VLOOKUP(D1315,Cardápio!$A$2:$B$16,2,0))*E1315)</f>
        <v/>
      </c>
      <c r="H1315" s="7" t="str">
        <f t="shared" si="80"/>
        <v/>
      </c>
      <c r="I1315" s="7" t="str">
        <f>IF(AND(ISBLANK(D1315),ISBLANK(C1315)),"",((VLOOKUP(D1315,Cardápio!$A$2:$C$16,3,0))*E1315)+IF(B1315="iFood",F1315*0.27,(VLOOKUP(VENDAS!C1315,Bairros!$A$2:$B$90,2,0))))</f>
        <v/>
      </c>
      <c r="J1315" s="7" t="str">
        <f t="shared" si="81"/>
        <v/>
      </c>
      <c r="K1315" s="9">
        <f t="shared" ca="1" si="82"/>
        <v>45404.878290162036</v>
      </c>
      <c r="L1315" s="10">
        <f t="shared" ca="1" si="83"/>
        <v>45404.878290046297</v>
      </c>
    </row>
    <row r="1316" spans="6:12" x14ac:dyDescent="0.25">
      <c r="F1316" s="11" t="str">
        <f>IF(ISBLANK(D1316),"",(VLOOKUP(D1316,Cardápio!$A$2:$B$16,2,0))*E1316)</f>
        <v/>
      </c>
      <c r="H1316" s="7" t="str">
        <f t="shared" si="80"/>
        <v/>
      </c>
      <c r="I1316" s="7" t="str">
        <f>IF(AND(ISBLANK(D1316),ISBLANK(C1316)),"",((VLOOKUP(D1316,Cardápio!$A$2:$C$16,3,0))*E1316)+IF(B1316="iFood",F1316*0.27,(VLOOKUP(VENDAS!C1316,Bairros!$A$2:$B$90,2,0))))</f>
        <v/>
      </c>
      <c r="J1316" s="7" t="str">
        <f t="shared" si="81"/>
        <v/>
      </c>
      <c r="K1316" s="9">
        <f t="shared" ca="1" si="82"/>
        <v>45404.878290162036</v>
      </c>
      <c r="L1316" s="10">
        <f t="shared" ca="1" si="83"/>
        <v>45404.878290046297</v>
      </c>
    </row>
    <row r="1317" spans="6:12" x14ac:dyDescent="0.25">
      <c r="F1317" s="11" t="str">
        <f>IF(ISBLANK(D1317),"",(VLOOKUP(D1317,Cardápio!$A$2:$B$16,2,0))*E1317)</f>
        <v/>
      </c>
      <c r="H1317" s="7" t="str">
        <f t="shared" si="80"/>
        <v/>
      </c>
      <c r="I1317" s="7" t="str">
        <f>IF(AND(ISBLANK(D1317),ISBLANK(C1317)),"",((VLOOKUP(D1317,Cardápio!$A$2:$C$16,3,0))*E1317)+IF(B1317="iFood",F1317*0.27,(VLOOKUP(VENDAS!C1317,Bairros!$A$2:$B$90,2,0))))</f>
        <v/>
      </c>
      <c r="J1317" s="7" t="str">
        <f t="shared" si="81"/>
        <v/>
      </c>
      <c r="K1317" s="9">
        <f t="shared" ca="1" si="82"/>
        <v>45404.878290162036</v>
      </c>
      <c r="L1317" s="10">
        <f t="shared" ca="1" si="83"/>
        <v>45404.878290046297</v>
      </c>
    </row>
    <row r="1318" spans="6:12" x14ac:dyDescent="0.25">
      <c r="F1318" s="11" t="str">
        <f>IF(ISBLANK(D1318),"",(VLOOKUP(D1318,Cardápio!$A$2:$B$16,2,0))*E1318)</f>
        <v/>
      </c>
      <c r="H1318" s="7" t="str">
        <f t="shared" si="80"/>
        <v/>
      </c>
      <c r="I1318" s="7" t="str">
        <f>IF(AND(ISBLANK(D1318),ISBLANK(C1318)),"",((VLOOKUP(D1318,Cardápio!$A$2:$C$16,3,0))*E1318)+IF(B1318="iFood",F1318*0.27,(VLOOKUP(VENDAS!C1318,Bairros!$A$2:$B$90,2,0))))</f>
        <v/>
      </c>
      <c r="J1318" s="7" t="str">
        <f t="shared" si="81"/>
        <v/>
      </c>
      <c r="K1318" s="9">
        <f t="shared" ca="1" si="82"/>
        <v>45404.878290162036</v>
      </c>
      <c r="L1318" s="10">
        <f t="shared" ca="1" si="83"/>
        <v>45404.878290046297</v>
      </c>
    </row>
    <row r="1319" spans="6:12" x14ac:dyDescent="0.25">
      <c r="F1319" s="11" t="str">
        <f>IF(ISBLANK(D1319),"",(VLOOKUP(D1319,Cardápio!$A$2:$B$16,2,0))*E1319)</f>
        <v/>
      </c>
      <c r="H1319" s="7" t="str">
        <f t="shared" si="80"/>
        <v/>
      </c>
      <c r="I1319" s="7" t="str">
        <f>IF(AND(ISBLANK(D1319),ISBLANK(C1319)),"",((VLOOKUP(D1319,Cardápio!$A$2:$C$16,3,0))*E1319)+IF(B1319="iFood",F1319*0.27,(VLOOKUP(VENDAS!C1319,Bairros!$A$2:$B$90,2,0))))</f>
        <v/>
      </c>
      <c r="J1319" s="7" t="str">
        <f t="shared" si="81"/>
        <v/>
      </c>
      <c r="K1319" s="9">
        <f t="shared" ca="1" si="82"/>
        <v>45404.878290162036</v>
      </c>
      <c r="L1319" s="10">
        <f t="shared" ca="1" si="83"/>
        <v>45404.878290046297</v>
      </c>
    </row>
    <row r="1320" spans="6:12" x14ac:dyDescent="0.25">
      <c r="F1320" s="11" t="str">
        <f>IF(ISBLANK(D1320),"",(VLOOKUP(D1320,Cardápio!$A$2:$B$16,2,0))*E1320)</f>
        <v/>
      </c>
      <c r="H1320" s="7" t="str">
        <f t="shared" si="80"/>
        <v/>
      </c>
      <c r="I1320" s="7" t="str">
        <f>IF(AND(ISBLANK(D1320),ISBLANK(C1320)),"",((VLOOKUP(D1320,Cardápio!$A$2:$C$16,3,0))*E1320)+IF(B1320="iFood",F1320*0.27,(VLOOKUP(VENDAS!C1320,Bairros!$A$2:$B$90,2,0))))</f>
        <v/>
      </c>
      <c r="J1320" s="7" t="str">
        <f t="shared" si="81"/>
        <v/>
      </c>
      <c r="K1320" s="9">
        <f t="shared" ca="1" si="82"/>
        <v>45404.878290162036</v>
      </c>
      <c r="L1320" s="10">
        <f t="shared" ca="1" si="83"/>
        <v>45404.878290046297</v>
      </c>
    </row>
    <row r="1321" spans="6:12" x14ac:dyDescent="0.25">
      <c r="F1321" s="11" t="str">
        <f>IF(ISBLANK(D1321),"",(VLOOKUP(D1321,Cardápio!$A$2:$B$16,2,0))*E1321)</f>
        <v/>
      </c>
      <c r="H1321" s="7" t="str">
        <f t="shared" si="80"/>
        <v/>
      </c>
      <c r="I1321" s="7" t="str">
        <f>IF(AND(ISBLANK(D1321),ISBLANK(C1321)),"",((VLOOKUP(D1321,Cardápio!$A$2:$C$16,3,0))*E1321)+IF(B1321="iFood",F1321*0.27,(VLOOKUP(VENDAS!C1321,Bairros!$A$2:$B$90,2,0))))</f>
        <v/>
      </c>
      <c r="J1321" s="7" t="str">
        <f t="shared" si="81"/>
        <v/>
      </c>
      <c r="K1321" s="9">
        <f t="shared" ca="1" si="82"/>
        <v>45404.878290162036</v>
      </c>
      <c r="L1321" s="10">
        <f t="shared" ca="1" si="83"/>
        <v>45404.878290046297</v>
      </c>
    </row>
    <row r="1322" spans="6:12" x14ac:dyDescent="0.25">
      <c r="F1322" s="11" t="str">
        <f>IF(ISBLANK(D1322),"",(VLOOKUP(D1322,Cardápio!$A$2:$B$16,2,0))*E1322)</f>
        <v/>
      </c>
      <c r="H1322" s="7" t="str">
        <f t="shared" si="80"/>
        <v/>
      </c>
      <c r="I1322" s="7" t="str">
        <f>IF(AND(ISBLANK(D1322),ISBLANK(C1322)),"",((VLOOKUP(D1322,Cardápio!$A$2:$C$16,3,0))*E1322)+IF(B1322="iFood",F1322*0.27,(VLOOKUP(VENDAS!C1322,Bairros!$A$2:$B$90,2,0))))</f>
        <v/>
      </c>
      <c r="J1322" s="7" t="str">
        <f t="shared" si="81"/>
        <v/>
      </c>
      <c r="K1322" s="9">
        <f t="shared" ca="1" si="82"/>
        <v>45404.878290162036</v>
      </c>
      <c r="L1322" s="10">
        <f t="shared" ca="1" si="83"/>
        <v>45404.878290046297</v>
      </c>
    </row>
    <row r="1323" spans="6:12" x14ac:dyDescent="0.25">
      <c r="F1323" s="11" t="str">
        <f>IF(ISBLANK(D1323),"",(VLOOKUP(D1323,Cardápio!$A$2:$B$16,2,0))*E1323)</f>
        <v/>
      </c>
      <c r="H1323" s="7" t="str">
        <f t="shared" si="80"/>
        <v/>
      </c>
      <c r="I1323" s="7" t="str">
        <f>IF(AND(ISBLANK(D1323),ISBLANK(C1323)),"",((VLOOKUP(D1323,Cardápio!$A$2:$C$16,3,0))*E1323)+IF(B1323="iFood",F1323*0.27,(VLOOKUP(VENDAS!C1323,Bairros!$A$2:$B$90,2,0))))</f>
        <v/>
      </c>
      <c r="J1323" s="7" t="str">
        <f t="shared" si="81"/>
        <v/>
      </c>
      <c r="K1323" s="9">
        <f t="shared" ca="1" si="82"/>
        <v>45404.878290162036</v>
      </c>
      <c r="L1323" s="10">
        <f t="shared" ca="1" si="83"/>
        <v>45404.878290046297</v>
      </c>
    </row>
    <row r="1324" spans="6:12" x14ac:dyDescent="0.25">
      <c r="F1324" s="11" t="str">
        <f>IF(ISBLANK(D1324),"",(VLOOKUP(D1324,Cardápio!$A$2:$B$16,2,0))*E1324)</f>
        <v/>
      </c>
      <c r="H1324" s="7" t="str">
        <f t="shared" si="80"/>
        <v/>
      </c>
      <c r="I1324" s="7" t="str">
        <f>IF(AND(ISBLANK(D1324),ISBLANK(C1324)),"",((VLOOKUP(D1324,Cardápio!$A$2:$C$16,3,0))*E1324)+IF(B1324="iFood",F1324*0.27,(VLOOKUP(VENDAS!C1324,Bairros!$A$2:$B$90,2,0))))</f>
        <v/>
      </c>
      <c r="J1324" s="7" t="str">
        <f t="shared" si="81"/>
        <v/>
      </c>
      <c r="K1324" s="9">
        <f t="shared" ca="1" si="82"/>
        <v>45404.878290162036</v>
      </c>
      <c r="L1324" s="10">
        <f t="shared" ca="1" si="83"/>
        <v>45404.878290046297</v>
      </c>
    </row>
    <row r="1325" spans="6:12" x14ac:dyDescent="0.25">
      <c r="F1325" s="11" t="str">
        <f>IF(ISBLANK(D1325),"",(VLOOKUP(D1325,Cardápio!$A$2:$B$16,2,0))*E1325)</f>
        <v/>
      </c>
      <c r="H1325" s="7" t="str">
        <f t="shared" si="80"/>
        <v/>
      </c>
      <c r="I1325" s="7" t="str">
        <f>IF(AND(ISBLANK(D1325),ISBLANK(C1325)),"",((VLOOKUP(D1325,Cardápio!$A$2:$C$16,3,0))*E1325)+IF(B1325="iFood",F1325*0.27,(VLOOKUP(VENDAS!C1325,Bairros!$A$2:$B$90,2,0))))</f>
        <v/>
      </c>
      <c r="J1325" s="7" t="str">
        <f t="shared" si="81"/>
        <v/>
      </c>
      <c r="K1325" s="9">
        <f t="shared" ca="1" si="82"/>
        <v>45404.878290162036</v>
      </c>
      <c r="L1325" s="10">
        <f t="shared" ca="1" si="83"/>
        <v>45404.878290046297</v>
      </c>
    </row>
    <row r="1326" spans="6:12" x14ac:dyDescent="0.25">
      <c r="F1326" s="11" t="str">
        <f>IF(ISBLANK(D1326),"",(VLOOKUP(D1326,Cardápio!$A$2:$B$16,2,0))*E1326)</f>
        <v/>
      </c>
      <c r="H1326" s="7" t="str">
        <f t="shared" si="80"/>
        <v/>
      </c>
      <c r="I1326" s="7" t="str">
        <f>IF(AND(ISBLANK(D1326),ISBLANK(C1326)),"",((VLOOKUP(D1326,Cardápio!$A$2:$C$16,3,0))*E1326)+IF(B1326="iFood",F1326*0.27,(VLOOKUP(VENDAS!C1326,Bairros!$A$2:$B$90,2,0))))</f>
        <v/>
      </c>
      <c r="J1326" s="7" t="str">
        <f t="shared" si="81"/>
        <v/>
      </c>
      <c r="K1326" s="9">
        <f t="shared" ca="1" si="82"/>
        <v>45404.878290162036</v>
      </c>
      <c r="L1326" s="10">
        <f t="shared" ca="1" si="83"/>
        <v>45404.878290046297</v>
      </c>
    </row>
    <row r="1327" spans="6:12" x14ac:dyDescent="0.25">
      <c r="F1327" s="11" t="str">
        <f>IF(ISBLANK(D1327),"",(VLOOKUP(D1327,Cardápio!$A$2:$B$16,2,0))*E1327)</f>
        <v/>
      </c>
      <c r="H1327" s="7" t="str">
        <f t="shared" si="80"/>
        <v/>
      </c>
      <c r="I1327" s="7" t="str">
        <f>IF(AND(ISBLANK(D1327),ISBLANK(C1327)),"",((VLOOKUP(D1327,Cardápio!$A$2:$C$16,3,0))*E1327)+IF(B1327="iFood",F1327*0.27,(VLOOKUP(VENDAS!C1327,Bairros!$A$2:$B$90,2,0))))</f>
        <v/>
      </c>
      <c r="J1327" s="7" t="str">
        <f t="shared" si="81"/>
        <v/>
      </c>
      <c r="K1327" s="9">
        <f t="shared" ca="1" si="82"/>
        <v>45404.878290162036</v>
      </c>
      <c r="L1327" s="10">
        <f t="shared" ca="1" si="83"/>
        <v>45404.878290046297</v>
      </c>
    </row>
    <row r="1328" spans="6:12" x14ac:dyDescent="0.25">
      <c r="F1328" s="11" t="str">
        <f>IF(ISBLANK(D1328),"",(VLOOKUP(D1328,Cardápio!$A$2:$B$16,2,0))*E1328)</f>
        <v/>
      </c>
      <c r="H1328" s="7" t="str">
        <f t="shared" si="80"/>
        <v/>
      </c>
      <c r="I1328" s="7" t="str">
        <f>IF(AND(ISBLANK(D1328),ISBLANK(C1328)),"",((VLOOKUP(D1328,Cardápio!$A$2:$C$16,3,0))*E1328)+IF(B1328="iFood",F1328*0.27,(VLOOKUP(VENDAS!C1328,Bairros!$A$2:$B$90,2,0))))</f>
        <v/>
      </c>
      <c r="J1328" s="7" t="str">
        <f t="shared" si="81"/>
        <v/>
      </c>
      <c r="K1328" s="9">
        <f t="shared" ca="1" si="82"/>
        <v>45404.878290162036</v>
      </c>
      <c r="L1328" s="10">
        <f t="shared" ca="1" si="83"/>
        <v>45404.878290046297</v>
      </c>
    </row>
    <row r="1329" spans="6:12" x14ac:dyDescent="0.25">
      <c r="F1329" s="11" t="str">
        <f>IF(ISBLANK(D1329),"",(VLOOKUP(D1329,Cardápio!$A$2:$B$16,2,0))*E1329)</f>
        <v/>
      </c>
      <c r="H1329" s="7" t="str">
        <f t="shared" si="80"/>
        <v/>
      </c>
      <c r="I1329" s="7" t="str">
        <f>IF(AND(ISBLANK(D1329),ISBLANK(C1329)),"",((VLOOKUP(D1329,Cardápio!$A$2:$C$16,3,0))*E1329)+IF(B1329="iFood",F1329*0.27,(VLOOKUP(VENDAS!C1329,Bairros!$A$2:$B$90,2,0))))</f>
        <v/>
      </c>
      <c r="J1329" s="7" t="str">
        <f t="shared" si="81"/>
        <v/>
      </c>
      <c r="K1329" s="9">
        <f t="shared" ca="1" si="82"/>
        <v>45404.878290162036</v>
      </c>
      <c r="L1329" s="10">
        <f t="shared" ca="1" si="83"/>
        <v>45404.878290046297</v>
      </c>
    </row>
    <row r="1330" spans="6:12" x14ac:dyDescent="0.25">
      <c r="F1330" s="11" t="str">
        <f>IF(ISBLANK(D1330),"",(VLOOKUP(D1330,Cardápio!$A$2:$B$16,2,0))*E1330)</f>
        <v/>
      </c>
      <c r="H1330" s="7" t="str">
        <f t="shared" si="80"/>
        <v/>
      </c>
      <c r="I1330" s="7" t="str">
        <f>IF(AND(ISBLANK(D1330),ISBLANK(C1330)),"",((VLOOKUP(D1330,Cardápio!$A$2:$C$16,3,0))*E1330)+IF(B1330="iFood",F1330*0.27,(VLOOKUP(VENDAS!C1330,Bairros!$A$2:$B$90,2,0))))</f>
        <v/>
      </c>
      <c r="J1330" s="7" t="str">
        <f t="shared" si="81"/>
        <v/>
      </c>
      <c r="K1330" s="9">
        <f t="shared" ca="1" si="82"/>
        <v>45404.878290162036</v>
      </c>
      <c r="L1330" s="10">
        <f t="shared" ca="1" si="83"/>
        <v>45404.878290046297</v>
      </c>
    </row>
    <row r="1331" spans="6:12" x14ac:dyDescent="0.25">
      <c r="F1331" s="11" t="str">
        <f>IF(ISBLANK(D1331),"",(VLOOKUP(D1331,Cardápio!$A$2:$B$16,2,0))*E1331)</f>
        <v/>
      </c>
      <c r="H1331" s="7" t="str">
        <f t="shared" si="80"/>
        <v/>
      </c>
      <c r="I1331" s="7" t="str">
        <f>IF(AND(ISBLANK(D1331),ISBLANK(C1331)),"",((VLOOKUP(D1331,Cardápio!$A$2:$C$16,3,0))*E1331)+IF(B1331="iFood",F1331*0.27,(VLOOKUP(VENDAS!C1331,Bairros!$A$2:$B$90,2,0))))</f>
        <v/>
      </c>
      <c r="J1331" s="7" t="str">
        <f t="shared" si="81"/>
        <v/>
      </c>
      <c r="K1331" s="9">
        <f t="shared" ca="1" si="82"/>
        <v>45404.878290162036</v>
      </c>
      <c r="L1331" s="10">
        <f t="shared" ca="1" si="83"/>
        <v>45404.878290046297</v>
      </c>
    </row>
    <row r="1332" spans="6:12" x14ac:dyDescent="0.25">
      <c r="F1332" s="11" t="str">
        <f>IF(ISBLANK(D1332),"",(VLOOKUP(D1332,Cardápio!$A$2:$B$16,2,0))*E1332)</f>
        <v/>
      </c>
      <c r="H1332" s="7" t="str">
        <f t="shared" si="80"/>
        <v/>
      </c>
      <c r="I1332" s="7" t="str">
        <f>IF(AND(ISBLANK(D1332),ISBLANK(C1332)),"",((VLOOKUP(D1332,Cardápio!$A$2:$C$16,3,0))*E1332)+IF(B1332="iFood",F1332*0.27,(VLOOKUP(VENDAS!C1332,Bairros!$A$2:$B$90,2,0))))</f>
        <v/>
      </c>
      <c r="J1332" s="7" t="str">
        <f t="shared" si="81"/>
        <v/>
      </c>
      <c r="K1332" s="9">
        <f t="shared" ca="1" si="82"/>
        <v>45404.878290162036</v>
      </c>
      <c r="L1332" s="10">
        <f t="shared" ca="1" si="83"/>
        <v>45404.878290046297</v>
      </c>
    </row>
    <row r="1333" spans="6:12" x14ac:dyDescent="0.25">
      <c r="F1333" s="11" t="str">
        <f>IF(ISBLANK(D1333),"",(VLOOKUP(D1333,Cardápio!$A$2:$B$16,2,0))*E1333)</f>
        <v/>
      </c>
      <c r="H1333" s="7" t="str">
        <f t="shared" ref="H1333:H1396" si="84">IF(ISBLANK(D1333),"",F1333-G1333)</f>
        <v/>
      </c>
      <c r="I1333" s="7" t="str">
        <f>IF(AND(ISBLANK(D1333),ISBLANK(C1333)),"",((VLOOKUP(D1333,Cardápio!$A$2:$C$16,3,0))*E1333)+IF(B1333="iFood",F1333*0.27,(VLOOKUP(VENDAS!C1333,Bairros!$A$2:$B$90,2,0))))</f>
        <v/>
      </c>
      <c r="J1333" s="7" t="str">
        <f t="shared" ref="J1333:J1396" si="85">IF(OR(AND(ISBLANK(H1333),ISBLANK(I1333)),(AND(H1333="",I1333=""))),"",H1333-I1333)</f>
        <v/>
      </c>
      <c r="K1333" s="9">
        <f t="shared" ref="K1333:K1396" ca="1" si="86">IF(D1333&lt;&gt;"",K1333,NOW())</f>
        <v>45404.878290162036</v>
      </c>
      <c r="L1333" s="10">
        <f t="shared" ref="L1333:L1396" ca="1" si="87">IF(D1333&lt;&gt;"",L1333,NOW())</f>
        <v>45404.878290046297</v>
      </c>
    </row>
    <row r="1334" spans="6:12" x14ac:dyDescent="0.25">
      <c r="F1334" s="11" t="str">
        <f>IF(ISBLANK(D1334),"",(VLOOKUP(D1334,Cardápio!$A$2:$B$16,2,0))*E1334)</f>
        <v/>
      </c>
      <c r="H1334" s="7" t="str">
        <f t="shared" si="84"/>
        <v/>
      </c>
      <c r="I1334" s="7" t="str">
        <f>IF(AND(ISBLANK(D1334),ISBLANK(C1334)),"",((VLOOKUP(D1334,Cardápio!$A$2:$C$16,3,0))*E1334)+IF(B1334="iFood",F1334*0.27,(VLOOKUP(VENDAS!C1334,Bairros!$A$2:$B$90,2,0))))</f>
        <v/>
      </c>
      <c r="J1334" s="7" t="str">
        <f t="shared" si="85"/>
        <v/>
      </c>
      <c r="K1334" s="9">
        <f t="shared" ca="1" si="86"/>
        <v>45404.878290162036</v>
      </c>
      <c r="L1334" s="10">
        <f t="shared" ca="1" si="87"/>
        <v>45404.878290046297</v>
      </c>
    </row>
    <row r="1335" spans="6:12" x14ac:dyDescent="0.25">
      <c r="F1335" s="11" t="str">
        <f>IF(ISBLANK(D1335),"",(VLOOKUP(D1335,Cardápio!$A$2:$B$16,2,0))*E1335)</f>
        <v/>
      </c>
      <c r="H1335" s="7" t="str">
        <f t="shared" si="84"/>
        <v/>
      </c>
      <c r="I1335" s="7" t="str">
        <f>IF(AND(ISBLANK(D1335),ISBLANK(C1335)),"",((VLOOKUP(D1335,Cardápio!$A$2:$C$16,3,0))*E1335)+IF(B1335="iFood",F1335*0.27,(VLOOKUP(VENDAS!C1335,Bairros!$A$2:$B$90,2,0))))</f>
        <v/>
      </c>
      <c r="J1335" s="7" t="str">
        <f t="shared" si="85"/>
        <v/>
      </c>
      <c r="K1335" s="9">
        <f t="shared" ca="1" si="86"/>
        <v>45404.878290162036</v>
      </c>
      <c r="L1335" s="10">
        <f t="shared" ca="1" si="87"/>
        <v>45404.878290046297</v>
      </c>
    </row>
    <row r="1336" spans="6:12" x14ac:dyDescent="0.25">
      <c r="F1336" s="11" t="str">
        <f>IF(ISBLANK(D1336),"",(VLOOKUP(D1336,Cardápio!$A$2:$B$16,2,0))*E1336)</f>
        <v/>
      </c>
      <c r="H1336" s="7" t="str">
        <f t="shared" si="84"/>
        <v/>
      </c>
      <c r="I1336" s="7" t="str">
        <f>IF(AND(ISBLANK(D1336),ISBLANK(C1336)),"",((VLOOKUP(D1336,Cardápio!$A$2:$C$16,3,0))*E1336)+IF(B1336="iFood",F1336*0.27,(VLOOKUP(VENDAS!C1336,Bairros!$A$2:$B$90,2,0))))</f>
        <v/>
      </c>
      <c r="J1336" s="7" t="str">
        <f t="shared" si="85"/>
        <v/>
      </c>
      <c r="K1336" s="9">
        <f t="shared" ca="1" si="86"/>
        <v>45404.878290162036</v>
      </c>
      <c r="L1336" s="10">
        <f t="shared" ca="1" si="87"/>
        <v>45404.878290046297</v>
      </c>
    </row>
    <row r="1337" spans="6:12" x14ac:dyDescent="0.25">
      <c r="F1337" s="11" t="str">
        <f>IF(ISBLANK(D1337),"",(VLOOKUP(D1337,Cardápio!$A$2:$B$16,2,0))*E1337)</f>
        <v/>
      </c>
      <c r="H1337" s="7" t="str">
        <f t="shared" si="84"/>
        <v/>
      </c>
      <c r="I1337" s="7" t="str">
        <f>IF(AND(ISBLANK(D1337),ISBLANK(C1337)),"",((VLOOKUP(D1337,Cardápio!$A$2:$C$16,3,0))*E1337)+IF(B1337="iFood",F1337*0.27,(VLOOKUP(VENDAS!C1337,Bairros!$A$2:$B$90,2,0))))</f>
        <v/>
      </c>
      <c r="J1337" s="7" t="str">
        <f t="shared" si="85"/>
        <v/>
      </c>
      <c r="K1337" s="9">
        <f t="shared" ca="1" si="86"/>
        <v>45404.878290162036</v>
      </c>
      <c r="L1337" s="10">
        <f t="shared" ca="1" si="87"/>
        <v>45404.878290046297</v>
      </c>
    </row>
    <row r="1338" spans="6:12" x14ac:dyDescent="0.25">
      <c r="F1338" s="11" t="str">
        <f>IF(ISBLANK(D1338),"",(VLOOKUP(D1338,Cardápio!$A$2:$B$16,2,0))*E1338)</f>
        <v/>
      </c>
      <c r="H1338" s="7" t="str">
        <f t="shared" si="84"/>
        <v/>
      </c>
      <c r="I1338" s="7" t="str">
        <f>IF(AND(ISBLANK(D1338),ISBLANK(C1338)),"",((VLOOKUP(D1338,Cardápio!$A$2:$C$16,3,0))*E1338)+IF(B1338="iFood",F1338*0.27,(VLOOKUP(VENDAS!C1338,Bairros!$A$2:$B$90,2,0))))</f>
        <v/>
      </c>
      <c r="J1338" s="7" t="str">
        <f t="shared" si="85"/>
        <v/>
      </c>
      <c r="K1338" s="9">
        <f t="shared" ca="1" si="86"/>
        <v>45404.878290162036</v>
      </c>
      <c r="L1338" s="10">
        <f t="shared" ca="1" si="87"/>
        <v>45404.878290046297</v>
      </c>
    </row>
    <row r="1339" spans="6:12" x14ac:dyDescent="0.25">
      <c r="F1339" s="11" t="str">
        <f>IF(ISBLANK(D1339),"",(VLOOKUP(D1339,Cardápio!$A$2:$B$16,2,0))*E1339)</f>
        <v/>
      </c>
      <c r="H1339" s="7" t="str">
        <f t="shared" si="84"/>
        <v/>
      </c>
      <c r="I1339" s="7" t="str">
        <f>IF(AND(ISBLANK(D1339),ISBLANK(C1339)),"",((VLOOKUP(D1339,Cardápio!$A$2:$C$16,3,0))*E1339)+IF(B1339="iFood",F1339*0.27,(VLOOKUP(VENDAS!C1339,Bairros!$A$2:$B$90,2,0))))</f>
        <v/>
      </c>
      <c r="J1339" s="7" t="str">
        <f t="shared" si="85"/>
        <v/>
      </c>
      <c r="K1339" s="9">
        <f t="shared" ca="1" si="86"/>
        <v>45404.878290162036</v>
      </c>
      <c r="L1339" s="10">
        <f t="shared" ca="1" si="87"/>
        <v>45404.878290046297</v>
      </c>
    </row>
    <row r="1340" spans="6:12" x14ac:dyDescent="0.25">
      <c r="F1340" s="11" t="str">
        <f>IF(ISBLANK(D1340),"",(VLOOKUP(D1340,Cardápio!$A$2:$B$16,2,0))*E1340)</f>
        <v/>
      </c>
      <c r="H1340" s="7" t="str">
        <f t="shared" si="84"/>
        <v/>
      </c>
      <c r="I1340" s="7" t="str">
        <f>IF(AND(ISBLANK(D1340),ISBLANK(C1340)),"",((VLOOKUP(D1340,Cardápio!$A$2:$C$16,3,0))*E1340)+IF(B1340="iFood",F1340*0.27,(VLOOKUP(VENDAS!C1340,Bairros!$A$2:$B$90,2,0))))</f>
        <v/>
      </c>
      <c r="J1340" s="7" t="str">
        <f t="shared" si="85"/>
        <v/>
      </c>
      <c r="K1340" s="9">
        <f t="shared" ca="1" si="86"/>
        <v>45404.878290162036</v>
      </c>
      <c r="L1340" s="10">
        <f t="shared" ca="1" si="87"/>
        <v>45404.878290046297</v>
      </c>
    </row>
    <row r="1341" spans="6:12" x14ac:dyDescent="0.25">
      <c r="F1341" s="11" t="str">
        <f>IF(ISBLANK(D1341),"",(VLOOKUP(D1341,Cardápio!$A$2:$B$16,2,0))*E1341)</f>
        <v/>
      </c>
      <c r="H1341" s="7" t="str">
        <f t="shared" si="84"/>
        <v/>
      </c>
      <c r="I1341" s="7" t="str">
        <f>IF(AND(ISBLANK(D1341),ISBLANK(C1341)),"",((VLOOKUP(D1341,Cardápio!$A$2:$C$16,3,0))*E1341)+IF(B1341="iFood",F1341*0.27,(VLOOKUP(VENDAS!C1341,Bairros!$A$2:$B$90,2,0))))</f>
        <v/>
      </c>
      <c r="J1341" s="7" t="str">
        <f t="shared" si="85"/>
        <v/>
      </c>
      <c r="K1341" s="9">
        <f t="shared" ca="1" si="86"/>
        <v>45404.878290162036</v>
      </c>
      <c r="L1341" s="10">
        <f t="shared" ca="1" si="87"/>
        <v>45404.878290046297</v>
      </c>
    </row>
    <row r="1342" spans="6:12" x14ac:dyDescent="0.25">
      <c r="F1342" s="11" t="str">
        <f>IF(ISBLANK(D1342),"",(VLOOKUP(D1342,Cardápio!$A$2:$B$16,2,0))*E1342)</f>
        <v/>
      </c>
      <c r="H1342" s="7" t="str">
        <f t="shared" si="84"/>
        <v/>
      </c>
      <c r="I1342" s="7" t="str">
        <f>IF(AND(ISBLANK(D1342),ISBLANK(C1342)),"",((VLOOKUP(D1342,Cardápio!$A$2:$C$16,3,0))*E1342)+IF(B1342="iFood",F1342*0.27,(VLOOKUP(VENDAS!C1342,Bairros!$A$2:$B$90,2,0))))</f>
        <v/>
      </c>
      <c r="J1342" s="7" t="str">
        <f t="shared" si="85"/>
        <v/>
      </c>
      <c r="K1342" s="9">
        <f t="shared" ca="1" si="86"/>
        <v>45404.878290162036</v>
      </c>
      <c r="L1342" s="10">
        <f t="shared" ca="1" si="87"/>
        <v>45404.878290046297</v>
      </c>
    </row>
    <row r="1343" spans="6:12" x14ac:dyDescent="0.25">
      <c r="F1343" s="11" t="str">
        <f>IF(ISBLANK(D1343),"",(VLOOKUP(D1343,Cardápio!$A$2:$B$16,2,0))*E1343)</f>
        <v/>
      </c>
      <c r="H1343" s="7" t="str">
        <f t="shared" si="84"/>
        <v/>
      </c>
      <c r="I1343" s="7" t="str">
        <f>IF(AND(ISBLANK(D1343),ISBLANK(C1343)),"",((VLOOKUP(D1343,Cardápio!$A$2:$C$16,3,0))*E1343)+IF(B1343="iFood",F1343*0.27,(VLOOKUP(VENDAS!C1343,Bairros!$A$2:$B$90,2,0))))</f>
        <v/>
      </c>
      <c r="J1343" s="7" t="str">
        <f t="shared" si="85"/>
        <v/>
      </c>
      <c r="K1343" s="9">
        <f t="shared" ca="1" si="86"/>
        <v>45404.878290162036</v>
      </c>
      <c r="L1343" s="10">
        <f t="shared" ca="1" si="87"/>
        <v>45404.878290046297</v>
      </c>
    </row>
    <row r="1344" spans="6:12" x14ac:dyDescent="0.25">
      <c r="F1344" s="11" t="str">
        <f>IF(ISBLANK(D1344),"",(VLOOKUP(D1344,Cardápio!$A$2:$B$16,2,0))*E1344)</f>
        <v/>
      </c>
      <c r="H1344" s="7" t="str">
        <f t="shared" si="84"/>
        <v/>
      </c>
      <c r="I1344" s="7" t="str">
        <f>IF(AND(ISBLANK(D1344),ISBLANK(C1344)),"",((VLOOKUP(D1344,Cardápio!$A$2:$C$16,3,0))*E1344)+IF(B1344="iFood",F1344*0.27,(VLOOKUP(VENDAS!C1344,Bairros!$A$2:$B$90,2,0))))</f>
        <v/>
      </c>
      <c r="J1344" s="7" t="str">
        <f t="shared" si="85"/>
        <v/>
      </c>
      <c r="K1344" s="9">
        <f t="shared" ca="1" si="86"/>
        <v>45404.878290162036</v>
      </c>
      <c r="L1344" s="10">
        <f t="shared" ca="1" si="87"/>
        <v>45404.878290046297</v>
      </c>
    </row>
    <row r="1345" spans="6:12" x14ac:dyDescent="0.25">
      <c r="F1345" s="11" t="str">
        <f>IF(ISBLANK(D1345),"",(VLOOKUP(D1345,Cardápio!$A$2:$B$16,2,0))*E1345)</f>
        <v/>
      </c>
      <c r="H1345" s="7" t="str">
        <f t="shared" si="84"/>
        <v/>
      </c>
      <c r="I1345" s="7" t="str">
        <f>IF(AND(ISBLANK(D1345),ISBLANK(C1345)),"",((VLOOKUP(D1345,Cardápio!$A$2:$C$16,3,0))*E1345)+IF(B1345="iFood",F1345*0.27,(VLOOKUP(VENDAS!C1345,Bairros!$A$2:$B$90,2,0))))</f>
        <v/>
      </c>
      <c r="J1345" s="7" t="str">
        <f t="shared" si="85"/>
        <v/>
      </c>
      <c r="K1345" s="9">
        <f t="shared" ca="1" si="86"/>
        <v>45404.878290162036</v>
      </c>
      <c r="L1345" s="10">
        <f t="shared" ca="1" si="87"/>
        <v>45404.878290046297</v>
      </c>
    </row>
    <row r="1346" spans="6:12" x14ac:dyDescent="0.25">
      <c r="F1346" s="11" t="str">
        <f>IF(ISBLANK(D1346),"",(VLOOKUP(D1346,Cardápio!$A$2:$B$16,2,0))*E1346)</f>
        <v/>
      </c>
      <c r="H1346" s="7" t="str">
        <f t="shared" si="84"/>
        <v/>
      </c>
      <c r="I1346" s="7" t="str">
        <f>IF(AND(ISBLANK(D1346),ISBLANK(C1346)),"",((VLOOKUP(D1346,Cardápio!$A$2:$C$16,3,0))*E1346)+IF(B1346="iFood",F1346*0.27,(VLOOKUP(VENDAS!C1346,Bairros!$A$2:$B$90,2,0))))</f>
        <v/>
      </c>
      <c r="J1346" s="7" t="str">
        <f t="shared" si="85"/>
        <v/>
      </c>
      <c r="K1346" s="9">
        <f t="shared" ca="1" si="86"/>
        <v>45404.878290162036</v>
      </c>
      <c r="L1346" s="10">
        <f t="shared" ca="1" si="87"/>
        <v>45404.878290046297</v>
      </c>
    </row>
    <row r="1347" spans="6:12" x14ac:dyDescent="0.25">
      <c r="F1347" s="11" t="str">
        <f>IF(ISBLANK(D1347),"",(VLOOKUP(D1347,Cardápio!$A$2:$B$16,2,0))*E1347)</f>
        <v/>
      </c>
      <c r="H1347" s="7" t="str">
        <f t="shared" si="84"/>
        <v/>
      </c>
      <c r="I1347" s="7" t="str">
        <f>IF(AND(ISBLANK(D1347),ISBLANK(C1347)),"",((VLOOKUP(D1347,Cardápio!$A$2:$C$16,3,0))*E1347)+IF(B1347="iFood",F1347*0.27,(VLOOKUP(VENDAS!C1347,Bairros!$A$2:$B$90,2,0))))</f>
        <v/>
      </c>
      <c r="J1347" s="7" t="str">
        <f t="shared" si="85"/>
        <v/>
      </c>
      <c r="K1347" s="9">
        <f t="shared" ca="1" si="86"/>
        <v>45404.878290162036</v>
      </c>
      <c r="L1347" s="10">
        <f t="shared" ca="1" si="87"/>
        <v>45404.878290046297</v>
      </c>
    </row>
    <row r="1348" spans="6:12" x14ac:dyDescent="0.25">
      <c r="F1348" s="11" t="str">
        <f>IF(ISBLANK(D1348),"",(VLOOKUP(D1348,Cardápio!$A$2:$B$16,2,0))*E1348)</f>
        <v/>
      </c>
      <c r="H1348" s="7" t="str">
        <f t="shared" si="84"/>
        <v/>
      </c>
      <c r="I1348" s="7" t="str">
        <f>IF(AND(ISBLANK(D1348),ISBLANK(C1348)),"",((VLOOKUP(D1348,Cardápio!$A$2:$C$16,3,0))*E1348)+IF(B1348="iFood",F1348*0.27,(VLOOKUP(VENDAS!C1348,Bairros!$A$2:$B$90,2,0))))</f>
        <v/>
      </c>
      <c r="J1348" s="7" t="str">
        <f t="shared" si="85"/>
        <v/>
      </c>
      <c r="K1348" s="9">
        <f t="shared" ca="1" si="86"/>
        <v>45404.878290162036</v>
      </c>
      <c r="L1348" s="10">
        <f t="shared" ca="1" si="87"/>
        <v>45404.878290046297</v>
      </c>
    </row>
    <row r="1349" spans="6:12" x14ac:dyDescent="0.25">
      <c r="F1349" s="11" t="str">
        <f>IF(ISBLANK(D1349),"",(VLOOKUP(D1349,Cardápio!$A$2:$B$16,2,0))*E1349)</f>
        <v/>
      </c>
      <c r="H1349" s="7" t="str">
        <f t="shared" si="84"/>
        <v/>
      </c>
      <c r="I1349" s="7" t="str">
        <f>IF(AND(ISBLANK(D1349),ISBLANK(C1349)),"",((VLOOKUP(D1349,Cardápio!$A$2:$C$16,3,0))*E1349)+IF(B1349="iFood",F1349*0.27,(VLOOKUP(VENDAS!C1349,Bairros!$A$2:$B$90,2,0))))</f>
        <v/>
      </c>
      <c r="J1349" s="7" t="str">
        <f t="shared" si="85"/>
        <v/>
      </c>
      <c r="K1349" s="9">
        <f t="shared" ca="1" si="86"/>
        <v>45404.878290162036</v>
      </c>
      <c r="L1349" s="10">
        <f t="shared" ca="1" si="87"/>
        <v>45404.878290046297</v>
      </c>
    </row>
    <row r="1350" spans="6:12" x14ac:dyDescent="0.25">
      <c r="F1350" s="11" t="str">
        <f>IF(ISBLANK(D1350),"",(VLOOKUP(D1350,Cardápio!$A$2:$B$16,2,0))*E1350)</f>
        <v/>
      </c>
      <c r="H1350" s="7" t="str">
        <f t="shared" si="84"/>
        <v/>
      </c>
      <c r="I1350" s="7" t="str">
        <f>IF(AND(ISBLANK(D1350),ISBLANK(C1350)),"",((VLOOKUP(D1350,Cardápio!$A$2:$C$16,3,0))*E1350)+IF(B1350="iFood",F1350*0.27,(VLOOKUP(VENDAS!C1350,Bairros!$A$2:$B$90,2,0))))</f>
        <v/>
      </c>
      <c r="J1350" s="7" t="str">
        <f t="shared" si="85"/>
        <v/>
      </c>
      <c r="K1350" s="9">
        <f t="shared" ca="1" si="86"/>
        <v>45404.878290162036</v>
      </c>
      <c r="L1350" s="10">
        <f t="shared" ca="1" si="87"/>
        <v>45404.878290046297</v>
      </c>
    </row>
    <row r="1351" spans="6:12" x14ac:dyDescent="0.25">
      <c r="F1351" s="11" t="str">
        <f>IF(ISBLANK(D1351),"",(VLOOKUP(D1351,Cardápio!$A$2:$B$16,2,0))*E1351)</f>
        <v/>
      </c>
      <c r="H1351" s="7" t="str">
        <f t="shared" si="84"/>
        <v/>
      </c>
      <c r="I1351" s="7" t="str">
        <f>IF(AND(ISBLANK(D1351),ISBLANK(C1351)),"",((VLOOKUP(D1351,Cardápio!$A$2:$C$16,3,0))*E1351)+IF(B1351="iFood",F1351*0.27,(VLOOKUP(VENDAS!C1351,Bairros!$A$2:$B$90,2,0))))</f>
        <v/>
      </c>
      <c r="J1351" s="7" t="str">
        <f t="shared" si="85"/>
        <v/>
      </c>
      <c r="K1351" s="9">
        <f t="shared" ca="1" si="86"/>
        <v>45404.878290162036</v>
      </c>
      <c r="L1351" s="10">
        <f t="shared" ca="1" si="87"/>
        <v>45404.878290046297</v>
      </c>
    </row>
    <row r="1352" spans="6:12" x14ac:dyDescent="0.25">
      <c r="F1352" s="11" t="str">
        <f>IF(ISBLANK(D1352),"",(VLOOKUP(D1352,Cardápio!$A$2:$B$16,2,0))*E1352)</f>
        <v/>
      </c>
      <c r="H1352" s="7" t="str">
        <f t="shared" si="84"/>
        <v/>
      </c>
      <c r="I1352" s="7" t="str">
        <f>IF(AND(ISBLANK(D1352),ISBLANK(C1352)),"",((VLOOKUP(D1352,Cardápio!$A$2:$C$16,3,0))*E1352)+IF(B1352="iFood",F1352*0.27,(VLOOKUP(VENDAS!C1352,Bairros!$A$2:$B$90,2,0))))</f>
        <v/>
      </c>
      <c r="J1352" s="7" t="str">
        <f t="shared" si="85"/>
        <v/>
      </c>
      <c r="K1352" s="9">
        <f t="shared" ca="1" si="86"/>
        <v>45404.878290162036</v>
      </c>
      <c r="L1352" s="10">
        <f t="shared" ca="1" si="87"/>
        <v>45404.878290046297</v>
      </c>
    </row>
    <row r="1353" spans="6:12" x14ac:dyDescent="0.25">
      <c r="F1353" s="11" t="str">
        <f>IF(ISBLANK(D1353),"",(VLOOKUP(D1353,Cardápio!$A$2:$B$16,2,0))*E1353)</f>
        <v/>
      </c>
      <c r="H1353" s="7" t="str">
        <f t="shared" si="84"/>
        <v/>
      </c>
      <c r="I1353" s="7" t="str">
        <f>IF(AND(ISBLANK(D1353),ISBLANK(C1353)),"",((VLOOKUP(D1353,Cardápio!$A$2:$C$16,3,0))*E1353)+IF(B1353="iFood",F1353*0.27,(VLOOKUP(VENDAS!C1353,Bairros!$A$2:$B$90,2,0))))</f>
        <v/>
      </c>
      <c r="J1353" s="7" t="str">
        <f t="shared" si="85"/>
        <v/>
      </c>
      <c r="K1353" s="9">
        <f t="shared" ca="1" si="86"/>
        <v>45404.878290162036</v>
      </c>
      <c r="L1353" s="10">
        <f t="shared" ca="1" si="87"/>
        <v>45404.878290046297</v>
      </c>
    </row>
    <row r="1354" spans="6:12" x14ac:dyDescent="0.25">
      <c r="F1354" s="11" t="str">
        <f>IF(ISBLANK(D1354),"",(VLOOKUP(D1354,Cardápio!$A$2:$B$16,2,0))*E1354)</f>
        <v/>
      </c>
      <c r="H1354" s="7" t="str">
        <f t="shared" si="84"/>
        <v/>
      </c>
      <c r="I1354" s="7" t="str">
        <f>IF(AND(ISBLANK(D1354),ISBLANK(C1354)),"",((VLOOKUP(D1354,Cardápio!$A$2:$C$16,3,0))*E1354)+IF(B1354="iFood",F1354*0.27,(VLOOKUP(VENDAS!C1354,Bairros!$A$2:$B$90,2,0))))</f>
        <v/>
      </c>
      <c r="J1354" s="7" t="str">
        <f t="shared" si="85"/>
        <v/>
      </c>
      <c r="K1354" s="9">
        <f t="shared" ca="1" si="86"/>
        <v>45404.878290162036</v>
      </c>
      <c r="L1354" s="10">
        <f t="shared" ca="1" si="87"/>
        <v>45404.878290046297</v>
      </c>
    </row>
    <row r="1355" spans="6:12" x14ac:dyDescent="0.25">
      <c r="F1355" s="11" t="str">
        <f>IF(ISBLANK(D1355),"",(VLOOKUP(D1355,Cardápio!$A$2:$B$16,2,0))*E1355)</f>
        <v/>
      </c>
      <c r="H1355" s="7" t="str">
        <f t="shared" si="84"/>
        <v/>
      </c>
      <c r="I1355" s="7" t="str">
        <f>IF(AND(ISBLANK(D1355),ISBLANK(C1355)),"",((VLOOKUP(D1355,Cardápio!$A$2:$C$16,3,0))*E1355)+IF(B1355="iFood",F1355*0.27,(VLOOKUP(VENDAS!C1355,Bairros!$A$2:$B$90,2,0))))</f>
        <v/>
      </c>
      <c r="J1355" s="7" t="str">
        <f t="shared" si="85"/>
        <v/>
      </c>
      <c r="K1355" s="9">
        <f t="shared" ca="1" si="86"/>
        <v>45404.878290162036</v>
      </c>
      <c r="L1355" s="10">
        <f t="shared" ca="1" si="87"/>
        <v>45404.878290046297</v>
      </c>
    </row>
    <row r="1356" spans="6:12" x14ac:dyDescent="0.25">
      <c r="F1356" s="11" t="str">
        <f>IF(ISBLANK(D1356),"",(VLOOKUP(D1356,Cardápio!$A$2:$B$16,2,0))*E1356)</f>
        <v/>
      </c>
      <c r="H1356" s="7" t="str">
        <f t="shared" si="84"/>
        <v/>
      </c>
      <c r="I1356" s="7" t="str">
        <f>IF(AND(ISBLANK(D1356),ISBLANK(C1356)),"",((VLOOKUP(D1356,Cardápio!$A$2:$C$16,3,0))*E1356)+IF(B1356="iFood",F1356*0.27,(VLOOKUP(VENDAS!C1356,Bairros!$A$2:$B$90,2,0))))</f>
        <v/>
      </c>
      <c r="J1356" s="7" t="str">
        <f t="shared" si="85"/>
        <v/>
      </c>
      <c r="K1356" s="9">
        <f t="shared" ca="1" si="86"/>
        <v>45404.878290162036</v>
      </c>
      <c r="L1356" s="10">
        <f t="shared" ca="1" si="87"/>
        <v>45404.878290046297</v>
      </c>
    </row>
    <row r="1357" spans="6:12" x14ac:dyDescent="0.25">
      <c r="F1357" s="11" t="str">
        <f>IF(ISBLANK(D1357),"",(VLOOKUP(D1357,Cardápio!$A$2:$B$16,2,0))*E1357)</f>
        <v/>
      </c>
      <c r="H1357" s="7" t="str">
        <f t="shared" si="84"/>
        <v/>
      </c>
      <c r="I1357" s="7" t="str">
        <f>IF(AND(ISBLANK(D1357),ISBLANK(C1357)),"",((VLOOKUP(D1357,Cardápio!$A$2:$C$16,3,0))*E1357)+IF(B1357="iFood",F1357*0.27,(VLOOKUP(VENDAS!C1357,Bairros!$A$2:$B$90,2,0))))</f>
        <v/>
      </c>
      <c r="J1357" s="7" t="str">
        <f t="shared" si="85"/>
        <v/>
      </c>
      <c r="K1357" s="9">
        <f t="shared" ca="1" si="86"/>
        <v>45404.878290162036</v>
      </c>
      <c r="L1357" s="10">
        <f t="shared" ca="1" si="87"/>
        <v>45404.878290046297</v>
      </c>
    </row>
    <row r="1358" spans="6:12" x14ac:dyDescent="0.25">
      <c r="F1358" s="11" t="str">
        <f>IF(ISBLANK(D1358),"",(VLOOKUP(D1358,Cardápio!$A$2:$B$16,2,0))*E1358)</f>
        <v/>
      </c>
      <c r="H1358" s="7" t="str">
        <f t="shared" si="84"/>
        <v/>
      </c>
      <c r="I1358" s="7" t="str">
        <f>IF(AND(ISBLANK(D1358),ISBLANK(C1358)),"",((VLOOKUP(D1358,Cardápio!$A$2:$C$16,3,0))*E1358)+IF(B1358="iFood",F1358*0.27,(VLOOKUP(VENDAS!C1358,Bairros!$A$2:$B$90,2,0))))</f>
        <v/>
      </c>
      <c r="J1358" s="7" t="str">
        <f t="shared" si="85"/>
        <v/>
      </c>
      <c r="K1358" s="9">
        <f t="shared" ca="1" si="86"/>
        <v>45404.878290162036</v>
      </c>
      <c r="L1358" s="10">
        <f t="shared" ca="1" si="87"/>
        <v>45404.878290046297</v>
      </c>
    </row>
    <row r="1359" spans="6:12" x14ac:dyDescent="0.25">
      <c r="F1359" s="11" t="str">
        <f>IF(ISBLANK(D1359),"",(VLOOKUP(D1359,Cardápio!$A$2:$B$16,2,0))*E1359)</f>
        <v/>
      </c>
      <c r="H1359" s="7" t="str">
        <f t="shared" si="84"/>
        <v/>
      </c>
      <c r="I1359" s="7" t="str">
        <f>IF(AND(ISBLANK(D1359),ISBLANK(C1359)),"",((VLOOKUP(D1359,Cardápio!$A$2:$C$16,3,0))*E1359)+IF(B1359="iFood",F1359*0.27,(VLOOKUP(VENDAS!C1359,Bairros!$A$2:$B$90,2,0))))</f>
        <v/>
      </c>
      <c r="J1359" s="7" t="str">
        <f t="shared" si="85"/>
        <v/>
      </c>
      <c r="K1359" s="9">
        <f t="shared" ca="1" si="86"/>
        <v>45404.878290162036</v>
      </c>
      <c r="L1359" s="10">
        <f t="shared" ca="1" si="87"/>
        <v>45404.878290046297</v>
      </c>
    </row>
    <row r="1360" spans="6:12" x14ac:dyDescent="0.25">
      <c r="F1360" s="11" t="str">
        <f>IF(ISBLANK(D1360),"",(VLOOKUP(D1360,Cardápio!$A$2:$B$16,2,0))*E1360)</f>
        <v/>
      </c>
      <c r="H1360" s="7" t="str">
        <f t="shared" si="84"/>
        <v/>
      </c>
      <c r="I1360" s="7" t="str">
        <f>IF(AND(ISBLANK(D1360),ISBLANK(C1360)),"",((VLOOKUP(D1360,Cardápio!$A$2:$C$16,3,0))*E1360)+IF(B1360="iFood",F1360*0.27,(VLOOKUP(VENDAS!C1360,Bairros!$A$2:$B$90,2,0))))</f>
        <v/>
      </c>
      <c r="J1360" s="7" t="str">
        <f t="shared" si="85"/>
        <v/>
      </c>
      <c r="K1360" s="9">
        <f t="shared" ca="1" si="86"/>
        <v>45404.878290162036</v>
      </c>
      <c r="L1360" s="10">
        <f t="shared" ca="1" si="87"/>
        <v>45404.878290046297</v>
      </c>
    </row>
    <row r="1361" spans="6:12" x14ac:dyDescent="0.25">
      <c r="F1361" s="11" t="str">
        <f>IF(ISBLANK(D1361),"",(VLOOKUP(D1361,Cardápio!$A$2:$B$16,2,0))*E1361)</f>
        <v/>
      </c>
      <c r="H1361" s="7" t="str">
        <f t="shared" si="84"/>
        <v/>
      </c>
      <c r="I1361" s="7" t="str">
        <f>IF(AND(ISBLANK(D1361),ISBLANK(C1361)),"",((VLOOKUP(D1361,Cardápio!$A$2:$C$16,3,0))*E1361)+IF(B1361="iFood",F1361*0.27,(VLOOKUP(VENDAS!C1361,Bairros!$A$2:$B$90,2,0))))</f>
        <v/>
      </c>
      <c r="J1361" s="7" t="str">
        <f t="shared" si="85"/>
        <v/>
      </c>
      <c r="K1361" s="9">
        <f t="shared" ca="1" si="86"/>
        <v>45404.878290162036</v>
      </c>
      <c r="L1361" s="10">
        <f t="shared" ca="1" si="87"/>
        <v>45404.878290046297</v>
      </c>
    </row>
    <row r="1362" spans="6:12" x14ac:dyDescent="0.25">
      <c r="F1362" s="11" t="str">
        <f>IF(ISBLANK(D1362),"",(VLOOKUP(D1362,Cardápio!$A$2:$B$16,2,0))*E1362)</f>
        <v/>
      </c>
      <c r="H1362" s="7" t="str">
        <f t="shared" si="84"/>
        <v/>
      </c>
      <c r="I1362" s="7" t="str">
        <f>IF(AND(ISBLANK(D1362),ISBLANK(C1362)),"",((VLOOKUP(D1362,Cardápio!$A$2:$C$16,3,0))*E1362)+IF(B1362="iFood",F1362*0.27,(VLOOKUP(VENDAS!C1362,Bairros!$A$2:$B$90,2,0))))</f>
        <v/>
      </c>
      <c r="J1362" s="7" t="str">
        <f t="shared" si="85"/>
        <v/>
      </c>
      <c r="K1362" s="9">
        <f t="shared" ca="1" si="86"/>
        <v>45404.878290162036</v>
      </c>
      <c r="L1362" s="10">
        <f t="shared" ca="1" si="87"/>
        <v>45404.878290046297</v>
      </c>
    </row>
    <row r="1363" spans="6:12" x14ac:dyDescent="0.25">
      <c r="F1363" s="11" t="str">
        <f>IF(ISBLANK(D1363),"",(VLOOKUP(D1363,Cardápio!$A$2:$B$16,2,0))*E1363)</f>
        <v/>
      </c>
      <c r="H1363" s="7" t="str">
        <f t="shared" si="84"/>
        <v/>
      </c>
      <c r="I1363" s="7" t="str">
        <f>IF(AND(ISBLANK(D1363),ISBLANK(C1363)),"",((VLOOKUP(D1363,Cardápio!$A$2:$C$16,3,0))*E1363)+IF(B1363="iFood",F1363*0.27,(VLOOKUP(VENDAS!C1363,Bairros!$A$2:$B$90,2,0))))</f>
        <v/>
      </c>
      <c r="J1363" s="7" t="str">
        <f t="shared" si="85"/>
        <v/>
      </c>
      <c r="K1363" s="9">
        <f t="shared" ca="1" si="86"/>
        <v>45404.878290162036</v>
      </c>
      <c r="L1363" s="10">
        <f t="shared" ca="1" si="87"/>
        <v>45404.878290046297</v>
      </c>
    </row>
    <row r="1364" spans="6:12" x14ac:dyDescent="0.25">
      <c r="F1364" s="11" t="str">
        <f>IF(ISBLANK(D1364),"",(VLOOKUP(D1364,Cardápio!$A$2:$B$16,2,0))*E1364)</f>
        <v/>
      </c>
      <c r="H1364" s="7" t="str">
        <f t="shared" si="84"/>
        <v/>
      </c>
      <c r="I1364" s="7" t="str">
        <f>IF(AND(ISBLANK(D1364),ISBLANK(C1364)),"",((VLOOKUP(D1364,Cardápio!$A$2:$C$16,3,0))*E1364)+IF(B1364="iFood",F1364*0.27,(VLOOKUP(VENDAS!C1364,Bairros!$A$2:$B$90,2,0))))</f>
        <v/>
      </c>
      <c r="J1364" s="7" t="str">
        <f t="shared" si="85"/>
        <v/>
      </c>
      <c r="K1364" s="9">
        <f t="shared" ca="1" si="86"/>
        <v>45404.878290162036</v>
      </c>
      <c r="L1364" s="10">
        <f t="shared" ca="1" si="87"/>
        <v>45404.878290046297</v>
      </c>
    </row>
    <row r="1365" spans="6:12" x14ac:dyDescent="0.25">
      <c r="F1365" s="11" t="str">
        <f>IF(ISBLANK(D1365),"",(VLOOKUP(D1365,Cardápio!$A$2:$B$16,2,0))*E1365)</f>
        <v/>
      </c>
      <c r="H1365" s="7" t="str">
        <f t="shared" si="84"/>
        <v/>
      </c>
      <c r="I1365" s="7" t="str">
        <f>IF(AND(ISBLANK(D1365),ISBLANK(C1365)),"",((VLOOKUP(D1365,Cardápio!$A$2:$C$16,3,0))*E1365)+IF(B1365="iFood",F1365*0.27,(VLOOKUP(VENDAS!C1365,Bairros!$A$2:$B$90,2,0))))</f>
        <v/>
      </c>
      <c r="J1365" s="7" t="str">
        <f t="shared" si="85"/>
        <v/>
      </c>
      <c r="K1365" s="9">
        <f t="shared" ca="1" si="86"/>
        <v>45404.878290162036</v>
      </c>
      <c r="L1365" s="10">
        <f t="shared" ca="1" si="87"/>
        <v>45404.878290046297</v>
      </c>
    </row>
    <row r="1366" spans="6:12" x14ac:dyDescent="0.25">
      <c r="F1366" s="11" t="str">
        <f>IF(ISBLANK(D1366),"",(VLOOKUP(D1366,Cardápio!$A$2:$B$16,2,0))*E1366)</f>
        <v/>
      </c>
      <c r="H1366" s="7" t="str">
        <f t="shared" si="84"/>
        <v/>
      </c>
      <c r="I1366" s="7" t="str">
        <f>IF(AND(ISBLANK(D1366),ISBLANK(C1366)),"",((VLOOKUP(D1366,Cardápio!$A$2:$C$16,3,0))*E1366)+IF(B1366="iFood",F1366*0.27,(VLOOKUP(VENDAS!C1366,Bairros!$A$2:$B$90,2,0))))</f>
        <v/>
      </c>
      <c r="J1366" s="7" t="str">
        <f t="shared" si="85"/>
        <v/>
      </c>
      <c r="K1366" s="9">
        <f t="shared" ca="1" si="86"/>
        <v>45404.878290162036</v>
      </c>
      <c r="L1366" s="10">
        <f t="shared" ca="1" si="87"/>
        <v>45404.878290046297</v>
      </c>
    </row>
    <row r="1367" spans="6:12" x14ac:dyDescent="0.25">
      <c r="F1367" s="11" t="str">
        <f>IF(ISBLANK(D1367),"",(VLOOKUP(D1367,Cardápio!$A$2:$B$16,2,0))*E1367)</f>
        <v/>
      </c>
      <c r="H1367" s="7" t="str">
        <f t="shared" si="84"/>
        <v/>
      </c>
      <c r="I1367" s="7" t="str">
        <f>IF(AND(ISBLANK(D1367),ISBLANK(C1367)),"",((VLOOKUP(D1367,Cardápio!$A$2:$C$16,3,0))*E1367)+IF(B1367="iFood",F1367*0.27,(VLOOKUP(VENDAS!C1367,Bairros!$A$2:$B$90,2,0))))</f>
        <v/>
      </c>
      <c r="J1367" s="7" t="str">
        <f t="shared" si="85"/>
        <v/>
      </c>
      <c r="K1367" s="9">
        <f t="shared" ca="1" si="86"/>
        <v>45404.878290162036</v>
      </c>
      <c r="L1367" s="10">
        <f t="shared" ca="1" si="87"/>
        <v>45404.878290046297</v>
      </c>
    </row>
    <row r="1368" spans="6:12" x14ac:dyDescent="0.25">
      <c r="F1368" s="11" t="str">
        <f>IF(ISBLANK(D1368),"",(VLOOKUP(D1368,Cardápio!$A$2:$B$16,2,0))*E1368)</f>
        <v/>
      </c>
      <c r="H1368" s="7" t="str">
        <f t="shared" si="84"/>
        <v/>
      </c>
      <c r="I1368" s="7" t="str">
        <f>IF(AND(ISBLANK(D1368),ISBLANK(C1368)),"",((VLOOKUP(D1368,Cardápio!$A$2:$C$16,3,0))*E1368)+IF(B1368="iFood",F1368*0.27,(VLOOKUP(VENDAS!C1368,Bairros!$A$2:$B$90,2,0))))</f>
        <v/>
      </c>
      <c r="J1368" s="7" t="str">
        <f t="shared" si="85"/>
        <v/>
      </c>
      <c r="K1368" s="9">
        <f t="shared" ca="1" si="86"/>
        <v>45404.878290162036</v>
      </c>
      <c r="L1368" s="10">
        <f t="shared" ca="1" si="87"/>
        <v>45404.878290046297</v>
      </c>
    </row>
    <row r="1369" spans="6:12" x14ac:dyDescent="0.25">
      <c r="F1369" s="11" t="str">
        <f>IF(ISBLANK(D1369),"",(VLOOKUP(D1369,Cardápio!$A$2:$B$16,2,0))*E1369)</f>
        <v/>
      </c>
      <c r="H1369" s="7" t="str">
        <f t="shared" si="84"/>
        <v/>
      </c>
      <c r="I1369" s="7" t="str">
        <f>IF(AND(ISBLANK(D1369),ISBLANK(C1369)),"",((VLOOKUP(D1369,Cardápio!$A$2:$C$16,3,0))*E1369)+IF(B1369="iFood",F1369*0.27,(VLOOKUP(VENDAS!C1369,Bairros!$A$2:$B$90,2,0))))</f>
        <v/>
      </c>
      <c r="J1369" s="7" t="str">
        <f t="shared" si="85"/>
        <v/>
      </c>
      <c r="K1369" s="9">
        <f t="shared" ca="1" si="86"/>
        <v>45404.878290162036</v>
      </c>
      <c r="L1369" s="10">
        <f t="shared" ca="1" si="87"/>
        <v>45404.878290046297</v>
      </c>
    </row>
    <row r="1370" spans="6:12" x14ac:dyDescent="0.25">
      <c r="F1370" s="11" t="str">
        <f>IF(ISBLANK(D1370),"",(VLOOKUP(D1370,Cardápio!$A$2:$B$16,2,0))*E1370)</f>
        <v/>
      </c>
      <c r="H1370" s="7" t="str">
        <f t="shared" si="84"/>
        <v/>
      </c>
      <c r="I1370" s="7" t="str">
        <f>IF(AND(ISBLANK(D1370),ISBLANK(C1370)),"",((VLOOKUP(D1370,Cardápio!$A$2:$C$16,3,0))*E1370)+IF(B1370="iFood",F1370*0.27,(VLOOKUP(VENDAS!C1370,Bairros!$A$2:$B$90,2,0))))</f>
        <v/>
      </c>
      <c r="J1370" s="7" t="str">
        <f t="shared" si="85"/>
        <v/>
      </c>
      <c r="K1370" s="9">
        <f t="shared" ca="1" si="86"/>
        <v>45404.878290162036</v>
      </c>
      <c r="L1370" s="10">
        <f t="shared" ca="1" si="87"/>
        <v>45404.878290046297</v>
      </c>
    </row>
    <row r="1371" spans="6:12" x14ac:dyDescent="0.25">
      <c r="F1371" s="11" t="str">
        <f>IF(ISBLANK(D1371),"",(VLOOKUP(D1371,Cardápio!$A$2:$B$16,2,0))*E1371)</f>
        <v/>
      </c>
      <c r="H1371" s="7" t="str">
        <f t="shared" si="84"/>
        <v/>
      </c>
      <c r="I1371" s="7" t="str">
        <f>IF(AND(ISBLANK(D1371),ISBLANK(C1371)),"",((VLOOKUP(D1371,Cardápio!$A$2:$C$16,3,0))*E1371)+IF(B1371="iFood",F1371*0.27,(VLOOKUP(VENDAS!C1371,Bairros!$A$2:$B$90,2,0))))</f>
        <v/>
      </c>
      <c r="J1371" s="7" t="str">
        <f t="shared" si="85"/>
        <v/>
      </c>
      <c r="K1371" s="9">
        <f t="shared" ca="1" si="86"/>
        <v>45404.878290162036</v>
      </c>
      <c r="L1371" s="10">
        <f t="shared" ca="1" si="87"/>
        <v>45404.878290046297</v>
      </c>
    </row>
    <row r="1372" spans="6:12" x14ac:dyDescent="0.25">
      <c r="F1372" s="11" t="str">
        <f>IF(ISBLANK(D1372),"",(VLOOKUP(D1372,Cardápio!$A$2:$B$16,2,0))*E1372)</f>
        <v/>
      </c>
      <c r="H1372" s="7" t="str">
        <f t="shared" si="84"/>
        <v/>
      </c>
      <c r="I1372" s="7" t="str">
        <f>IF(AND(ISBLANK(D1372),ISBLANK(C1372)),"",((VLOOKUP(D1372,Cardápio!$A$2:$C$16,3,0))*E1372)+IF(B1372="iFood",F1372*0.27,(VLOOKUP(VENDAS!C1372,Bairros!$A$2:$B$90,2,0))))</f>
        <v/>
      </c>
      <c r="J1372" s="7" t="str">
        <f t="shared" si="85"/>
        <v/>
      </c>
      <c r="K1372" s="9">
        <f t="shared" ca="1" si="86"/>
        <v>45404.878290162036</v>
      </c>
      <c r="L1372" s="10">
        <f t="shared" ca="1" si="87"/>
        <v>45404.878290046297</v>
      </c>
    </row>
    <row r="1373" spans="6:12" x14ac:dyDescent="0.25">
      <c r="F1373" s="11" t="str">
        <f>IF(ISBLANK(D1373),"",(VLOOKUP(D1373,Cardápio!$A$2:$B$16,2,0))*E1373)</f>
        <v/>
      </c>
      <c r="H1373" s="7" t="str">
        <f t="shared" si="84"/>
        <v/>
      </c>
      <c r="I1373" s="7" t="str">
        <f>IF(AND(ISBLANK(D1373),ISBLANK(C1373)),"",((VLOOKUP(D1373,Cardápio!$A$2:$C$16,3,0))*E1373)+IF(B1373="iFood",F1373*0.27,(VLOOKUP(VENDAS!C1373,Bairros!$A$2:$B$90,2,0))))</f>
        <v/>
      </c>
      <c r="J1373" s="7" t="str">
        <f t="shared" si="85"/>
        <v/>
      </c>
      <c r="K1373" s="9">
        <f t="shared" ca="1" si="86"/>
        <v>45404.878290162036</v>
      </c>
      <c r="L1373" s="10">
        <f t="shared" ca="1" si="87"/>
        <v>45404.878290046297</v>
      </c>
    </row>
    <row r="1374" spans="6:12" x14ac:dyDescent="0.25">
      <c r="F1374" s="11" t="str">
        <f>IF(ISBLANK(D1374),"",(VLOOKUP(D1374,Cardápio!$A$2:$B$16,2,0))*E1374)</f>
        <v/>
      </c>
      <c r="H1374" s="7" t="str">
        <f t="shared" si="84"/>
        <v/>
      </c>
      <c r="I1374" s="7" t="str">
        <f>IF(AND(ISBLANK(D1374),ISBLANK(C1374)),"",((VLOOKUP(D1374,Cardápio!$A$2:$C$16,3,0))*E1374)+IF(B1374="iFood",F1374*0.27,(VLOOKUP(VENDAS!C1374,Bairros!$A$2:$B$90,2,0))))</f>
        <v/>
      </c>
      <c r="J1374" s="7" t="str">
        <f t="shared" si="85"/>
        <v/>
      </c>
      <c r="K1374" s="9">
        <f t="shared" ca="1" si="86"/>
        <v>45404.878290162036</v>
      </c>
      <c r="L1374" s="10">
        <f t="shared" ca="1" si="87"/>
        <v>45404.878290046297</v>
      </c>
    </row>
    <row r="1375" spans="6:12" x14ac:dyDescent="0.25">
      <c r="F1375" s="11" t="str">
        <f>IF(ISBLANK(D1375),"",(VLOOKUP(D1375,Cardápio!$A$2:$B$16,2,0))*E1375)</f>
        <v/>
      </c>
      <c r="H1375" s="7" t="str">
        <f t="shared" si="84"/>
        <v/>
      </c>
      <c r="I1375" s="7" t="str">
        <f>IF(AND(ISBLANK(D1375),ISBLANK(C1375)),"",((VLOOKUP(D1375,Cardápio!$A$2:$C$16,3,0))*E1375)+IF(B1375="iFood",F1375*0.27,(VLOOKUP(VENDAS!C1375,Bairros!$A$2:$B$90,2,0))))</f>
        <v/>
      </c>
      <c r="J1375" s="7" t="str">
        <f t="shared" si="85"/>
        <v/>
      </c>
      <c r="K1375" s="9">
        <f t="shared" ca="1" si="86"/>
        <v>45404.878290162036</v>
      </c>
      <c r="L1375" s="10">
        <f t="shared" ca="1" si="87"/>
        <v>45404.878290046297</v>
      </c>
    </row>
    <row r="1376" spans="6:12" x14ac:dyDescent="0.25">
      <c r="F1376" s="11" t="str">
        <f>IF(ISBLANK(D1376),"",(VLOOKUP(D1376,Cardápio!$A$2:$B$16,2,0))*E1376)</f>
        <v/>
      </c>
      <c r="H1376" s="7" t="str">
        <f t="shared" si="84"/>
        <v/>
      </c>
      <c r="I1376" s="7" t="str">
        <f>IF(AND(ISBLANK(D1376),ISBLANK(C1376)),"",((VLOOKUP(D1376,Cardápio!$A$2:$C$16,3,0))*E1376)+IF(B1376="iFood",F1376*0.27,(VLOOKUP(VENDAS!C1376,Bairros!$A$2:$B$90,2,0))))</f>
        <v/>
      </c>
      <c r="J1376" s="7" t="str">
        <f t="shared" si="85"/>
        <v/>
      </c>
      <c r="K1376" s="9">
        <f t="shared" ca="1" si="86"/>
        <v>45404.878290162036</v>
      </c>
      <c r="L1376" s="10">
        <f t="shared" ca="1" si="87"/>
        <v>45404.878290046297</v>
      </c>
    </row>
    <row r="1377" spans="6:12" x14ac:dyDescent="0.25">
      <c r="F1377" s="11" t="str">
        <f>IF(ISBLANK(D1377),"",(VLOOKUP(D1377,Cardápio!$A$2:$B$16,2,0))*E1377)</f>
        <v/>
      </c>
      <c r="H1377" s="7" t="str">
        <f t="shared" si="84"/>
        <v/>
      </c>
      <c r="I1377" s="7" t="str">
        <f>IF(AND(ISBLANK(D1377),ISBLANK(C1377)),"",((VLOOKUP(D1377,Cardápio!$A$2:$C$16,3,0))*E1377)+IF(B1377="iFood",F1377*0.27,(VLOOKUP(VENDAS!C1377,Bairros!$A$2:$B$90,2,0))))</f>
        <v/>
      </c>
      <c r="J1377" s="7" t="str">
        <f t="shared" si="85"/>
        <v/>
      </c>
      <c r="K1377" s="9">
        <f t="shared" ca="1" si="86"/>
        <v>45404.878290162036</v>
      </c>
      <c r="L1377" s="10">
        <f t="shared" ca="1" si="87"/>
        <v>45404.878290046297</v>
      </c>
    </row>
    <row r="1378" spans="6:12" x14ac:dyDescent="0.25">
      <c r="F1378" s="11" t="str">
        <f>IF(ISBLANK(D1378),"",(VLOOKUP(D1378,Cardápio!$A$2:$B$16,2,0))*E1378)</f>
        <v/>
      </c>
      <c r="H1378" s="7" t="str">
        <f t="shared" si="84"/>
        <v/>
      </c>
      <c r="I1378" s="7" t="str">
        <f>IF(AND(ISBLANK(D1378),ISBLANK(C1378)),"",((VLOOKUP(D1378,Cardápio!$A$2:$C$16,3,0))*E1378)+IF(B1378="iFood",F1378*0.27,(VLOOKUP(VENDAS!C1378,Bairros!$A$2:$B$90,2,0))))</f>
        <v/>
      </c>
      <c r="J1378" s="7" t="str">
        <f t="shared" si="85"/>
        <v/>
      </c>
      <c r="K1378" s="9">
        <f t="shared" ca="1" si="86"/>
        <v>45404.878290162036</v>
      </c>
      <c r="L1378" s="10">
        <f t="shared" ca="1" si="87"/>
        <v>45404.878290046297</v>
      </c>
    </row>
    <row r="1379" spans="6:12" x14ac:dyDescent="0.25">
      <c r="F1379" s="11" t="str">
        <f>IF(ISBLANK(D1379),"",(VLOOKUP(D1379,Cardápio!$A$2:$B$16,2,0))*E1379)</f>
        <v/>
      </c>
      <c r="H1379" s="7" t="str">
        <f t="shared" si="84"/>
        <v/>
      </c>
      <c r="I1379" s="7" t="str">
        <f>IF(AND(ISBLANK(D1379),ISBLANK(C1379)),"",((VLOOKUP(D1379,Cardápio!$A$2:$C$16,3,0))*E1379)+IF(B1379="iFood",F1379*0.27,(VLOOKUP(VENDAS!C1379,Bairros!$A$2:$B$90,2,0))))</f>
        <v/>
      </c>
      <c r="J1379" s="7" t="str">
        <f t="shared" si="85"/>
        <v/>
      </c>
      <c r="K1379" s="9">
        <f t="shared" ca="1" si="86"/>
        <v>45404.878290162036</v>
      </c>
      <c r="L1379" s="10">
        <f t="shared" ca="1" si="87"/>
        <v>45404.878290046297</v>
      </c>
    </row>
    <row r="1380" spans="6:12" x14ac:dyDescent="0.25">
      <c r="F1380" s="11" t="str">
        <f>IF(ISBLANK(D1380),"",(VLOOKUP(D1380,Cardápio!$A$2:$B$16,2,0))*E1380)</f>
        <v/>
      </c>
      <c r="H1380" s="7" t="str">
        <f t="shared" si="84"/>
        <v/>
      </c>
      <c r="I1380" s="7" t="str">
        <f>IF(AND(ISBLANK(D1380),ISBLANK(C1380)),"",((VLOOKUP(D1380,Cardápio!$A$2:$C$16,3,0))*E1380)+IF(B1380="iFood",F1380*0.27,(VLOOKUP(VENDAS!C1380,Bairros!$A$2:$B$90,2,0))))</f>
        <v/>
      </c>
      <c r="J1380" s="7" t="str">
        <f t="shared" si="85"/>
        <v/>
      </c>
      <c r="K1380" s="9">
        <f t="shared" ca="1" si="86"/>
        <v>45404.878290162036</v>
      </c>
      <c r="L1380" s="10">
        <f t="shared" ca="1" si="87"/>
        <v>45404.878290046297</v>
      </c>
    </row>
    <row r="1381" spans="6:12" x14ac:dyDescent="0.25">
      <c r="F1381" s="11" t="str">
        <f>IF(ISBLANK(D1381),"",(VLOOKUP(D1381,Cardápio!$A$2:$B$16,2,0))*E1381)</f>
        <v/>
      </c>
      <c r="H1381" s="7" t="str">
        <f t="shared" si="84"/>
        <v/>
      </c>
      <c r="I1381" s="7" t="str">
        <f>IF(AND(ISBLANK(D1381),ISBLANK(C1381)),"",((VLOOKUP(D1381,Cardápio!$A$2:$C$16,3,0))*E1381)+IF(B1381="iFood",F1381*0.27,(VLOOKUP(VENDAS!C1381,Bairros!$A$2:$B$90,2,0))))</f>
        <v/>
      </c>
      <c r="J1381" s="7" t="str">
        <f t="shared" si="85"/>
        <v/>
      </c>
      <c r="K1381" s="9">
        <f t="shared" ca="1" si="86"/>
        <v>45404.878290162036</v>
      </c>
      <c r="L1381" s="10">
        <f t="shared" ca="1" si="87"/>
        <v>45404.878290046297</v>
      </c>
    </row>
    <row r="1382" spans="6:12" x14ac:dyDescent="0.25">
      <c r="F1382" s="11" t="str">
        <f>IF(ISBLANK(D1382),"",(VLOOKUP(D1382,Cardápio!$A$2:$B$16,2,0))*E1382)</f>
        <v/>
      </c>
      <c r="H1382" s="7" t="str">
        <f t="shared" si="84"/>
        <v/>
      </c>
      <c r="I1382" s="7" t="str">
        <f>IF(AND(ISBLANK(D1382),ISBLANK(C1382)),"",((VLOOKUP(D1382,Cardápio!$A$2:$C$16,3,0))*E1382)+IF(B1382="iFood",F1382*0.27,(VLOOKUP(VENDAS!C1382,Bairros!$A$2:$B$90,2,0))))</f>
        <v/>
      </c>
      <c r="J1382" s="7" t="str">
        <f t="shared" si="85"/>
        <v/>
      </c>
      <c r="K1382" s="9">
        <f t="shared" ca="1" si="86"/>
        <v>45404.878290162036</v>
      </c>
      <c r="L1382" s="10">
        <f t="shared" ca="1" si="87"/>
        <v>45404.878290046297</v>
      </c>
    </row>
    <row r="1383" spans="6:12" x14ac:dyDescent="0.25">
      <c r="F1383" s="11" t="str">
        <f>IF(ISBLANK(D1383),"",(VLOOKUP(D1383,Cardápio!$A$2:$B$16,2,0))*E1383)</f>
        <v/>
      </c>
      <c r="H1383" s="7" t="str">
        <f t="shared" si="84"/>
        <v/>
      </c>
      <c r="I1383" s="7" t="str">
        <f>IF(AND(ISBLANK(D1383),ISBLANK(C1383)),"",((VLOOKUP(D1383,Cardápio!$A$2:$C$16,3,0))*E1383)+IF(B1383="iFood",F1383*0.27,(VLOOKUP(VENDAS!C1383,Bairros!$A$2:$B$90,2,0))))</f>
        <v/>
      </c>
      <c r="J1383" s="7" t="str">
        <f t="shared" si="85"/>
        <v/>
      </c>
      <c r="K1383" s="9">
        <f t="shared" ca="1" si="86"/>
        <v>45404.878290162036</v>
      </c>
      <c r="L1383" s="10">
        <f t="shared" ca="1" si="87"/>
        <v>45404.878290046297</v>
      </c>
    </row>
    <row r="1384" spans="6:12" x14ac:dyDescent="0.25">
      <c r="F1384" s="11" t="str">
        <f>IF(ISBLANK(D1384),"",(VLOOKUP(D1384,Cardápio!$A$2:$B$16,2,0))*E1384)</f>
        <v/>
      </c>
      <c r="H1384" s="7" t="str">
        <f t="shared" si="84"/>
        <v/>
      </c>
      <c r="I1384" s="7" t="str">
        <f>IF(AND(ISBLANK(D1384),ISBLANK(C1384)),"",((VLOOKUP(D1384,Cardápio!$A$2:$C$16,3,0))*E1384)+IF(B1384="iFood",F1384*0.27,(VLOOKUP(VENDAS!C1384,Bairros!$A$2:$B$90,2,0))))</f>
        <v/>
      </c>
      <c r="J1384" s="7" t="str">
        <f t="shared" si="85"/>
        <v/>
      </c>
      <c r="K1384" s="9">
        <f t="shared" ca="1" si="86"/>
        <v>45404.878290162036</v>
      </c>
      <c r="L1384" s="10">
        <f t="shared" ca="1" si="87"/>
        <v>45404.878290046297</v>
      </c>
    </row>
    <row r="1385" spans="6:12" x14ac:dyDescent="0.25">
      <c r="F1385" s="11" t="str">
        <f>IF(ISBLANK(D1385),"",(VLOOKUP(D1385,Cardápio!$A$2:$B$16,2,0))*E1385)</f>
        <v/>
      </c>
      <c r="H1385" s="7" t="str">
        <f t="shared" si="84"/>
        <v/>
      </c>
      <c r="I1385" s="7" t="str">
        <f>IF(AND(ISBLANK(D1385),ISBLANK(C1385)),"",((VLOOKUP(D1385,Cardápio!$A$2:$C$16,3,0))*E1385)+IF(B1385="iFood",F1385*0.27,(VLOOKUP(VENDAS!C1385,Bairros!$A$2:$B$90,2,0))))</f>
        <v/>
      </c>
      <c r="J1385" s="7" t="str">
        <f t="shared" si="85"/>
        <v/>
      </c>
      <c r="K1385" s="9">
        <f t="shared" ca="1" si="86"/>
        <v>45404.878290162036</v>
      </c>
      <c r="L1385" s="10">
        <f t="shared" ca="1" si="87"/>
        <v>45404.878290046297</v>
      </c>
    </row>
    <row r="1386" spans="6:12" x14ac:dyDescent="0.25">
      <c r="F1386" s="11" t="str">
        <f>IF(ISBLANK(D1386),"",(VLOOKUP(D1386,Cardápio!$A$2:$B$16,2,0))*E1386)</f>
        <v/>
      </c>
      <c r="H1386" s="7" t="str">
        <f t="shared" si="84"/>
        <v/>
      </c>
      <c r="I1386" s="7" t="str">
        <f>IF(AND(ISBLANK(D1386),ISBLANK(C1386)),"",((VLOOKUP(D1386,Cardápio!$A$2:$C$16,3,0))*E1386)+IF(B1386="iFood",F1386*0.27,(VLOOKUP(VENDAS!C1386,Bairros!$A$2:$B$90,2,0))))</f>
        <v/>
      </c>
      <c r="J1386" s="7" t="str">
        <f t="shared" si="85"/>
        <v/>
      </c>
      <c r="K1386" s="9">
        <f t="shared" ca="1" si="86"/>
        <v>45404.878290162036</v>
      </c>
      <c r="L1386" s="10">
        <f t="shared" ca="1" si="87"/>
        <v>45404.878290046297</v>
      </c>
    </row>
    <row r="1387" spans="6:12" x14ac:dyDescent="0.25">
      <c r="F1387" s="11" t="str">
        <f>IF(ISBLANK(D1387),"",(VLOOKUP(D1387,Cardápio!$A$2:$B$16,2,0))*E1387)</f>
        <v/>
      </c>
      <c r="H1387" s="7" t="str">
        <f t="shared" si="84"/>
        <v/>
      </c>
      <c r="I1387" s="7" t="str">
        <f>IF(AND(ISBLANK(D1387),ISBLANK(C1387)),"",((VLOOKUP(D1387,Cardápio!$A$2:$C$16,3,0))*E1387)+IF(B1387="iFood",F1387*0.27,(VLOOKUP(VENDAS!C1387,Bairros!$A$2:$B$90,2,0))))</f>
        <v/>
      </c>
      <c r="J1387" s="7" t="str">
        <f t="shared" si="85"/>
        <v/>
      </c>
      <c r="K1387" s="9">
        <f t="shared" ca="1" si="86"/>
        <v>45404.878290162036</v>
      </c>
      <c r="L1387" s="10">
        <f t="shared" ca="1" si="87"/>
        <v>45404.878290046297</v>
      </c>
    </row>
    <row r="1388" spans="6:12" x14ac:dyDescent="0.25">
      <c r="F1388" s="11" t="str">
        <f>IF(ISBLANK(D1388),"",(VLOOKUP(D1388,Cardápio!$A$2:$B$16,2,0))*E1388)</f>
        <v/>
      </c>
      <c r="H1388" s="7" t="str">
        <f t="shared" si="84"/>
        <v/>
      </c>
      <c r="I1388" s="7" t="str">
        <f>IF(AND(ISBLANK(D1388),ISBLANK(C1388)),"",((VLOOKUP(D1388,Cardápio!$A$2:$C$16,3,0))*E1388)+IF(B1388="iFood",F1388*0.27,(VLOOKUP(VENDAS!C1388,Bairros!$A$2:$B$90,2,0))))</f>
        <v/>
      </c>
      <c r="J1388" s="7" t="str">
        <f t="shared" si="85"/>
        <v/>
      </c>
      <c r="K1388" s="9">
        <f t="shared" ca="1" si="86"/>
        <v>45404.878290162036</v>
      </c>
      <c r="L1388" s="10">
        <f t="shared" ca="1" si="87"/>
        <v>45404.878290046297</v>
      </c>
    </row>
    <row r="1389" spans="6:12" x14ac:dyDescent="0.25">
      <c r="F1389" s="11" t="str">
        <f>IF(ISBLANK(D1389),"",(VLOOKUP(D1389,Cardápio!$A$2:$B$16,2,0))*E1389)</f>
        <v/>
      </c>
      <c r="H1389" s="7" t="str">
        <f t="shared" si="84"/>
        <v/>
      </c>
      <c r="I1389" s="7" t="str">
        <f>IF(AND(ISBLANK(D1389),ISBLANK(C1389)),"",((VLOOKUP(D1389,Cardápio!$A$2:$C$16,3,0))*E1389)+IF(B1389="iFood",F1389*0.27,(VLOOKUP(VENDAS!C1389,Bairros!$A$2:$B$90,2,0))))</f>
        <v/>
      </c>
      <c r="J1389" s="7" t="str">
        <f t="shared" si="85"/>
        <v/>
      </c>
      <c r="K1389" s="9">
        <f t="shared" ca="1" si="86"/>
        <v>45404.878290162036</v>
      </c>
      <c r="L1389" s="10">
        <f t="shared" ca="1" si="87"/>
        <v>45404.878290046297</v>
      </c>
    </row>
    <row r="1390" spans="6:12" x14ac:dyDescent="0.25">
      <c r="F1390" s="11" t="str">
        <f>IF(ISBLANK(D1390),"",(VLOOKUP(D1390,Cardápio!$A$2:$B$16,2,0))*E1390)</f>
        <v/>
      </c>
      <c r="H1390" s="7" t="str">
        <f t="shared" si="84"/>
        <v/>
      </c>
      <c r="I1390" s="7" t="str">
        <f>IF(AND(ISBLANK(D1390),ISBLANK(C1390)),"",((VLOOKUP(D1390,Cardápio!$A$2:$C$16,3,0))*E1390)+IF(B1390="iFood",F1390*0.27,(VLOOKUP(VENDAS!C1390,Bairros!$A$2:$B$90,2,0))))</f>
        <v/>
      </c>
      <c r="J1390" s="7" t="str">
        <f t="shared" si="85"/>
        <v/>
      </c>
      <c r="K1390" s="9">
        <f t="shared" ca="1" si="86"/>
        <v>45404.878290162036</v>
      </c>
      <c r="L1390" s="10">
        <f t="shared" ca="1" si="87"/>
        <v>45404.878290046297</v>
      </c>
    </row>
    <row r="1391" spans="6:12" x14ac:dyDescent="0.25">
      <c r="F1391" s="11" t="str">
        <f>IF(ISBLANK(D1391),"",(VLOOKUP(D1391,Cardápio!$A$2:$B$16,2,0))*E1391)</f>
        <v/>
      </c>
      <c r="H1391" s="7" t="str">
        <f t="shared" si="84"/>
        <v/>
      </c>
      <c r="I1391" s="7" t="str">
        <f>IF(AND(ISBLANK(D1391),ISBLANK(C1391)),"",((VLOOKUP(D1391,Cardápio!$A$2:$C$16,3,0))*E1391)+IF(B1391="iFood",F1391*0.27,(VLOOKUP(VENDAS!C1391,Bairros!$A$2:$B$90,2,0))))</f>
        <v/>
      </c>
      <c r="J1391" s="7" t="str">
        <f t="shared" si="85"/>
        <v/>
      </c>
      <c r="K1391" s="9">
        <f t="shared" ca="1" si="86"/>
        <v>45404.878290162036</v>
      </c>
      <c r="L1391" s="10">
        <f t="shared" ca="1" si="87"/>
        <v>45404.878290046297</v>
      </c>
    </row>
    <row r="1392" spans="6:12" x14ac:dyDescent="0.25">
      <c r="F1392" s="11" t="str">
        <f>IF(ISBLANK(D1392),"",(VLOOKUP(D1392,Cardápio!$A$2:$B$16,2,0))*E1392)</f>
        <v/>
      </c>
      <c r="H1392" s="7" t="str">
        <f t="shared" si="84"/>
        <v/>
      </c>
      <c r="I1392" s="7" t="str">
        <f>IF(AND(ISBLANK(D1392),ISBLANK(C1392)),"",((VLOOKUP(D1392,Cardápio!$A$2:$C$16,3,0))*E1392)+IF(B1392="iFood",F1392*0.27,(VLOOKUP(VENDAS!C1392,Bairros!$A$2:$B$90,2,0))))</f>
        <v/>
      </c>
      <c r="J1392" s="7" t="str">
        <f t="shared" si="85"/>
        <v/>
      </c>
      <c r="K1392" s="9">
        <f t="shared" ca="1" si="86"/>
        <v>45404.878290162036</v>
      </c>
      <c r="L1392" s="10">
        <f t="shared" ca="1" si="87"/>
        <v>45404.878290046297</v>
      </c>
    </row>
    <row r="1393" spans="6:12" x14ac:dyDescent="0.25">
      <c r="F1393" s="11" t="str">
        <f>IF(ISBLANK(D1393),"",(VLOOKUP(D1393,Cardápio!$A$2:$B$16,2,0))*E1393)</f>
        <v/>
      </c>
      <c r="H1393" s="7" t="str">
        <f t="shared" si="84"/>
        <v/>
      </c>
      <c r="I1393" s="7" t="str">
        <f>IF(AND(ISBLANK(D1393),ISBLANK(C1393)),"",((VLOOKUP(D1393,Cardápio!$A$2:$C$16,3,0))*E1393)+IF(B1393="iFood",F1393*0.27,(VLOOKUP(VENDAS!C1393,Bairros!$A$2:$B$90,2,0))))</f>
        <v/>
      </c>
      <c r="J1393" s="7" t="str">
        <f t="shared" si="85"/>
        <v/>
      </c>
      <c r="K1393" s="9">
        <f t="shared" ca="1" si="86"/>
        <v>45404.878290162036</v>
      </c>
      <c r="L1393" s="10">
        <f t="shared" ca="1" si="87"/>
        <v>45404.878290046297</v>
      </c>
    </row>
    <row r="1394" spans="6:12" x14ac:dyDescent="0.25">
      <c r="F1394" s="11" t="str">
        <f>IF(ISBLANK(D1394),"",(VLOOKUP(D1394,Cardápio!$A$2:$B$16,2,0))*E1394)</f>
        <v/>
      </c>
      <c r="H1394" s="7" t="str">
        <f t="shared" si="84"/>
        <v/>
      </c>
      <c r="I1394" s="7" t="str">
        <f>IF(AND(ISBLANK(D1394),ISBLANK(C1394)),"",((VLOOKUP(D1394,Cardápio!$A$2:$C$16,3,0))*E1394)+IF(B1394="iFood",F1394*0.27,(VLOOKUP(VENDAS!C1394,Bairros!$A$2:$B$90,2,0))))</f>
        <v/>
      </c>
      <c r="J1394" s="7" t="str">
        <f t="shared" si="85"/>
        <v/>
      </c>
      <c r="K1394" s="9">
        <f t="shared" ca="1" si="86"/>
        <v>45404.878290162036</v>
      </c>
      <c r="L1394" s="10">
        <f t="shared" ca="1" si="87"/>
        <v>45404.878290046297</v>
      </c>
    </row>
    <row r="1395" spans="6:12" x14ac:dyDescent="0.25">
      <c r="F1395" s="11" t="str">
        <f>IF(ISBLANK(D1395),"",(VLOOKUP(D1395,Cardápio!$A$2:$B$16,2,0))*E1395)</f>
        <v/>
      </c>
      <c r="H1395" s="7" t="str">
        <f t="shared" si="84"/>
        <v/>
      </c>
      <c r="I1395" s="7" t="str">
        <f>IF(AND(ISBLANK(D1395),ISBLANK(C1395)),"",((VLOOKUP(D1395,Cardápio!$A$2:$C$16,3,0))*E1395)+IF(B1395="iFood",F1395*0.27,(VLOOKUP(VENDAS!C1395,Bairros!$A$2:$B$90,2,0))))</f>
        <v/>
      </c>
      <c r="J1395" s="7" t="str">
        <f t="shared" si="85"/>
        <v/>
      </c>
      <c r="K1395" s="9">
        <f t="shared" ca="1" si="86"/>
        <v>45404.878290162036</v>
      </c>
      <c r="L1395" s="10">
        <f t="shared" ca="1" si="87"/>
        <v>45404.878290046297</v>
      </c>
    </row>
    <row r="1396" spans="6:12" x14ac:dyDescent="0.25">
      <c r="F1396" s="11" t="str">
        <f>IF(ISBLANK(D1396),"",(VLOOKUP(D1396,Cardápio!$A$2:$B$16,2,0))*E1396)</f>
        <v/>
      </c>
      <c r="H1396" s="7" t="str">
        <f t="shared" si="84"/>
        <v/>
      </c>
      <c r="I1396" s="7" t="str">
        <f>IF(AND(ISBLANK(D1396),ISBLANK(C1396)),"",((VLOOKUP(D1396,Cardápio!$A$2:$C$16,3,0))*E1396)+IF(B1396="iFood",F1396*0.27,(VLOOKUP(VENDAS!C1396,Bairros!$A$2:$B$90,2,0))))</f>
        <v/>
      </c>
      <c r="J1396" s="7" t="str">
        <f t="shared" si="85"/>
        <v/>
      </c>
      <c r="K1396" s="9">
        <f t="shared" ca="1" si="86"/>
        <v>45404.878290162036</v>
      </c>
      <c r="L1396" s="10">
        <f t="shared" ca="1" si="87"/>
        <v>45404.878290046297</v>
      </c>
    </row>
    <row r="1397" spans="6:12" x14ac:dyDescent="0.25">
      <c r="F1397" s="11" t="str">
        <f>IF(ISBLANK(D1397),"",(VLOOKUP(D1397,Cardápio!$A$2:$B$16,2,0))*E1397)</f>
        <v/>
      </c>
      <c r="H1397" s="7" t="str">
        <f t="shared" ref="H1397:H1460" si="88">IF(ISBLANK(D1397),"",F1397-G1397)</f>
        <v/>
      </c>
      <c r="I1397" s="7" t="str">
        <f>IF(AND(ISBLANK(D1397),ISBLANK(C1397)),"",((VLOOKUP(D1397,Cardápio!$A$2:$C$16,3,0))*E1397)+IF(B1397="iFood",F1397*0.27,(VLOOKUP(VENDAS!C1397,Bairros!$A$2:$B$90,2,0))))</f>
        <v/>
      </c>
      <c r="J1397" s="7" t="str">
        <f t="shared" ref="J1397:J1460" si="89">IF(OR(AND(ISBLANK(H1397),ISBLANK(I1397)),(AND(H1397="",I1397=""))),"",H1397-I1397)</f>
        <v/>
      </c>
      <c r="K1397" s="9">
        <f t="shared" ref="K1397:K1460" ca="1" si="90">IF(D1397&lt;&gt;"",K1397,NOW())</f>
        <v>45404.878290162036</v>
      </c>
      <c r="L1397" s="10">
        <f t="shared" ref="L1397:L1460" ca="1" si="91">IF(D1397&lt;&gt;"",L1397,NOW())</f>
        <v>45404.878290046297</v>
      </c>
    </row>
    <row r="1398" spans="6:12" x14ac:dyDescent="0.25">
      <c r="F1398" s="11" t="str">
        <f>IF(ISBLANK(D1398),"",(VLOOKUP(D1398,Cardápio!$A$2:$B$16,2,0))*E1398)</f>
        <v/>
      </c>
      <c r="H1398" s="7" t="str">
        <f t="shared" si="88"/>
        <v/>
      </c>
      <c r="I1398" s="7" t="str">
        <f>IF(AND(ISBLANK(D1398),ISBLANK(C1398)),"",((VLOOKUP(D1398,Cardápio!$A$2:$C$16,3,0))*E1398)+IF(B1398="iFood",F1398*0.27,(VLOOKUP(VENDAS!C1398,Bairros!$A$2:$B$90,2,0))))</f>
        <v/>
      </c>
      <c r="J1398" s="7" t="str">
        <f t="shared" si="89"/>
        <v/>
      </c>
      <c r="K1398" s="9">
        <f t="shared" ca="1" si="90"/>
        <v>45404.878290162036</v>
      </c>
      <c r="L1398" s="10">
        <f t="shared" ca="1" si="91"/>
        <v>45404.878290046297</v>
      </c>
    </row>
    <row r="1399" spans="6:12" x14ac:dyDescent="0.25">
      <c r="F1399" s="11" t="str">
        <f>IF(ISBLANK(D1399),"",(VLOOKUP(D1399,Cardápio!$A$2:$B$16,2,0))*E1399)</f>
        <v/>
      </c>
      <c r="H1399" s="7" t="str">
        <f t="shared" si="88"/>
        <v/>
      </c>
      <c r="I1399" s="7" t="str">
        <f>IF(AND(ISBLANK(D1399),ISBLANK(C1399)),"",((VLOOKUP(D1399,Cardápio!$A$2:$C$16,3,0))*E1399)+IF(B1399="iFood",F1399*0.27,(VLOOKUP(VENDAS!C1399,Bairros!$A$2:$B$90,2,0))))</f>
        <v/>
      </c>
      <c r="J1399" s="7" t="str">
        <f t="shared" si="89"/>
        <v/>
      </c>
      <c r="K1399" s="9">
        <f t="shared" ca="1" si="90"/>
        <v>45404.878290162036</v>
      </c>
      <c r="L1399" s="10">
        <f t="shared" ca="1" si="91"/>
        <v>45404.878290046297</v>
      </c>
    </row>
    <row r="1400" spans="6:12" x14ac:dyDescent="0.25">
      <c r="F1400" s="11" t="str">
        <f>IF(ISBLANK(D1400),"",(VLOOKUP(D1400,Cardápio!$A$2:$B$16,2,0))*E1400)</f>
        <v/>
      </c>
      <c r="H1400" s="7" t="str">
        <f t="shared" si="88"/>
        <v/>
      </c>
      <c r="I1400" s="7" t="str">
        <f>IF(AND(ISBLANK(D1400),ISBLANK(C1400)),"",((VLOOKUP(D1400,Cardápio!$A$2:$C$16,3,0))*E1400)+IF(B1400="iFood",F1400*0.27,(VLOOKUP(VENDAS!C1400,Bairros!$A$2:$B$90,2,0))))</f>
        <v/>
      </c>
      <c r="J1400" s="7" t="str">
        <f t="shared" si="89"/>
        <v/>
      </c>
      <c r="K1400" s="9">
        <f t="shared" ca="1" si="90"/>
        <v>45404.878290162036</v>
      </c>
      <c r="L1400" s="10">
        <f t="shared" ca="1" si="91"/>
        <v>45404.878290046297</v>
      </c>
    </row>
    <row r="1401" spans="6:12" x14ac:dyDescent="0.25">
      <c r="F1401" s="11" t="str">
        <f>IF(ISBLANK(D1401),"",(VLOOKUP(D1401,Cardápio!$A$2:$B$16,2,0))*E1401)</f>
        <v/>
      </c>
      <c r="H1401" s="7" t="str">
        <f t="shared" si="88"/>
        <v/>
      </c>
      <c r="I1401" s="7" t="str">
        <f>IF(AND(ISBLANK(D1401),ISBLANK(C1401)),"",((VLOOKUP(D1401,Cardápio!$A$2:$C$16,3,0))*E1401)+IF(B1401="iFood",F1401*0.27,(VLOOKUP(VENDAS!C1401,Bairros!$A$2:$B$90,2,0))))</f>
        <v/>
      </c>
      <c r="J1401" s="7" t="str">
        <f t="shared" si="89"/>
        <v/>
      </c>
      <c r="K1401" s="9">
        <f t="shared" ca="1" si="90"/>
        <v>45404.878290162036</v>
      </c>
      <c r="L1401" s="10">
        <f t="shared" ca="1" si="91"/>
        <v>45404.878290046297</v>
      </c>
    </row>
    <row r="1402" spans="6:12" x14ac:dyDescent="0.25">
      <c r="F1402" s="11" t="str">
        <f>IF(ISBLANK(D1402),"",(VLOOKUP(D1402,Cardápio!$A$2:$B$16,2,0))*E1402)</f>
        <v/>
      </c>
      <c r="H1402" s="7" t="str">
        <f t="shared" si="88"/>
        <v/>
      </c>
      <c r="I1402" s="7" t="str">
        <f>IF(AND(ISBLANK(D1402),ISBLANK(C1402)),"",((VLOOKUP(D1402,Cardápio!$A$2:$C$16,3,0))*E1402)+IF(B1402="iFood",F1402*0.27,(VLOOKUP(VENDAS!C1402,Bairros!$A$2:$B$90,2,0))))</f>
        <v/>
      </c>
      <c r="J1402" s="7" t="str">
        <f t="shared" si="89"/>
        <v/>
      </c>
      <c r="K1402" s="9">
        <f t="shared" ca="1" si="90"/>
        <v>45404.878290162036</v>
      </c>
      <c r="L1402" s="10">
        <f t="shared" ca="1" si="91"/>
        <v>45404.878290046297</v>
      </c>
    </row>
    <row r="1403" spans="6:12" x14ac:dyDescent="0.25">
      <c r="F1403" s="11" t="str">
        <f>IF(ISBLANK(D1403),"",(VLOOKUP(D1403,Cardápio!$A$2:$B$16,2,0))*E1403)</f>
        <v/>
      </c>
      <c r="H1403" s="7" t="str">
        <f t="shared" si="88"/>
        <v/>
      </c>
      <c r="I1403" s="7" t="str">
        <f>IF(AND(ISBLANK(D1403),ISBLANK(C1403)),"",((VLOOKUP(D1403,Cardápio!$A$2:$C$16,3,0))*E1403)+IF(B1403="iFood",F1403*0.27,(VLOOKUP(VENDAS!C1403,Bairros!$A$2:$B$90,2,0))))</f>
        <v/>
      </c>
      <c r="J1403" s="7" t="str">
        <f t="shared" si="89"/>
        <v/>
      </c>
      <c r="K1403" s="9">
        <f t="shared" ca="1" si="90"/>
        <v>45404.878290162036</v>
      </c>
      <c r="L1403" s="10">
        <f t="shared" ca="1" si="91"/>
        <v>45404.878290046297</v>
      </c>
    </row>
    <row r="1404" spans="6:12" x14ac:dyDescent="0.25">
      <c r="F1404" s="11" t="str">
        <f>IF(ISBLANK(D1404),"",(VLOOKUP(D1404,Cardápio!$A$2:$B$16,2,0))*E1404)</f>
        <v/>
      </c>
      <c r="H1404" s="7" t="str">
        <f t="shared" si="88"/>
        <v/>
      </c>
      <c r="I1404" s="7" t="str">
        <f>IF(AND(ISBLANK(D1404),ISBLANK(C1404)),"",((VLOOKUP(D1404,Cardápio!$A$2:$C$16,3,0))*E1404)+IF(B1404="iFood",F1404*0.27,(VLOOKUP(VENDAS!C1404,Bairros!$A$2:$B$90,2,0))))</f>
        <v/>
      </c>
      <c r="J1404" s="7" t="str">
        <f t="shared" si="89"/>
        <v/>
      </c>
      <c r="K1404" s="9">
        <f t="shared" ca="1" si="90"/>
        <v>45404.878290162036</v>
      </c>
      <c r="L1404" s="10">
        <f t="shared" ca="1" si="91"/>
        <v>45404.878290046297</v>
      </c>
    </row>
    <row r="1405" spans="6:12" x14ac:dyDescent="0.25">
      <c r="F1405" s="11" t="str">
        <f>IF(ISBLANK(D1405),"",(VLOOKUP(D1405,Cardápio!$A$2:$B$16,2,0))*E1405)</f>
        <v/>
      </c>
      <c r="H1405" s="7" t="str">
        <f t="shared" si="88"/>
        <v/>
      </c>
      <c r="I1405" s="7" t="str">
        <f>IF(AND(ISBLANK(D1405),ISBLANK(C1405)),"",((VLOOKUP(D1405,Cardápio!$A$2:$C$16,3,0))*E1405)+IF(B1405="iFood",F1405*0.27,(VLOOKUP(VENDAS!C1405,Bairros!$A$2:$B$90,2,0))))</f>
        <v/>
      </c>
      <c r="J1405" s="7" t="str">
        <f t="shared" si="89"/>
        <v/>
      </c>
      <c r="K1405" s="9">
        <f t="shared" ca="1" si="90"/>
        <v>45404.878290162036</v>
      </c>
      <c r="L1405" s="10">
        <f t="shared" ca="1" si="91"/>
        <v>45404.878290046297</v>
      </c>
    </row>
    <row r="1406" spans="6:12" x14ac:dyDescent="0.25">
      <c r="F1406" s="11" t="str">
        <f>IF(ISBLANK(D1406),"",(VLOOKUP(D1406,Cardápio!$A$2:$B$16,2,0))*E1406)</f>
        <v/>
      </c>
      <c r="H1406" s="7" t="str">
        <f t="shared" si="88"/>
        <v/>
      </c>
      <c r="I1406" s="7" t="str">
        <f>IF(AND(ISBLANK(D1406),ISBLANK(C1406)),"",((VLOOKUP(D1406,Cardápio!$A$2:$C$16,3,0))*E1406)+IF(B1406="iFood",F1406*0.27,(VLOOKUP(VENDAS!C1406,Bairros!$A$2:$B$90,2,0))))</f>
        <v/>
      </c>
      <c r="J1406" s="7" t="str">
        <f t="shared" si="89"/>
        <v/>
      </c>
      <c r="K1406" s="9">
        <f t="shared" ca="1" si="90"/>
        <v>45404.878290162036</v>
      </c>
      <c r="L1406" s="10">
        <f t="shared" ca="1" si="91"/>
        <v>45404.878290046297</v>
      </c>
    </row>
    <row r="1407" spans="6:12" x14ac:dyDescent="0.25">
      <c r="F1407" s="11" t="str">
        <f>IF(ISBLANK(D1407),"",(VLOOKUP(D1407,Cardápio!$A$2:$B$16,2,0))*E1407)</f>
        <v/>
      </c>
      <c r="H1407" s="7" t="str">
        <f t="shared" si="88"/>
        <v/>
      </c>
      <c r="I1407" s="7" t="str">
        <f>IF(AND(ISBLANK(D1407),ISBLANK(C1407)),"",((VLOOKUP(D1407,Cardápio!$A$2:$C$16,3,0))*E1407)+IF(B1407="iFood",F1407*0.27,(VLOOKUP(VENDAS!C1407,Bairros!$A$2:$B$90,2,0))))</f>
        <v/>
      </c>
      <c r="J1407" s="7" t="str">
        <f t="shared" si="89"/>
        <v/>
      </c>
      <c r="K1407" s="9">
        <f t="shared" ca="1" si="90"/>
        <v>45404.878290162036</v>
      </c>
      <c r="L1407" s="10">
        <f t="shared" ca="1" si="91"/>
        <v>45404.878290046297</v>
      </c>
    </row>
    <row r="1408" spans="6:12" x14ac:dyDescent="0.25">
      <c r="F1408" s="11" t="str">
        <f>IF(ISBLANK(D1408),"",(VLOOKUP(D1408,Cardápio!$A$2:$B$16,2,0))*E1408)</f>
        <v/>
      </c>
      <c r="H1408" s="7" t="str">
        <f t="shared" si="88"/>
        <v/>
      </c>
      <c r="I1408" s="7" t="str">
        <f>IF(AND(ISBLANK(D1408),ISBLANK(C1408)),"",((VLOOKUP(D1408,Cardápio!$A$2:$C$16,3,0))*E1408)+IF(B1408="iFood",F1408*0.27,(VLOOKUP(VENDAS!C1408,Bairros!$A$2:$B$90,2,0))))</f>
        <v/>
      </c>
      <c r="J1408" s="7" t="str">
        <f t="shared" si="89"/>
        <v/>
      </c>
      <c r="K1408" s="9">
        <f t="shared" ca="1" si="90"/>
        <v>45404.878290162036</v>
      </c>
      <c r="L1408" s="10">
        <f t="shared" ca="1" si="91"/>
        <v>45404.878290046297</v>
      </c>
    </row>
    <row r="1409" spans="6:12" x14ac:dyDescent="0.25">
      <c r="F1409" s="11" t="str">
        <f>IF(ISBLANK(D1409),"",(VLOOKUP(D1409,Cardápio!$A$2:$B$16,2,0))*E1409)</f>
        <v/>
      </c>
      <c r="H1409" s="7" t="str">
        <f t="shared" si="88"/>
        <v/>
      </c>
      <c r="I1409" s="7" t="str">
        <f>IF(AND(ISBLANK(D1409),ISBLANK(C1409)),"",((VLOOKUP(D1409,Cardápio!$A$2:$C$16,3,0))*E1409)+IF(B1409="iFood",F1409*0.27,(VLOOKUP(VENDAS!C1409,Bairros!$A$2:$B$90,2,0))))</f>
        <v/>
      </c>
      <c r="J1409" s="7" t="str">
        <f t="shared" si="89"/>
        <v/>
      </c>
      <c r="K1409" s="9">
        <f t="shared" ca="1" si="90"/>
        <v>45404.878290162036</v>
      </c>
      <c r="L1409" s="10">
        <f t="shared" ca="1" si="91"/>
        <v>45404.878290046297</v>
      </c>
    </row>
    <row r="1410" spans="6:12" x14ac:dyDescent="0.25">
      <c r="F1410" s="11" t="str">
        <f>IF(ISBLANK(D1410),"",(VLOOKUP(D1410,Cardápio!$A$2:$B$16,2,0))*E1410)</f>
        <v/>
      </c>
      <c r="H1410" s="7" t="str">
        <f t="shared" si="88"/>
        <v/>
      </c>
      <c r="I1410" s="7" t="str">
        <f>IF(AND(ISBLANK(D1410),ISBLANK(C1410)),"",((VLOOKUP(D1410,Cardápio!$A$2:$C$16,3,0))*E1410)+IF(B1410="iFood",F1410*0.27,(VLOOKUP(VENDAS!C1410,Bairros!$A$2:$B$90,2,0))))</f>
        <v/>
      </c>
      <c r="J1410" s="7" t="str">
        <f t="shared" si="89"/>
        <v/>
      </c>
      <c r="K1410" s="9">
        <f t="shared" ca="1" si="90"/>
        <v>45404.878290162036</v>
      </c>
      <c r="L1410" s="10">
        <f t="shared" ca="1" si="91"/>
        <v>45404.878290046297</v>
      </c>
    </row>
    <row r="1411" spans="6:12" x14ac:dyDescent="0.25">
      <c r="F1411" s="11" t="str">
        <f>IF(ISBLANK(D1411),"",(VLOOKUP(D1411,Cardápio!$A$2:$B$16,2,0))*E1411)</f>
        <v/>
      </c>
      <c r="H1411" s="7" t="str">
        <f t="shared" si="88"/>
        <v/>
      </c>
      <c r="I1411" s="7" t="str">
        <f>IF(AND(ISBLANK(D1411),ISBLANK(C1411)),"",((VLOOKUP(D1411,Cardápio!$A$2:$C$16,3,0))*E1411)+IF(B1411="iFood",F1411*0.27,(VLOOKUP(VENDAS!C1411,Bairros!$A$2:$B$90,2,0))))</f>
        <v/>
      </c>
      <c r="J1411" s="7" t="str">
        <f t="shared" si="89"/>
        <v/>
      </c>
      <c r="K1411" s="9">
        <f t="shared" ca="1" si="90"/>
        <v>45404.878290162036</v>
      </c>
      <c r="L1411" s="10">
        <f t="shared" ca="1" si="91"/>
        <v>45404.878290046297</v>
      </c>
    </row>
    <row r="1412" spans="6:12" x14ac:dyDescent="0.25">
      <c r="F1412" s="11" t="str">
        <f>IF(ISBLANK(D1412),"",(VLOOKUP(D1412,Cardápio!$A$2:$B$16,2,0))*E1412)</f>
        <v/>
      </c>
      <c r="H1412" s="7" t="str">
        <f t="shared" si="88"/>
        <v/>
      </c>
      <c r="I1412" s="7" t="str">
        <f>IF(AND(ISBLANK(D1412),ISBLANK(C1412)),"",((VLOOKUP(D1412,Cardápio!$A$2:$C$16,3,0))*E1412)+IF(B1412="iFood",F1412*0.27,(VLOOKUP(VENDAS!C1412,Bairros!$A$2:$B$90,2,0))))</f>
        <v/>
      </c>
      <c r="J1412" s="7" t="str">
        <f t="shared" si="89"/>
        <v/>
      </c>
      <c r="K1412" s="9">
        <f t="shared" ca="1" si="90"/>
        <v>45404.878290162036</v>
      </c>
      <c r="L1412" s="10">
        <f t="shared" ca="1" si="91"/>
        <v>45404.878290046297</v>
      </c>
    </row>
    <row r="1413" spans="6:12" x14ac:dyDescent="0.25">
      <c r="F1413" s="11" t="str">
        <f>IF(ISBLANK(D1413),"",(VLOOKUP(D1413,Cardápio!$A$2:$B$16,2,0))*E1413)</f>
        <v/>
      </c>
      <c r="H1413" s="7" t="str">
        <f t="shared" si="88"/>
        <v/>
      </c>
      <c r="I1413" s="7" t="str">
        <f>IF(AND(ISBLANK(D1413),ISBLANK(C1413)),"",((VLOOKUP(D1413,Cardápio!$A$2:$C$16,3,0))*E1413)+IF(B1413="iFood",F1413*0.27,(VLOOKUP(VENDAS!C1413,Bairros!$A$2:$B$90,2,0))))</f>
        <v/>
      </c>
      <c r="J1413" s="7" t="str">
        <f t="shared" si="89"/>
        <v/>
      </c>
      <c r="K1413" s="9">
        <f t="shared" ca="1" si="90"/>
        <v>45404.878290162036</v>
      </c>
      <c r="L1413" s="10">
        <f t="shared" ca="1" si="91"/>
        <v>45404.878290046297</v>
      </c>
    </row>
    <row r="1414" spans="6:12" x14ac:dyDescent="0.25">
      <c r="F1414" s="11" t="str">
        <f>IF(ISBLANK(D1414),"",(VLOOKUP(D1414,Cardápio!$A$2:$B$16,2,0))*E1414)</f>
        <v/>
      </c>
      <c r="H1414" s="7" t="str">
        <f t="shared" si="88"/>
        <v/>
      </c>
      <c r="I1414" s="7" t="str">
        <f>IF(AND(ISBLANK(D1414),ISBLANK(C1414)),"",((VLOOKUP(D1414,Cardápio!$A$2:$C$16,3,0))*E1414)+IF(B1414="iFood",F1414*0.27,(VLOOKUP(VENDAS!C1414,Bairros!$A$2:$B$90,2,0))))</f>
        <v/>
      </c>
      <c r="J1414" s="7" t="str">
        <f t="shared" si="89"/>
        <v/>
      </c>
      <c r="K1414" s="9">
        <f t="shared" ca="1" si="90"/>
        <v>45404.878290162036</v>
      </c>
      <c r="L1414" s="10">
        <f t="shared" ca="1" si="91"/>
        <v>45404.878290046297</v>
      </c>
    </row>
    <row r="1415" spans="6:12" x14ac:dyDescent="0.25">
      <c r="F1415" s="11" t="str">
        <f>IF(ISBLANK(D1415),"",(VLOOKUP(D1415,Cardápio!$A$2:$B$16,2,0))*E1415)</f>
        <v/>
      </c>
      <c r="H1415" s="7" t="str">
        <f t="shared" si="88"/>
        <v/>
      </c>
      <c r="I1415" s="7" t="str">
        <f>IF(AND(ISBLANK(D1415),ISBLANK(C1415)),"",((VLOOKUP(D1415,Cardápio!$A$2:$C$16,3,0))*E1415)+IF(B1415="iFood",F1415*0.27,(VLOOKUP(VENDAS!C1415,Bairros!$A$2:$B$90,2,0))))</f>
        <v/>
      </c>
      <c r="J1415" s="7" t="str">
        <f t="shared" si="89"/>
        <v/>
      </c>
      <c r="K1415" s="9">
        <f t="shared" ca="1" si="90"/>
        <v>45404.878290162036</v>
      </c>
      <c r="L1415" s="10">
        <f t="shared" ca="1" si="91"/>
        <v>45404.878290046297</v>
      </c>
    </row>
    <row r="1416" spans="6:12" x14ac:dyDescent="0.25">
      <c r="F1416" s="11" t="str">
        <f>IF(ISBLANK(D1416),"",(VLOOKUP(D1416,Cardápio!$A$2:$B$16,2,0))*E1416)</f>
        <v/>
      </c>
      <c r="H1416" s="7" t="str">
        <f t="shared" si="88"/>
        <v/>
      </c>
      <c r="I1416" s="7" t="str">
        <f>IF(AND(ISBLANK(D1416),ISBLANK(C1416)),"",((VLOOKUP(D1416,Cardápio!$A$2:$C$16,3,0))*E1416)+IF(B1416="iFood",F1416*0.27,(VLOOKUP(VENDAS!C1416,Bairros!$A$2:$B$90,2,0))))</f>
        <v/>
      </c>
      <c r="J1416" s="7" t="str">
        <f t="shared" si="89"/>
        <v/>
      </c>
      <c r="K1416" s="9">
        <f t="shared" ca="1" si="90"/>
        <v>45404.878290162036</v>
      </c>
      <c r="L1416" s="10">
        <f t="shared" ca="1" si="91"/>
        <v>45404.878290046297</v>
      </c>
    </row>
    <row r="1417" spans="6:12" x14ac:dyDescent="0.25">
      <c r="F1417" s="11" t="str">
        <f>IF(ISBLANK(D1417),"",(VLOOKUP(D1417,Cardápio!$A$2:$B$16,2,0))*E1417)</f>
        <v/>
      </c>
      <c r="H1417" s="7" t="str">
        <f t="shared" si="88"/>
        <v/>
      </c>
      <c r="I1417" s="7" t="str">
        <f>IF(AND(ISBLANK(D1417),ISBLANK(C1417)),"",((VLOOKUP(D1417,Cardápio!$A$2:$C$16,3,0))*E1417)+IF(B1417="iFood",F1417*0.27,(VLOOKUP(VENDAS!C1417,Bairros!$A$2:$B$90,2,0))))</f>
        <v/>
      </c>
      <c r="J1417" s="7" t="str">
        <f t="shared" si="89"/>
        <v/>
      </c>
      <c r="K1417" s="9">
        <f t="shared" ca="1" si="90"/>
        <v>45404.878290162036</v>
      </c>
      <c r="L1417" s="10">
        <f t="shared" ca="1" si="91"/>
        <v>45404.878290046297</v>
      </c>
    </row>
    <row r="1418" spans="6:12" x14ac:dyDescent="0.25">
      <c r="F1418" s="11" t="str">
        <f>IF(ISBLANK(D1418),"",(VLOOKUP(D1418,Cardápio!$A$2:$B$16,2,0))*E1418)</f>
        <v/>
      </c>
      <c r="H1418" s="7" t="str">
        <f t="shared" si="88"/>
        <v/>
      </c>
      <c r="I1418" s="7" t="str">
        <f>IF(AND(ISBLANK(D1418),ISBLANK(C1418)),"",((VLOOKUP(D1418,Cardápio!$A$2:$C$16,3,0))*E1418)+IF(B1418="iFood",F1418*0.27,(VLOOKUP(VENDAS!C1418,Bairros!$A$2:$B$90,2,0))))</f>
        <v/>
      </c>
      <c r="J1418" s="7" t="str">
        <f t="shared" si="89"/>
        <v/>
      </c>
      <c r="K1418" s="9">
        <f t="shared" ca="1" si="90"/>
        <v>45404.878290162036</v>
      </c>
      <c r="L1418" s="10">
        <f t="shared" ca="1" si="91"/>
        <v>45404.878290046297</v>
      </c>
    </row>
    <row r="1419" spans="6:12" x14ac:dyDescent="0.25">
      <c r="F1419" s="11" t="str">
        <f>IF(ISBLANK(D1419),"",(VLOOKUP(D1419,Cardápio!$A$2:$B$16,2,0))*E1419)</f>
        <v/>
      </c>
      <c r="H1419" s="7" t="str">
        <f t="shared" si="88"/>
        <v/>
      </c>
      <c r="I1419" s="7" t="str">
        <f>IF(AND(ISBLANK(D1419),ISBLANK(C1419)),"",((VLOOKUP(D1419,Cardápio!$A$2:$C$16,3,0))*E1419)+IF(B1419="iFood",F1419*0.27,(VLOOKUP(VENDAS!C1419,Bairros!$A$2:$B$90,2,0))))</f>
        <v/>
      </c>
      <c r="J1419" s="7" t="str">
        <f t="shared" si="89"/>
        <v/>
      </c>
      <c r="K1419" s="9">
        <f t="shared" ca="1" si="90"/>
        <v>45404.878290162036</v>
      </c>
      <c r="L1419" s="10">
        <f t="shared" ca="1" si="91"/>
        <v>45404.878290046297</v>
      </c>
    </row>
    <row r="1420" spans="6:12" x14ac:dyDescent="0.25">
      <c r="F1420" s="11" t="str">
        <f>IF(ISBLANK(D1420),"",(VLOOKUP(D1420,Cardápio!$A$2:$B$16,2,0))*E1420)</f>
        <v/>
      </c>
      <c r="H1420" s="7" t="str">
        <f t="shared" si="88"/>
        <v/>
      </c>
      <c r="I1420" s="7" t="str">
        <f>IF(AND(ISBLANK(D1420),ISBLANK(C1420)),"",((VLOOKUP(D1420,Cardápio!$A$2:$C$16,3,0))*E1420)+IF(B1420="iFood",F1420*0.27,(VLOOKUP(VENDAS!C1420,Bairros!$A$2:$B$90,2,0))))</f>
        <v/>
      </c>
      <c r="J1420" s="7" t="str">
        <f t="shared" si="89"/>
        <v/>
      </c>
      <c r="K1420" s="9">
        <f t="shared" ca="1" si="90"/>
        <v>45404.878290162036</v>
      </c>
      <c r="L1420" s="10">
        <f t="shared" ca="1" si="91"/>
        <v>45404.878290046297</v>
      </c>
    </row>
    <row r="1421" spans="6:12" x14ac:dyDescent="0.25">
      <c r="F1421" s="11" t="str">
        <f>IF(ISBLANK(D1421),"",(VLOOKUP(D1421,Cardápio!$A$2:$B$16,2,0))*E1421)</f>
        <v/>
      </c>
      <c r="H1421" s="7" t="str">
        <f t="shared" si="88"/>
        <v/>
      </c>
      <c r="I1421" s="7" t="str">
        <f>IF(AND(ISBLANK(D1421),ISBLANK(C1421)),"",((VLOOKUP(D1421,Cardápio!$A$2:$C$16,3,0))*E1421)+IF(B1421="iFood",F1421*0.27,(VLOOKUP(VENDAS!C1421,Bairros!$A$2:$B$90,2,0))))</f>
        <v/>
      </c>
      <c r="J1421" s="7" t="str">
        <f t="shared" si="89"/>
        <v/>
      </c>
      <c r="K1421" s="9">
        <f t="shared" ca="1" si="90"/>
        <v>45404.878290162036</v>
      </c>
      <c r="L1421" s="10">
        <f t="shared" ca="1" si="91"/>
        <v>45404.878290046297</v>
      </c>
    </row>
    <row r="1422" spans="6:12" x14ac:dyDescent="0.25">
      <c r="F1422" s="11" t="str">
        <f>IF(ISBLANK(D1422),"",(VLOOKUP(D1422,Cardápio!$A$2:$B$16,2,0))*E1422)</f>
        <v/>
      </c>
      <c r="H1422" s="7" t="str">
        <f t="shared" si="88"/>
        <v/>
      </c>
      <c r="I1422" s="7" t="str">
        <f>IF(AND(ISBLANK(D1422),ISBLANK(C1422)),"",((VLOOKUP(D1422,Cardápio!$A$2:$C$16,3,0))*E1422)+IF(B1422="iFood",F1422*0.27,(VLOOKUP(VENDAS!C1422,Bairros!$A$2:$B$90,2,0))))</f>
        <v/>
      </c>
      <c r="J1422" s="7" t="str">
        <f t="shared" si="89"/>
        <v/>
      </c>
      <c r="K1422" s="9">
        <f t="shared" ca="1" si="90"/>
        <v>45404.878290162036</v>
      </c>
      <c r="L1422" s="10">
        <f t="shared" ca="1" si="91"/>
        <v>45404.878290046297</v>
      </c>
    </row>
    <row r="1423" spans="6:12" x14ac:dyDescent="0.25">
      <c r="F1423" s="11" t="str">
        <f>IF(ISBLANK(D1423),"",(VLOOKUP(D1423,Cardápio!$A$2:$B$16,2,0))*E1423)</f>
        <v/>
      </c>
      <c r="H1423" s="7" t="str">
        <f t="shared" si="88"/>
        <v/>
      </c>
      <c r="I1423" s="7" t="str">
        <f>IF(AND(ISBLANK(D1423),ISBLANK(C1423)),"",((VLOOKUP(D1423,Cardápio!$A$2:$C$16,3,0))*E1423)+IF(B1423="iFood",F1423*0.27,(VLOOKUP(VENDAS!C1423,Bairros!$A$2:$B$90,2,0))))</f>
        <v/>
      </c>
      <c r="J1423" s="7" t="str">
        <f t="shared" si="89"/>
        <v/>
      </c>
      <c r="K1423" s="9">
        <f t="shared" ca="1" si="90"/>
        <v>45404.878290162036</v>
      </c>
      <c r="L1423" s="10">
        <f t="shared" ca="1" si="91"/>
        <v>45404.878290046297</v>
      </c>
    </row>
    <row r="1424" spans="6:12" x14ac:dyDescent="0.25">
      <c r="F1424" s="11" t="str">
        <f>IF(ISBLANK(D1424),"",(VLOOKUP(D1424,Cardápio!$A$2:$B$16,2,0))*E1424)</f>
        <v/>
      </c>
      <c r="H1424" s="7" t="str">
        <f t="shared" si="88"/>
        <v/>
      </c>
      <c r="I1424" s="7" t="str">
        <f>IF(AND(ISBLANK(D1424),ISBLANK(C1424)),"",((VLOOKUP(D1424,Cardápio!$A$2:$C$16,3,0))*E1424)+IF(B1424="iFood",F1424*0.27,(VLOOKUP(VENDAS!C1424,Bairros!$A$2:$B$90,2,0))))</f>
        <v/>
      </c>
      <c r="J1424" s="7" t="str">
        <f t="shared" si="89"/>
        <v/>
      </c>
      <c r="K1424" s="9">
        <f t="shared" ca="1" si="90"/>
        <v>45404.878290162036</v>
      </c>
      <c r="L1424" s="10">
        <f t="shared" ca="1" si="91"/>
        <v>45404.878290046297</v>
      </c>
    </row>
    <row r="1425" spans="6:12" x14ac:dyDescent="0.25">
      <c r="F1425" s="11" t="str">
        <f>IF(ISBLANK(D1425),"",(VLOOKUP(D1425,Cardápio!$A$2:$B$16,2,0))*E1425)</f>
        <v/>
      </c>
      <c r="H1425" s="7" t="str">
        <f t="shared" si="88"/>
        <v/>
      </c>
      <c r="I1425" s="7" t="str">
        <f>IF(AND(ISBLANK(D1425),ISBLANK(C1425)),"",((VLOOKUP(D1425,Cardápio!$A$2:$C$16,3,0))*E1425)+IF(B1425="iFood",F1425*0.27,(VLOOKUP(VENDAS!C1425,Bairros!$A$2:$B$90,2,0))))</f>
        <v/>
      </c>
      <c r="J1425" s="7" t="str">
        <f t="shared" si="89"/>
        <v/>
      </c>
      <c r="K1425" s="9">
        <f t="shared" ca="1" si="90"/>
        <v>45404.878290162036</v>
      </c>
      <c r="L1425" s="10">
        <f t="shared" ca="1" si="91"/>
        <v>45404.878290046297</v>
      </c>
    </row>
    <row r="1426" spans="6:12" x14ac:dyDescent="0.25">
      <c r="F1426" s="11" t="str">
        <f>IF(ISBLANK(D1426),"",(VLOOKUP(D1426,Cardápio!$A$2:$B$16,2,0))*E1426)</f>
        <v/>
      </c>
      <c r="H1426" s="7" t="str">
        <f t="shared" si="88"/>
        <v/>
      </c>
      <c r="I1426" s="7" t="str">
        <f>IF(AND(ISBLANK(D1426),ISBLANK(C1426)),"",((VLOOKUP(D1426,Cardápio!$A$2:$C$16,3,0))*E1426)+IF(B1426="iFood",F1426*0.27,(VLOOKUP(VENDAS!C1426,Bairros!$A$2:$B$90,2,0))))</f>
        <v/>
      </c>
      <c r="J1426" s="7" t="str">
        <f t="shared" si="89"/>
        <v/>
      </c>
      <c r="K1426" s="9">
        <f t="shared" ca="1" si="90"/>
        <v>45404.878290162036</v>
      </c>
      <c r="L1426" s="10">
        <f t="shared" ca="1" si="91"/>
        <v>45404.878290046297</v>
      </c>
    </row>
    <row r="1427" spans="6:12" x14ac:dyDescent="0.25">
      <c r="F1427" s="11" t="str">
        <f>IF(ISBLANK(D1427),"",(VLOOKUP(D1427,Cardápio!$A$2:$B$16,2,0))*E1427)</f>
        <v/>
      </c>
      <c r="H1427" s="7" t="str">
        <f t="shared" si="88"/>
        <v/>
      </c>
      <c r="I1427" s="7" t="str">
        <f>IF(AND(ISBLANK(D1427),ISBLANK(C1427)),"",((VLOOKUP(D1427,Cardápio!$A$2:$C$16,3,0))*E1427)+IF(B1427="iFood",F1427*0.27,(VLOOKUP(VENDAS!C1427,Bairros!$A$2:$B$90,2,0))))</f>
        <v/>
      </c>
      <c r="J1427" s="7" t="str">
        <f t="shared" si="89"/>
        <v/>
      </c>
      <c r="K1427" s="9">
        <f t="shared" ca="1" si="90"/>
        <v>45404.878290162036</v>
      </c>
      <c r="L1427" s="10">
        <f t="shared" ca="1" si="91"/>
        <v>45404.878290046297</v>
      </c>
    </row>
    <row r="1428" spans="6:12" x14ac:dyDescent="0.25">
      <c r="F1428" s="11" t="str">
        <f>IF(ISBLANK(D1428),"",(VLOOKUP(D1428,Cardápio!$A$2:$B$16,2,0))*E1428)</f>
        <v/>
      </c>
      <c r="H1428" s="7" t="str">
        <f t="shared" si="88"/>
        <v/>
      </c>
      <c r="I1428" s="7" t="str">
        <f>IF(AND(ISBLANK(D1428),ISBLANK(C1428)),"",((VLOOKUP(D1428,Cardápio!$A$2:$C$16,3,0))*E1428)+IF(B1428="iFood",F1428*0.27,(VLOOKUP(VENDAS!C1428,Bairros!$A$2:$B$90,2,0))))</f>
        <v/>
      </c>
      <c r="J1428" s="7" t="str">
        <f t="shared" si="89"/>
        <v/>
      </c>
      <c r="K1428" s="9">
        <f t="shared" ca="1" si="90"/>
        <v>45404.878290162036</v>
      </c>
      <c r="L1428" s="10">
        <f t="shared" ca="1" si="91"/>
        <v>45404.878290046297</v>
      </c>
    </row>
    <row r="1429" spans="6:12" x14ac:dyDescent="0.25">
      <c r="F1429" s="11" t="str">
        <f>IF(ISBLANK(D1429),"",(VLOOKUP(D1429,Cardápio!$A$2:$B$16,2,0))*E1429)</f>
        <v/>
      </c>
      <c r="H1429" s="7" t="str">
        <f t="shared" si="88"/>
        <v/>
      </c>
      <c r="I1429" s="7" t="str">
        <f>IF(AND(ISBLANK(D1429),ISBLANK(C1429)),"",((VLOOKUP(D1429,Cardápio!$A$2:$C$16,3,0))*E1429)+IF(B1429="iFood",F1429*0.27,(VLOOKUP(VENDAS!C1429,Bairros!$A$2:$B$90,2,0))))</f>
        <v/>
      </c>
      <c r="J1429" s="7" t="str">
        <f t="shared" si="89"/>
        <v/>
      </c>
      <c r="K1429" s="9">
        <f t="shared" ca="1" si="90"/>
        <v>45404.878290162036</v>
      </c>
      <c r="L1429" s="10">
        <f t="shared" ca="1" si="91"/>
        <v>45404.878290046297</v>
      </c>
    </row>
    <row r="1430" spans="6:12" x14ac:dyDescent="0.25">
      <c r="F1430" s="11" t="str">
        <f>IF(ISBLANK(D1430),"",(VLOOKUP(D1430,Cardápio!$A$2:$B$16,2,0))*E1430)</f>
        <v/>
      </c>
      <c r="H1430" s="7" t="str">
        <f t="shared" si="88"/>
        <v/>
      </c>
      <c r="I1430" s="7" t="str">
        <f>IF(AND(ISBLANK(D1430),ISBLANK(C1430)),"",((VLOOKUP(D1430,Cardápio!$A$2:$C$16,3,0))*E1430)+IF(B1430="iFood",F1430*0.27,(VLOOKUP(VENDAS!C1430,Bairros!$A$2:$B$90,2,0))))</f>
        <v/>
      </c>
      <c r="J1430" s="7" t="str">
        <f t="shared" si="89"/>
        <v/>
      </c>
      <c r="K1430" s="9">
        <f t="shared" ca="1" si="90"/>
        <v>45404.878290162036</v>
      </c>
      <c r="L1430" s="10">
        <f t="shared" ca="1" si="91"/>
        <v>45404.878290046297</v>
      </c>
    </row>
    <row r="1431" spans="6:12" x14ac:dyDescent="0.25">
      <c r="F1431" s="11" t="str">
        <f>IF(ISBLANK(D1431),"",(VLOOKUP(D1431,Cardápio!$A$2:$B$16,2,0))*E1431)</f>
        <v/>
      </c>
      <c r="H1431" s="7" t="str">
        <f t="shared" si="88"/>
        <v/>
      </c>
      <c r="I1431" s="7" t="str">
        <f>IF(AND(ISBLANK(D1431),ISBLANK(C1431)),"",((VLOOKUP(D1431,Cardápio!$A$2:$C$16,3,0))*E1431)+IF(B1431="iFood",F1431*0.27,(VLOOKUP(VENDAS!C1431,Bairros!$A$2:$B$90,2,0))))</f>
        <v/>
      </c>
      <c r="J1431" s="7" t="str">
        <f t="shared" si="89"/>
        <v/>
      </c>
      <c r="K1431" s="9">
        <f t="shared" ca="1" si="90"/>
        <v>45404.878290162036</v>
      </c>
      <c r="L1431" s="10">
        <f t="shared" ca="1" si="91"/>
        <v>45404.878290046297</v>
      </c>
    </row>
    <row r="1432" spans="6:12" x14ac:dyDescent="0.25">
      <c r="F1432" s="11" t="str">
        <f>IF(ISBLANK(D1432),"",(VLOOKUP(D1432,Cardápio!$A$2:$B$16,2,0))*E1432)</f>
        <v/>
      </c>
      <c r="H1432" s="7" t="str">
        <f t="shared" si="88"/>
        <v/>
      </c>
      <c r="I1432" s="7" t="str">
        <f>IF(AND(ISBLANK(D1432),ISBLANK(C1432)),"",((VLOOKUP(D1432,Cardápio!$A$2:$C$16,3,0))*E1432)+IF(B1432="iFood",F1432*0.27,(VLOOKUP(VENDAS!C1432,Bairros!$A$2:$B$90,2,0))))</f>
        <v/>
      </c>
      <c r="J1432" s="7" t="str">
        <f t="shared" si="89"/>
        <v/>
      </c>
      <c r="K1432" s="9">
        <f t="shared" ca="1" si="90"/>
        <v>45404.878290162036</v>
      </c>
      <c r="L1432" s="10">
        <f t="shared" ca="1" si="91"/>
        <v>45404.878290046297</v>
      </c>
    </row>
    <row r="1433" spans="6:12" x14ac:dyDescent="0.25">
      <c r="F1433" s="11" t="str">
        <f>IF(ISBLANK(D1433),"",(VLOOKUP(D1433,Cardápio!$A$2:$B$16,2,0))*E1433)</f>
        <v/>
      </c>
      <c r="H1433" s="7" t="str">
        <f t="shared" si="88"/>
        <v/>
      </c>
      <c r="I1433" s="7" t="str">
        <f>IF(AND(ISBLANK(D1433),ISBLANK(C1433)),"",((VLOOKUP(D1433,Cardápio!$A$2:$C$16,3,0))*E1433)+IF(B1433="iFood",F1433*0.27,(VLOOKUP(VENDAS!C1433,Bairros!$A$2:$B$90,2,0))))</f>
        <v/>
      </c>
      <c r="J1433" s="7" t="str">
        <f t="shared" si="89"/>
        <v/>
      </c>
      <c r="K1433" s="9">
        <f t="shared" ca="1" si="90"/>
        <v>45404.878290162036</v>
      </c>
      <c r="L1433" s="10">
        <f t="shared" ca="1" si="91"/>
        <v>45404.878290046297</v>
      </c>
    </row>
    <row r="1434" spans="6:12" x14ac:dyDescent="0.25">
      <c r="F1434" s="11" t="str">
        <f>IF(ISBLANK(D1434),"",(VLOOKUP(D1434,Cardápio!$A$2:$B$16,2,0))*E1434)</f>
        <v/>
      </c>
      <c r="H1434" s="7" t="str">
        <f t="shared" si="88"/>
        <v/>
      </c>
      <c r="I1434" s="7" t="str">
        <f>IF(AND(ISBLANK(D1434),ISBLANK(C1434)),"",((VLOOKUP(D1434,Cardápio!$A$2:$C$16,3,0))*E1434)+IF(B1434="iFood",F1434*0.27,(VLOOKUP(VENDAS!C1434,Bairros!$A$2:$B$90,2,0))))</f>
        <v/>
      </c>
      <c r="J1434" s="7" t="str">
        <f t="shared" si="89"/>
        <v/>
      </c>
      <c r="K1434" s="9">
        <f t="shared" ca="1" si="90"/>
        <v>45404.878290162036</v>
      </c>
      <c r="L1434" s="10">
        <f t="shared" ca="1" si="91"/>
        <v>45404.878290046297</v>
      </c>
    </row>
    <row r="1435" spans="6:12" x14ac:dyDescent="0.25">
      <c r="F1435" s="11" t="str">
        <f>IF(ISBLANK(D1435),"",(VLOOKUP(D1435,Cardápio!$A$2:$B$16,2,0))*E1435)</f>
        <v/>
      </c>
      <c r="H1435" s="7" t="str">
        <f t="shared" si="88"/>
        <v/>
      </c>
      <c r="I1435" s="7" t="str">
        <f>IF(AND(ISBLANK(D1435),ISBLANK(C1435)),"",((VLOOKUP(D1435,Cardápio!$A$2:$C$16,3,0))*E1435)+IF(B1435="iFood",F1435*0.27,(VLOOKUP(VENDAS!C1435,Bairros!$A$2:$B$90,2,0))))</f>
        <v/>
      </c>
      <c r="J1435" s="7" t="str">
        <f t="shared" si="89"/>
        <v/>
      </c>
      <c r="K1435" s="9">
        <f t="shared" ca="1" si="90"/>
        <v>45404.878290162036</v>
      </c>
      <c r="L1435" s="10">
        <f t="shared" ca="1" si="91"/>
        <v>45404.878290046297</v>
      </c>
    </row>
    <row r="1436" spans="6:12" x14ac:dyDescent="0.25">
      <c r="F1436" s="11" t="str">
        <f>IF(ISBLANK(D1436),"",(VLOOKUP(D1436,Cardápio!$A$2:$B$16,2,0))*E1436)</f>
        <v/>
      </c>
      <c r="H1436" s="7" t="str">
        <f t="shared" si="88"/>
        <v/>
      </c>
      <c r="I1436" s="7" t="str">
        <f>IF(AND(ISBLANK(D1436),ISBLANK(C1436)),"",((VLOOKUP(D1436,Cardápio!$A$2:$C$16,3,0))*E1436)+IF(B1436="iFood",F1436*0.27,(VLOOKUP(VENDAS!C1436,Bairros!$A$2:$B$90,2,0))))</f>
        <v/>
      </c>
      <c r="J1436" s="7" t="str">
        <f t="shared" si="89"/>
        <v/>
      </c>
      <c r="K1436" s="9">
        <f t="shared" ca="1" si="90"/>
        <v>45404.878290162036</v>
      </c>
      <c r="L1436" s="10">
        <f t="shared" ca="1" si="91"/>
        <v>45404.878290046297</v>
      </c>
    </row>
    <row r="1437" spans="6:12" x14ac:dyDescent="0.25">
      <c r="F1437" s="11" t="str">
        <f>IF(ISBLANK(D1437),"",(VLOOKUP(D1437,Cardápio!$A$2:$B$16,2,0))*E1437)</f>
        <v/>
      </c>
      <c r="H1437" s="7" t="str">
        <f t="shared" si="88"/>
        <v/>
      </c>
      <c r="I1437" s="7" t="str">
        <f>IF(AND(ISBLANK(D1437),ISBLANK(C1437)),"",((VLOOKUP(D1437,Cardápio!$A$2:$C$16,3,0))*E1437)+IF(B1437="iFood",F1437*0.27,(VLOOKUP(VENDAS!C1437,Bairros!$A$2:$B$90,2,0))))</f>
        <v/>
      </c>
      <c r="J1437" s="7" t="str">
        <f t="shared" si="89"/>
        <v/>
      </c>
      <c r="K1437" s="9">
        <f t="shared" ca="1" si="90"/>
        <v>45404.878290162036</v>
      </c>
      <c r="L1437" s="10">
        <f t="shared" ca="1" si="91"/>
        <v>45404.878290046297</v>
      </c>
    </row>
    <row r="1438" spans="6:12" x14ac:dyDescent="0.25">
      <c r="F1438" s="11" t="str">
        <f>IF(ISBLANK(D1438),"",(VLOOKUP(D1438,Cardápio!$A$2:$B$16,2,0))*E1438)</f>
        <v/>
      </c>
      <c r="H1438" s="7" t="str">
        <f t="shared" si="88"/>
        <v/>
      </c>
      <c r="I1438" s="7" t="str">
        <f>IF(AND(ISBLANK(D1438),ISBLANK(C1438)),"",((VLOOKUP(D1438,Cardápio!$A$2:$C$16,3,0))*E1438)+IF(B1438="iFood",F1438*0.27,(VLOOKUP(VENDAS!C1438,Bairros!$A$2:$B$90,2,0))))</f>
        <v/>
      </c>
      <c r="J1438" s="7" t="str">
        <f t="shared" si="89"/>
        <v/>
      </c>
      <c r="K1438" s="9">
        <f t="shared" ca="1" si="90"/>
        <v>45404.878290162036</v>
      </c>
      <c r="L1438" s="10">
        <f t="shared" ca="1" si="91"/>
        <v>45404.878290046297</v>
      </c>
    </row>
    <row r="1439" spans="6:12" x14ac:dyDescent="0.25">
      <c r="F1439" s="11" t="str">
        <f>IF(ISBLANK(D1439),"",(VLOOKUP(D1439,Cardápio!$A$2:$B$16,2,0))*E1439)</f>
        <v/>
      </c>
      <c r="H1439" s="7" t="str">
        <f t="shared" si="88"/>
        <v/>
      </c>
      <c r="I1439" s="7" t="str">
        <f>IF(AND(ISBLANK(D1439),ISBLANK(C1439)),"",((VLOOKUP(D1439,Cardápio!$A$2:$C$16,3,0))*E1439)+IF(B1439="iFood",F1439*0.27,(VLOOKUP(VENDAS!C1439,Bairros!$A$2:$B$90,2,0))))</f>
        <v/>
      </c>
      <c r="J1439" s="7" t="str">
        <f t="shared" si="89"/>
        <v/>
      </c>
      <c r="K1439" s="9">
        <f t="shared" ca="1" si="90"/>
        <v>45404.878290162036</v>
      </c>
      <c r="L1439" s="10">
        <f t="shared" ca="1" si="91"/>
        <v>45404.878290046297</v>
      </c>
    </row>
    <row r="1440" spans="6:12" x14ac:dyDescent="0.25">
      <c r="F1440" s="11" t="str">
        <f>IF(ISBLANK(D1440),"",(VLOOKUP(D1440,Cardápio!$A$2:$B$16,2,0))*E1440)</f>
        <v/>
      </c>
      <c r="H1440" s="7" t="str">
        <f t="shared" si="88"/>
        <v/>
      </c>
      <c r="I1440" s="7" t="str">
        <f>IF(AND(ISBLANK(D1440),ISBLANK(C1440)),"",((VLOOKUP(D1440,Cardápio!$A$2:$C$16,3,0))*E1440)+IF(B1440="iFood",F1440*0.27,(VLOOKUP(VENDAS!C1440,Bairros!$A$2:$B$90,2,0))))</f>
        <v/>
      </c>
      <c r="J1440" s="7" t="str">
        <f t="shared" si="89"/>
        <v/>
      </c>
      <c r="K1440" s="9">
        <f t="shared" ca="1" si="90"/>
        <v>45404.878290162036</v>
      </c>
      <c r="L1440" s="10">
        <f t="shared" ca="1" si="91"/>
        <v>45404.878290046297</v>
      </c>
    </row>
    <row r="1441" spans="6:12" x14ac:dyDescent="0.25">
      <c r="F1441" s="11" t="str">
        <f>IF(ISBLANK(D1441),"",(VLOOKUP(D1441,Cardápio!$A$2:$B$16,2,0))*E1441)</f>
        <v/>
      </c>
      <c r="H1441" s="7" t="str">
        <f t="shared" si="88"/>
        <v/>
      </c>
      <c r="I1441" s="7" t="str">
        <f>IF(AND(ISBLANK(D1441),ISBLANK(C1441)),"",((VLOOKUP(D1441,Cardápio!$A$2:$C$16,3,0))*E1441)+IF(B1441="iFood",F1441*0.27,(VLOOKUP(VENDAS!C1441,Bairros!$A$2:$B$90,2,0))))</f>
        <v/>
      </c>
      <c r="J1441" s="7" t="str">
        <f t="shared" si="89"/>
        <v/>
      </c>
      <c r="K1441" s="9">
        <f t="shared" ca="1" si="90"/>
        <v>45404.878290162036</v>
      </c>
      <c r="L1441" s="10">
        <f t="shared" ca="1" si="91"/>
        <v>45404.878290046297</v>
      </c>
    </row>
    <row r="1442" spans="6:12" x14ac:dyDescent="0.25">
      <c r="F1442" s="11" t="str">
        <f>IF(ISBLANK(D1442),"",(VLOOKUP(D1442,Cardápio!$A$2:$B$16,2,0))*E1442)</f>
        <v/>
      </c>
      <c r="H1442" s="7" t="str">
        <f t="shared" si="88"/>
        <v/>
      </c>
      <c r="I1442" s="7" t="str">
        <f>IF(AND(ISBLANK(D1442),ISBLANK(C1442)),"",((VLOOKUP(D1442,Cardápio!$A$2:$C$16,3,0))*E1442)+IF(B1442="iFood",F1442*0.27,(VLOOKUP(VENDAS!C1442,Bairros!$A$2:$B$90,2,0))))</f>
        <v/>
      </c>
      <c r="J1442" s="7" t="str">
        <f t="shared" si="89"/>
        <v/>
      </c>
      <c r="K1442" s="9">
        <f t="shared" ca="1" si="90"/>
        <v>45404.878290162036</v>
      </c>
      <c r="L1442" s="10">
        <f t="shared" ca="1" si="91"/>
        <v>45404.878290046297</v>
      </c>
    </row>
    <row r="1443" spans="6:12" x14ac:dyDescent="0.25">
      <c r="F1443" s="11" t="str">
        <f>IF(ISBLANK(D1443),"",(VLOOKUP(D1443,Cardápio!$A$2:$B$16,2,0))*E1443)</f>
        <v/>
      </c>
      <c r="H1443" s="7" t="str">
        <f t="shared" si="88"/>
        <v/>
      </c>
      <c r="I1443" s="7" t="str">
        <f>IF(AND(ISBLANK(D1443),ISBLANK(C1443)),"",((VLOOKUP(D1443,Cardápio!$A$2:$C$16,3,0))*E1443)+IF(B1443="iFood",F1443*0.27,(VLOOKUP(VENDAS!C1443,Bairros!$A$2:$B$90,2,0))))</f>
        <v/>
      </c>
      <c r="J1443" s="7" t="str">
        <f t="shared" si="89"/>
        <v/>
      </c>
      <c r="K1443" s="9">
        <f t="shared" ca="1" si="90"/>
        <v>45404.878290162036</v>
      </c>
      <c r="L1443" s="10">
        <f t="shared" ca="1" si="91"/>
        <v>45404.878290046297</v>
      </c>
    </row>
    <row r="1444" spans="6:12" x14ac:dyDescent="0.25">
      <c r="F1444" s="11" t="str">
        <f>IF(ISBLANK(D1444),"",(VLOOKUP(D1444,Cardápio!$A$2:$B$16,2,0))*E1444)</f>
        <v/>
      </c>
      <c r="H1444" s="7" t="str">
        <f t="shared" si="88"/>
        <v/>
      </c>
      <c r="I1444" s="7" t="str">
        <f>IF(AND(ISBLANK(D1444),ISBLANK(C1444)),"",((VLOOKUP(D1444,Cardápio!$A$2:$C$16,3,0))*E1444)+IF(B1444="iFood",F1444*0.27,(VLOOKUP(VENDAS!C1444,Bairros!$A$2:$B$90,2,0))))</f>
        <v/>
      </c>
      <c r="J1444" s="7" t="str">
        <f t="shared" si="89"/>
        <v/>
      </c>
      <c r="K1444" s="9">
        <f t="shared" ca="1" si="90"/>
        <v>45404.878290162036</v>
      </c>
      <c r="L1444" s="10">
        <f t="shared" ca="1" si="91"/>
        <v>45404.878290046297</v>
      </c>
    </row>
    <row r="1445" spans="6:12" x14ac:dyDescent="0.25">
      <c r="F1445" s="11" t="str">
        <f>IF(ISBLANK(D1445),"",(VLOOKUP(D1445,Cardápio!$A$2:$B$16,2,0))*E1445)</f>
        <v/>
      </c>
      <c r="H1445" s="7" t="str">
        <f t="shared" si="88"/>
        <v/>
      </c>
      <c r="I1445" s="7" t="str">
        <f>IF(AND(ISBLANK(D1445),ISBLANK(C1445)),"",((VLOOKUP(D1445,Cardápio!$A$2:$C$16,3,0))*E1445)+IF(B1445="iFood",F1445*0.27,(VLOOKUP(VENDAS!C1445,Bairros!$A$2:$B$90,2,0))))</f>
        <v/>
      </c>
      <c r="J1445" s="7" t="str">
        <f t="shared" si="89"/>
        <v/>
      </c>
      <c r="K1445" s="9">
        <f t="shared" ca="1" si="90"/>
        <v>45404.878290162036</v>
      </c>
      <c r="L1445" s="10">
        <f t="shared" ca="1" si="91"/>
        <v>45404.878290046297</v>
      </c>
    </row>
    <row r="1446" spans="6:12" x14ac:dyDescent="0.25">
      <c r="F1446" s="11" t="str">
        <f>IF(ISBLANK(D1446),"",(VLOOKUP(D1446,Cardápio!$A$2:$B$16,2,0))*E1446)</f>
        <v/>
      </c>
      <c r="H1446" s="7" t="str">
        <f t="shared" si="88"/>
        <v/>
      </c>
      <c r="I1446" s="7" t="str">
        <f>IF(AND(ISBLANK(D1446),ISBLANK(C1446)),"",((VLOOKUP(D1446,Cardápio!$A$2:$C$16,3,0))*E1446)+IF(B1446="iFood",F1446*0.27,(VLOOKUP(VENDAS!C1446,Bairros!$A$2:$B$90,2,0))))</f>
        <v/>
      </c>
      <c r="J1446" s="7" t="str">
        <f t="shared" si="89"/>
        <v/>
      </c>
      <c r="K1446" s="9">
        <f t="shared" ca="1" si="90"/>
        <v>45404.878290162036</v>
      </c>
      <c r="L1446" s="10">
        <f t="shared" ca="1" si="91"/>
        <v>45404.878290046297</v>
      </c>
    </row>
    <row r="1447" spans="6:12" x14ac:dyDescent="0.25">
      <c r="F1447" s="11" t="str">
        <f>IF(ISBLANK(D1447),"",(VLOOKUP(D1447,Cardápio!$A$2:$B$16,2,0))*E1447)</f>
        <v/>
      </c>
      <c r="H1447" s="7" t="str">
        <f t="shared" si="88"/>
        <v/>
      </c>
      <c r="I1447" s="7" t="str">
        <f>IF(AND(ISBLANK(D1447),ISBLANK(C1447)),"",((VLOOKUP(D1447,Cardápio!$A$2:$C$16,3,0))*E1447)+IF(B1447="iFood",F1447*0.27,(VLOOKUP(VENDAS!C1447,Bairros!$A$2:$B$90,2,0))))</f>
        <v/>
      </c>
      <c r="J1447" s="7" t="str">
        <f t="shared" si="89"/>
        <v/>
      </c>
      <c r="K1447" s="9">
        <f t="shared" ca="1" si="90"/>
        <v>45404.878290162036</v>
      </c>
      <c r="L1447" s="10">
        <f t="shared" ca="1" si="91"/>
        <v>45404.878290046297</v>
      </c>
    </row>
    <row r="1448" spans="6:12" x14ac:dyDescent="0.25">
      <c r="F1448" s="11" t="str">
        <f>IF(ISBLANK(D1448),"",(VLOOKUP(D1448,Cardápio!$A$2:$B$16,2,0))*E1448)</f>
        <v/>
      </c>
      <c r="H1448" s="7" t="str">
        <f t="shared" si="88"/>
        <v/>
      </c>
      <c r="I1448" s="7" t="str">
        <f>IF(AND(ISBLANK(D1448),ISBLANK(C1448)),"",((VLOOKUP(D1448,Cardápio!$A$2:$C$16,3,0))*E1448)+IF(B1448="iFood",F1448*0.27,(VLOOKUP(VENDAS!C1448,Bairros!$A$2:$B$90,2,0))))</f>
        <v/>
      </c>
      <c r="J1448" s="7" t="str">
        <f t="shared" si="89"/>
        <v/>
      </c>
      <c r="K1448" s="9">
        <f t="shared" ca="1" si="90"/>
        <v>45404.878290162036</v>
      </c>
      <c r="L1448" s="10">
        <f t="shared" ca="1" si="91"/>
        <v>45404.878290046297</v>
      </c>
    </row>
    <row r="1449" spans="6:12" x14ac:dyDescent="0.25">
      <c r="F1449" s="11" t="str">
        <f>IF(ISBLANK(D1449),"",(VLOOKUP(D1449,Cardápio!$A$2:$B$16,2,0))*E1449)</f>
        <v/>
      </c>
      <c r="H1449" s="7" t="str">
        <f t="shared" si="88"/>
        <v/>
      </c>
      <c r="I1449" s="7" t="str">
        <f>IF(AND(ISBLANK(D1449),ISBLANK(C1449)),"",((VLOOKUP(D1449,Cardápio!$A$2:$C$16,3,0))*E1449)+IF(B1449="iFood",F1449*0.27,(VLOOKUP(VENDAS!C1449,Bairros!$A$2:$B$90,2,0))))</f>
        <v/>
      </c>
      <c r="J1449" s="7" t="str">
        <f t="shared" si="89"/>
        <v/>
      </c>
      <c r="K1449" s="9">
        <f t="shared" ca="1" si="90"/>
        <v>45404.878290162036</v>
      </c>
      <c r="L1449" s="10">
        <f t="shared" ca="1" si="91"/>
        <v>45404.878290046297</v>
      </c>
    </row>
    <row r="1450" spans="6:12" x14ac:dyDescent="0.25">
      <c r="F1450" s="11" t="str">
        <f>IF(ISBLANK(D1450),"",(VLOOKUP(D1450,Cardápio!$A$2:$B$16,2,0))*E1450)</f>
        <v/>
      </c>
      <c r="H1450" s="7" t="str">
        <f t="shared" si="88"/>
        <v/>
      </c>
      <c r="I1450" s="7" t="str">
        <f>IF(AND(ISBLANK(D1450),ISBLANK(C1450)),"",((VLOOKUP(D1450,Cardápio!$A$2:$C$16,3,0))*E1450)+IF(B1450="iFood",F1450*0.27,(VLOOKUP(VENDAS!C1450,Bairros!$A$2:$B$90,2,0))))</f>
        <v/>
      </c>
      <c r="J1450" s="7" t="str">
        <f t="shared" si="89"/>
        <v/>
      </c>
      <c r="K1450" s="9">
        <f t="shared" ca="1" si="90"/>
        <v>45404.878290162036</v>
      </c>
      <c r="L1450" s="10">
        <f t="shared" ca="1" si="91"/>
        <v>45404.878290046297</v>
      </c>
    </row>
    <row r="1451" spans="6:12" x14ac:dyDescent="0.25">
      <c r="F1451" s="11" t="str">
        <f>IF(ISBLANK(D1451),"",(VLOOKUP(D1451,Cardápio!$A$2:$B$16,2,0))*E1451)</f>
        <v/>
      </c>
      <c r="H1451" s="7" t="str">
        <f t="shared" si="88"/>
        <v/>
      </c>
      <c r="I1451" s="7" t="str">
        <f>IF(AND(ISBLANK(D1451),ISBLANK(C1451)),"",((VLOOKUP(D1451,Cardápio!$A$2:$C$16,3,0))*E1451)+IF(B1451="iFood",F1451*0.27,(VLOOKUP(VENDAS!C1451,Bairros!$A$2:$B$90,2,0))))</f>
        <v/>
      </c>
      <c r="J1451" s="7" t="str">
        <f t="shared" si="89"/>
        <v/>
      </c>
      <c r="K1451" s="9">
        <f t="shared" ca="1" si="90"/>
        <v>45404.878290162036</v>
      </c>
      <c r="L1451" s="10">
        <f t="shared" ca="1" si="91"/>
        <v>45404.878290046297</v>
      </c>
    </row>
    <row r="1452" spans="6:12" x14ac:dyDescent="0.25">
      <c r="F1452" s="11" t="str">
        <f>IF(ISBLANK(D1452),"",(VLOOKUP(D1452,Cardápio!$A$2:$B$16,2,0))*E1452)</f>
        <v/>
      </c>
      <c r="H1452" s="7" t="str">
        <f t="shared" si="88"/>
        <v/>
      </c>
      <c r="I1452" s="7" t="str">
        <f>IF(AND(ISBLANK(D1452),ISBLANK(C1452)),"",((VLOOKUP(D1452,Cardápio!$A$2:$C$16,3,0))*E1452)+IF(B1452="iFood",F1452*0.27,(VLOOKUP(VENDAS!C1452,Bairros!$A$2:$B$90,2,0))))</f>
        <v/>
      </c>
      <c r="J1452" s="7" t="str">
        <f t="shared" si="89"/>
        <v/>
      </c>
      <c r="K1452" s="9">
        <f t="shared" ca="1" si="90"/>
        <v>45404.878290162036</v>
      </c>
      <c r="L1452" s="10">
        <f t="shared" ca="1" si="91"/>
        <v>45404.878290046297</v>
      </c>
    </row>
    <row r="1453" spans="6:12" x14ac:dyDescent="0.25">
      <c r="F1453" s="11" t="str">
        <f>IF(ISBLANK(D1453),"",(VLOOKUP(D1453,Cardápio!$A$2:$B$16,2,0))*E1453)</f>
        <v/>
      </c>
      <c r="H1453" s="7" t="str">
        <f t="shared" si="88"/>
        <v/>
      </c>
      <c r="I1453" s="7" t="str">
        <f>IF(AND(ISBLANK(D1453),ISBLANK(C1453)),"",((VLOOKUP(D1453,Cardápio!$A$2:$C$16,3,0))*E1453)+IF(B1453="iFood",F1453*0.27,(VLOOKUP(VENDAS!C1453,Bairros!$A$2:$B$90,2,0))))</f>
        <v/>
      </c>
      <c r="J1453" s="7" t="str">
        <f t="shared" si="89"/>
        <v/>
      </c>
      <c r="K1453" s="9">
        <f t="shared" ca="1" si="90"/>
        <v>45404.878290162036</v>
      </c>
      <c r="L1453" s="10">
        <f t="shared" ca="1" si="91"/>
        <v>45404.878290046297</v>
      </c>
    </row>
    <row r="1454" spans="6:12" x14ac:dyDescent="0.25">
      <c r="F1454" s="11" t="str">
        <f>IF(ISBLANK(D1454),"",(VLOOKUP(D1454,Cardápio!$A$2:$B$16,2,0))*E1454)</f>
        <v/>
      </c>
      <c r="H1454" s="7" t="str">
        <f t="shared" si="88"/>
        <v/>
      </c>
      <c r="I1454" s="7" t="str">
        <f>IF(AND(ISBLANK(D1454),ISBLANK(C1454)),"",((VLOOKUP(D1454,Cardápio!$A$2:$C$16,3,0))*E1454)+IF(B1454="iFood",F1454*0.27,(VLOOKUP(VENDAS!C1454,Bairros!$A$2:$B$90,2,0))))</f>
        <v/>
      </c>
      <c r="J1454" s="7" t="str">
        <f t="shared" si="89"/>
        <v/>
      </c>
      <c r="K1454" s="9">
        <f t="shared" ca="1" si="90"/>
        <v>45404.878290162036</v>
      </c>
      <c r="L1454" s="10">
        <f t="shared" ca="1" si="91"/>
        <v>45404.878290046297</v>
      </c>
    </row>
    <row r="1455" spans="6:12" x14ac:dyDescent="0.25">
      <c r="F1455" s="11" t="str">
        <f>IF(ISBLANK(D1455),"",(VLOOKUP(D1455,Cardápio!$A$2:$B$16,2,0))*E1455)</f>
        <v/>
      </c>
      <c r="H1455" s="7" t="str">
        <f t="shared" si="88"/>
        <v/>
      </c>
      <c r="I1455" s="7" t="str">
        <f>IF(AND(ISBLANK(D1455),ISBLANK(C1455)),"",((VLOOKUP(D1455,Cardápio!$A$2:$C$16,3,0))*E1455)+IF(B1455="iFood",F1455*0.27,(VLOOKUP(VENDAS!C1455,Bairros!$A$2:$B$90,2,0))))</f>
        <v/>
      </c>
      <c r="J1455" s="7" t="str">
        <f t="shared" si="89"/>
        <v/>
      </c>
      <c r="K1455" s="9">
        <f t="shared" ca="1" si="90"/>
        <v>45404.878290162036</v>
      </c>
      <c r="L1455" s="10">
        <f t="shared" ca="1" si="91"/>
        <v>45404.878290046297</v>
      </c>
    </row>
    <row r="1456" spans="6:12" x14ac:dyDescent="0.25">
      <c r="F1456" s="11" t="str">
        <f>IF(ISBLANK(D1456),"",(VLOOKUP(D1456,Cardápio!$A$2:$B$16,2,0))*E1456)</f>
        <v/>
      </c>
      <c r="H1456" s="7" t="str">
        <f t="shared" si="88"/>
        <v/>
      </c>
      <c r="I1456" s="7" t="str">
        <f>IF(AND(ISBLANK(D1456),ISBLANK(C1456)),"",((VLOOKUP(D1456,Cardápio!$A$2:$C$16,3,0))*E1456)+IF(B1456="iFood",F1456*0.27,(VLOOKUP(VENDAS!C1456,Bairros!$A$2:$B$90,2,0))))</f>
        <v/>
      </c>
      <c r="J1456" s="7" t="str">
        <f t="shared" si="89"/>
        <v/>
      </c>
      <c r="K1456" s="9">
        <f t="shared" ca="1" si="90"/>
        <v>45404.878290162036</v>
      </c>
      <c r="L1456" s="10">
        <f t="shared" ca="1" si="91"/>
        <v>45404.878290046297</v>
      </c>
    </row>
    <row r="1457" spans="6:12" x14ac:dyDescent="0.25">
      <c r="F1457" s="11" t="str">
        <f>IF(ISBLANK(D1457),"",(VLOOKUP(D1457,Cardápio!$A$2:$B$16,2,0))*E1457)</f>
        <v/>
      </c>
      <c r="H1457" s="7" t="str">
        <f t="shared" si="88"/>
        <v/>
      </c>
      <c r="I1457" s="7" t="str">
        <f>IF(AND(ISBLANK(D1457),ISBLANK(C1457)),"",((VLOOKUP(D1457,Cardápio!$A$2:$C$16,3,0))*E1457)+IF(B1457="iFood",F1457*0.27,(VLOOKUP(VENDAS!C1457,Bairros!$A$2:$B$90,2,0))))</f>
        <v/>
      </c>
      <c r="J1457" s="7" t="str">
        <f t="shared" si="89"/>
        <v/>
      </c>
      <c r="K1457" s="9">
        <f t="shared" ca="1" si="90"/>
        <v>45404.878290162036</v>
      </c>
      <c r="L1457" s="10">
        <f t="shared" ca="1" si="91"/>
        <v>45404.878290046297</v>
      </c>
    </row>
    <row r="1458" spans="6:12" x14ac:dyDescent="0.25">
      <c r="F1458" s="11" t="str">
        <f>IF(ISBLANK(D1458),"",(VLOOKUP(D1458,Cardápio!$A$2:$B$16,2,0))*E1458)</f>
        <v/>
      </c>
      <c r="H1458" s="7" t="str">
        <f t="shared" si="88"/>
        <v/>
      </c>
      <c r="I1458" s="7" t="str">
        <f>IF(AND(ISBLANK(D1458),ISBLANK(C1458)),"",((VLOOKUP(D1458,Cardápio!$A$2:$C$16,3,0))*E1458)+IF(B1458="iFood",F1458*0.27,(VLOOKUP(VENDAS!C1458,Bairros!$A$2:$B$90,2,0))))</f>
        <v/>
      </c>
      <c r="J1458" s="7" t="str">
        <f t="shared" si="89"/>
        <v/>
      </c>
      <c r="K1458" s="9">
        <f t="shared" ca="1" si="90"/>
        <v>45404.878290162036</v>
      </c>
      <c r="L1458" s="10">
        <f t="shared" ca="1" si="91"/>
        <v>45404.878290046297</v>
      </c>
    </row>
    <row r="1459" spans="6:12" x14ac:dyDescent="0.25">
      <c r="F1459" s="11" t="str">
        <f>IF(ISBLANK(D1459),"",(VLOOKUP(D1459,Cardápio!$A$2:$B$16,2,0))*E1459)</f>
        <v/>
      </c>
      <c r="H1459" s="7" t="str">
        <f t="shared" si="88"/>
        <v/>
      </c>
      <c r="I1459" s="7" t="str">
        <f>IF(AND(ISBLANK(D1459),ISBLANK(C1459)),"",((VLOOKUP(D1459,Cardápio!$A$2:$C$16,3,0))*E1459)+IF(B1459="iFood",F1459*0.27,(VLOOKUP(VENDAS!C1459,Bairros!$A$2:$B$90,2,0))))</f>
        <v/>
      </c>
      <c r="J1459" s="7" t="str">
        <f t="shared" si="89"/>
        <v/>
      </c>
      <c r="K1459" s="9">
        <f t="shared" ca="1" si="90"/>
        <v>45404.878290162036</v>
      </c>
      <c r="L1459" s="10">
        <f t="shared" ca="1" si="91"/>
        <v>45404.878290046297</v>
      </c>
    </row>
    <row r="1460" spans="6:12" x14ac:dyDescent="0.25">
      <c r="F1460" s="11" t="str">
        <f>IF(ISBLANK(D1460),"",(VLOOKUP(D1460,Cardápio!$A$2:$B$16,2,0))*E1460)</f>
        <v/>
      </c>
      <c r="H1460" s="7" t="str">
        <f t="shared" si="88"/>
        <v/>
      </c>
      <c r="I1460" s="7" t="str">
        <f>IF(AND(ISBLANK(D1460),ISBLANK(C1460)),"",((VLOOKUP(D1460,Cardápio!$A$2:$C$16,3,0))*E1460)+IF(B1460="iFood",F1460*0.27,(VLOOKUP(VENDAS!C1460,Bairros!$A$2:$B$90,2,0))))</f>
        <v/>
      </c>
      <c r="J1460" s="7" t="str">
        <f t="shared" si="89"/>
        <v/>
      </c>
      <c r="K1460" s="9">
        <f t="shared" ca="1" si="90"/>
        <v>45404.878290162036</v>
      </c>
      <c r="L1460" s="10">
        <f t="shared" ca="1" si="91"/>
        <v>45404.878290046297</v>
      </c>
    </row>
    <row r="1461" spans="6:12" x14ac:dyDescent="0.25">
      <c r="F1461" s="11" t="str">
        <f>IF(ISBLANK(D1461),"",(VLOOKUP(D1461,Cardápio!$A$2:$B$16,2,0))*E1461)</f>
        <v/>
      </c>
      <c r="H1461" s="7" t="str">
        <f t="shared" ref="H1461:H1524" si="92">IF(ISBLANK(D1461),"",F1461-G1461)</f>
        <v/>
      </c>
      <c r="I1461" s="7" t="str">
        <f>IF(AND(ISBLANK(D1461),ISBLANK(C1461)),"",((VLOOKUP(D1461,Cardápio!$A$2:$C$16,3,0))*E1461)+IF(B1461="iFood",F1461*0.27,(VLOOKUP(VENDAS!C1461,Bairros!$A$2:$B$90,2,0))))</f>
        <v/>
      </c>
      <c r="J1461" s="7" t="str">
        <f t="shared" ref="J1461:J1524" si="93">IF(OR(AND(ISBLANK(H1461),ISBLANK(I1461)),(AND(H1461="",I1461=""))),"",H1461-I1461)</f>
        <v/>
      </c>
      <c r="K1461" s="9">
        <f t="shared" ref="K1461:K1524" ca="1" si="94">IF(D1461&lt;&gt;"",K1461,NOW())</f>
        <v>45404.878290162036</v>
      </c>
      <c r="L1461" s="10">
        <f t="shared" ref="L1461:L1524" ca="1" si="95">IF(D1461&lt;&gt;"",L1461,NOW())</f>
        <v>45404.878290046297</v>
      </c>
    </row>
    <row r="1462" spans="6:12" x14ac:dyDescent="0.25">
      <c r="F1462" s="11" t="str">
        <f>IF(ISBLANK(D1462),"",(VLOOKUP(D1462,Cardápio!$A$2:$B$16,2,0))*E1462)</f>
        <v/>
      </c>
      <c r="H1462" s="7" t="str">
        <f t="shared" si="92"/>
        <v/>
      </c>
      <c r="I1462" s="7" t="str">
        <f>IF(AND(ISBLANK(D1462),ISBLANK(C1462)),"",((VLOOKUP(D1462,Cardápio!$A$2:$C$16,3,0))*E1462)+IF(B1462="iFood",F1462*0.27,(VLOOKUP(VENDAS!C1462,Bairros!$A$2:$B$90,2,0))))</f>
        <v/>
      </c>
      <c r="J1462" s="7" t="str">
        <f t="shared" si="93"/>
        <v/>
      </c>
      <c r="K1462" s="9">
        <f t="shared" ca="1" si="94"/>
        <v>45404.878290162036</v>
      </c>
      <c r="L1462" s="10">
        <f t="shared" ca="1" si="95"/>
        <v>45404.878290046297</v>
      </c>
    </row>
    <row r="1463" spans="6:12" x14ac:dyDescent="0.25">
      <c r="F1463" s="11" t="str">
        <f>IF(ISBLANK(D1463),"",(VLOOKUP(D1463,Cardápio!$A$2:$B$16,2,0))*E1463)</f>
        <v/>
      </c>
      <c r="H1463" s="7" t="str">
        <f t="shared" si="92"/>
        <v/>
      </c>
      <c r="I1463" s="7" t="str">
        <f>IF(AND(ISBLANK(D1463),ISBLANK(C1463)),"",((VLOOKUP(D1463,Cardápio!$A$2:$C$16,3,0))*E1463)+IF(B1463="iFood",F1463*0.27,(VLOOKUP(VENDAS!C1463,Bairros!$A$2:$B$90,2,0))))</f>
        <v/>
      </c>
      <c r="J1463" s="7" t="str">
        <f t="shared" si="93"/>
        <v/>
      </c>
      <c r="K1463" s="9">
        <f t="shared" ca="1" si="94"/>
        <v>45404.878290162036</v>
      </c>
      <c r="L1463" s="10">
        <f t="shared" ca="1" si="95"/>
        <v>45404.878290046297</v>
      </c>
    </row>
    <row r="1464" spans="6:12" x14ac:dyDescent="0.25">
      <c r="F1464" s="11" t="str">
        <f>IF(ISBLANK(D1464),"",(VLOOKUP(D1464,Cardápio!$A$2:$B$16,2,0))*E1464)</f>
        <v/>
      </c>
      <c r="H1464" s="7" t="str">
        <f t="shared" si="92"/>
        <v/>
      </c>
      <c r="I1464" s="7" t="str">
        <f>IF(AND(ISBLANK(D1464),ISBLANK(C1464)),"",((VLOOKUP(D1464,Cardápio!$A$2:$C$16,3,0))*E1464)+IF(B1464="iFood",F1464*0.27,(VLOOKUP(VENDAS!C1464,Bairros!$A$2:$B$90,2,0))))</f>
        <v/>
      </c>
      <c r="J1464" s="7" t="str">
        <f t="shared" si="93"/>
        <v/>
      </c>
      <c r="K1464" s="9">
        <f t="shared" ca="1" si="94"/>
        <v>45404.878290162036</v>
      </c>
      <c r="L1464" s="10">
        <f t="shared" ca="1" si="95"/>
        <v>45404.878290046297</v>
      </c>
    </row>
    <row r="1465" spans="6:12" x14ac:dyDescent="0.25">
      <c r="F1465" s="11" t="str">
        <f>IF(ISBLANK(D1465),"",(VLOOKUP(D1465,Cardápio!$A$2:$B$16,2,0))*E1465)</f>
        <v/>
      </c>
      <c r="H1465" s="7" t="str">
        <f t="shared" si="92"/>
        <v/>
      </c>
      <c r="I1465" s="7" t="str">
        <f>IF(AND(ISBLANK(D1465),ISBLANK(C1465)),"",((VLOOKUP(D1465,Cardápio!$A$2:$C$16,3,0))*E1465)+IF(B1465="iFood",F1465*0.27,(VLOOKUP(VENDAS!C1465,Bairros!$A$2:$B$90,2,0))))</f>
        <v/>
      </c>
      <c r="J1465" s="7" t="str">
        <f t="shared" si="93"/>
        <v/>
      </c>
      <c r="K1465" s="9">
        <f t="shared" ca="1" si="94"/>
        <v>45404.878290162036</v>
      </c>
      <c r="L1465" s="10">
        <f t="shared" ca="1" si="95"/>
        <v>45404.878290046297</v>
      </c>
    </row>
    <row r="1466" spans="6:12" x14ac:dyDescent="0.25">
      <c r="F1466" s="11" t="str">
        <f>IF(ISBLANK(D1466),"",(VLOOKUP(D1466,Cardápio!$A$2:$B$16,2,0))*E1466)</f>
        <v/>
      </c>
      <c r="H1466" s="7" t="str">
        <f t="shared" si="92"/>
        <v/>
      </c>
      <c r="I1466" s="7" t="str">
        <f>IF(AND(ISBLANK(D1466),ISBLANK(C1466)),"",((VLOOKUP(D1466,Cardápio!$A$2:$C$16,3,0))*E1466)+IF(B1466="iFood",F1466*0.27,(VLOOKUP(VENDAS!C1466,Bairros!$A$2:$B$90,2,0))))</f>
        <v/>
      </c>
      <c r="J1466" s="7" t="str">
        <f t="shared" si="93"/>
        <v/>
      </c>
      <c r="K1466" s="9">
        <f t="shared" ca="1" si="94"/>
        <v>45404.878290162036</v>
      </c>
      <c r="L1466" s="10">
        <f t="shared" ca="1" si="95"/>
        <v>45404.878290046297</v>
      </c>
    </row>
    <row r="1467" spans="6:12" x14ac:dyDescent="0.25">
      <c r="F1467" s="11" t="str">
        <f>IF(ISBLANK(D1467),"",(VLOOKUP(D1467,Cardápio!$A$2:$B$16,2,0))*E1467)</f>
        <v/>
      </c>
      <c r="H1467" s="7" t="str">
        <f t="shared" si="92"/>
        <v/>
      </c>
      <c r="I1467" s="7" t="str">
        <f>IF(AND(ISBLANK(D1467),ISBLANK(C1467)),"",((VLOOKUP(D1467,Cardápio!$A$2:$C$16,3,0))*E1467)+IF(B1467="iFood",F1467*0.27,(VLOOKUP(VENDAS!C1467,Bairros!$A$2:$B$90,2,0))))</f>
        <v/>
      </c>
      <c r="J1467" s="7" t="str">
        <f t="shared" si="93"/>
        <v/>
      </c>
      <c r="K1467" s="9">
        <f t="shared" ca="1" si="94"/>
        <v>45404.878290162036</v>
      </c>
      <c r="L1467" s="10">
        <f t="shared" ca="1" si="95"/>
        <v>45404.878290046297</v>
      </c>
    </row>
    <row r="1468" spans="6:12" x14ac:dyDescent="0.25">
      <c r="F1468" s="11" t="str">
        <f>IF(ISBLANK(D1468),"",(VLOOKUP(D1468,Cardápio!$A$2:$B$16,2,0))*E1468)</f>
        <v/>
      </c>
      <c r="H1468" s="7" t="str">
        <f t="shared" si="92"/>
        <v/>
      </c>
      <c r="I1468" s="7" t="str">
        <f>IF(AND(ISBLANK(D1468),ISBLANK(C1468)),"",((VLOOKUP(D1468,Cardápio!$A$2:$C$16,3,0))*E1468)+IF(B1468="iFood",F1468*0.27,(VLOOKUP(VENDAS!C1468,Bairros!$A$2:$B$90,2,0))))</f>
        <v/>
      </c>
      <c r="J1468" s="7" t="str">
        <f t="shared" si="93"/>
        <v/>
      </c>
      <c r="K1468" s="9">
        <f t="shared" ca="1" si="94"/>
        <v>45404.878290162036</v>
      </c>
      <c r="L1468" s="10">
        <f t="shared" ca="1" si="95"/>
        <v>45404.878290046297</v>
      </c>
    </row>
    <row r="1469" spans="6:12" x14ac:dyDescent="0.25">
      <c r="F1469" s="11" t="str">
        <f>IF(ISBLANK(D1469),"",(VLOOKUP(D1469,Cardápio!$A$2:$B$16,2,0))*E1469)</f>
        <v/>
      </c>
      <c r="H1469" s="7" t="str">
        <f t="shared" si="92"/>
        <v/>
      </c>
      <c r="I1469" s="7" t="str">
        <f>IF(AND(ISBLANK(D1469),ISBLANK(C1469)),"",((VLOOKUP(D1469,Cardápio!$A$2:$C$16,3,0))*E1469)+IF(B1469="iFood",F1469*0.27,(VLOOKUP(VENDAS!C1469,Bairros!$A$2:$B$90,2,0))))</f>
        <v/>
      </c>
      <c r="J1469" s="7" t="str">
        <f t="shared" si="93"/>
        <v/>
      </c>
      <c r="K1469" s="9">
        <f t="shared" ca="1" si="94"/>
        <v>45404.878290162036</v>
      </c>
      <c r="L1469" s="10">
        <f t="shared" ca="1" si="95"/>
        <v>45404.878290046297</v>
      </c>
    </row>
    <row r="1470" spans="6:12" x14ac:dyDescent="0.25">
      <c r="F1470" s="11" t="str">
        <f>IF(ISBLANK(D1470),"",(VLOOKUP(D1470,Cardápio!$A$2:$B$16,2,0))*E1470)</f>
        <v/>
      </c>
      <c r="H1470" s="7" t="str">
        <f t="shared" si="92"/>
        <v/>
      </c>
      <c r="I1470" s="7" t="str">
        <f>IF(AND(ISBLANK(D1470),ISBLANK(C1470)),"",((VLOOKUP(D1470,Cardápio!$A$2:$C$16,3,0))*E1470)+IF(B1470="iFood",F1470*0.27,(VLOOKUP(VENDAS!C1470,Bairros!$A$2:$B$90,2,0))))</f>
        <v/>
      </c>
      <c r="J1470" s="7" t="str">
        <f t="shared" si="93"/>
        <v/>
      </c>
      <c r="K1470" s="9">
        <f t="shared" ca="1" si="94"/>
        <v>45404.878290162036</v>
      </c>
      <c r="L1470" s="10">
        <f t="shared" ca="1" si="95"/>
        <v>45404.878290046297</v>
      </c>
    </row>
    <row r="1471" spans="6:12" x14ac:dyDescent="0.25">
      <c r="F1471" s="11" t="str">
        <f>IF(ISBLANK(D1471),"",(VLOOKUP(D1471,Cardápio!$A$2:$B$16,2,0))*E1471)</f>
        <v/>
      </c>
      <c r="H1471" s="7" t="str">
        <f t="shared" si="92"/>
        <v/>
      </c>
      <c r="I1471" s="7" t="str">
        <f>IF(AND(ISBLANK(D1471),ISBLANK(C1471)),"",((VLOOKUP(D1471,Cardápio!$A$2:$C$16,3,0))*E1471)+IF(B1471="iFood",F1471*0.27,(VLOOKUP(VENDAS!C1471,Bairros!$A$2:$B$90,2,0))))</f>
        <v/>
      </c>
      <c r="J1471" s="7" t="str">
        <f t="shared" si="93"/>
        <v/>
      </c>
      <c r="K1471" s="9">
        <f t="shared" ca="1" si="94"/>
        <v>45404.878290162036</v>
      </c>
      <c r="L1471" s="10">
        <f t="shared" ca="1" si="95"/>
        <v>45404.878290046297</v>
      </c>
    </row>
    <row r="1472" spans="6:12" x14ac:dyDescent="0.25">
      <c r="F1472" s="11" t="str">
        <f>IF(ISBLANK(D1472),"",(VLOOKUP(D1472,Cardápio!$A$2:$B$16,2,0))*E1472)</f>
        <v/>
      </c>
      <c r="H1472" s="7" t="str">
        <f t="shared" si="92"/>
        <v/>
      </c>
      <c r="I1472" s="7" t="str">
        <f>IF(AND(ISBLANK(D1472),ISBLANK(C1472)),"",((VLOOKUP(D1472,Cardápio!$A$2:$C$16,3,0))*E1472)+IF(B1472="iFood",F1472*0.27,(VLOOKUP(VENDAS!C1472,Bairros!$A$2:$B$90,2,0))))</f>
        <v/>
      </c>
      <c r="J1472" s="7" t="str">
        <f t="shared" si="93"/>
        <v/>
      </c>
      <c r="K1472" s="9">
        <f t="shared" ca="1" si="94"/>
        <v>45404.878290162036</v>
      </c>
      <c r="L1472" s="10">
        <f t="shared" ca="1" si="95"/>
        <v>45404.878290046297</v>
      </c>
    </row>
    <row r="1473" spans="6:12" x14ac:dyDescent="0.25">
      <c r="F1473" s="11" t="str">
        <f>IF(ISBLANK(D1473),"",(VLOOKUP(D1473,Cardápio!$A$2:$B$16,2,0))*E1473)</f>
        <v/>
      </c>
      <c r="H1473" s="7" t="str">
        <f t="shared" si="92"/>
        <v/>
      </c>
      <c r="I1473" s="7" t="str">
        <f>IF(AND(ISBLANK(D1473),ISBLANK(C1473)),"",((VLOOKUP(D1473,Cardápio!$A$2:$C$16,3,0))*E1473)+IF(B1473="iFood",F1473*0.27,(VLOOKUP(VENDAS!C1473,Bairros!$A$2:$B$90,2,0))))</f>
        <v/>
      </c>
      <c r="J1473" s="7" t="str">
        <f t="shared" si="93"/>
        <v/>
      </c>
      <c r="K1473" s="9">
        <f t="shared" ca="1" si="94"/>
        <v>45404.878290162036</v>
      </c>
      <c r="L1473" s="10">
        <f t="shared" ca="1" si="95"/>
        <v>45404.878290046297</v>
      </c>
    </row>
    <row r="1474" spans="6:12" x14ac:dyDescent="0.25">
      <c r="F1474" s="11" t="str">
        <f>IF(ISBLANK(D1474),"",(VLOOKUP(D1474,Cardápio!$A$2:$B$16,2,0))*E1474)</f>
        <v/>
      </c>
      <c r="H1474" s="7" t="str">
        <f t="shared" si="92"/>
        <v/>
      </c>
      <c r="I1474" s="7" t="str">
        <f>IF(AND(ISBLANK(D1474),ISBLANK(C1474)),"",((VLOOKUP(D1474,Cardápio!$A$2:$C$16,3,0))*E1474)+IF(B1474="iFood",F1474*0.27,(VLOOKUP(VENDAS!C1474,Bairros!$A$2:$B$90,2,0))))</f>
        <v/>
      </c>
      <c r="J1474" s="7" t="str">
        <f t="shared" si="93"/>
        <v/>
      </c>
      <c r="K1474" s="9">
        <f t="shared" ca="1" si="94"/>
        <v>45404.878290162036</v>
      </c>
      <c r="L1474" s="10">
        <f t="shared" ca="1" si="95"/>
        <v>45404.878290046297</v>
      </c>
    </row>
    <row r="1475" spans="6:12" x14ac:dyDescent="0.25">
      <c r="F1475" s="11" t="str">
        <f>IF(ISBLANK(D1475),"",(VLOOKUP(D1475,Cardápio!$A$2:$B$16,2,0))*E1475)</f>
        <v/>
      </c>
      <c r="H1475" s="7" t="str">
        <f t="shared" si="92"/>
        <v/>
      </c>
      <c r="I1475" s="7" t="str">
        <f>IF(AND(ISBLANK(D1475),ISBLANK(C1475)),"",((VLOOKUP(D1475,Cardápio!$A$2:$C$16,3,0))*E1475)+IF(B1475="iFood",F1475*0.27,(VLOOKUP(VENDAS!C1475,Bairros!$A$2:$B$90,2,0))))</f>
        <v/>
      </c>
      <c r="J1475" s="7" t="str">
        <f t="shared" si="93"/>
        <v/>
      </c>
      <c r="K1475" s="9">
        <f t="shared" ca="1" si="94"/>
        <v>45404.878290162036</v>
      </c>
      <c r="L1475" s="10">
        <f t="shared" ca="1" si="95"/>
        <v>45404.878290046297</v>
      </c>
    </row>
    <row r="1476" spans="6:12" x14ac:dyDescent="0.25">
      <c r="F1476" s="11" t="str">
        <f>IF(ISBLANK(D1476),"",(VLOOKUP(D1476,Cardápio!$A$2:$B$16,2,0))*E1476)</f>
        <v/>
      </c>
      <c r="H1476" s="7" t="str">
        <f t="shared" si="92"/>
        <v/>
      </c>
      <c r="I1476" s="7" t="str">
        <f>IF(AND(ISBLANK(D1476),ISBLANK(C1476)),"",((VLOOKUP(D1476,Cardápio!$A$2:$C$16,3,0))*E1476)+IF(B1476="iFood",F1476*0.27,(VLOOKUP(VENDAS!C1476,Bairros!$A$2:$B$90,2,0))))</f>
        <v/>
      </c>
      <c r="J1476" s="7" t="str">
        <f t="shared" si="93"/>
        <v/>
      </c>
      <c r="K1476" s="9">
        <f t="shared" ca="1" si="94"/>
        <v>45404.878290162036</v>
      </c>
      <c r="L1476" s="10">
        <f t="shared" ca="1" si="95"/>
        <v>45404.878290046297</v>
      </c>
    </row>
    <row r="1477" spans="6:12" x14ac:dyDescent="0.25">
      <c r="F1477" s="11" t="str">
        <f>IF(ISBLANK(D1477),"",(VLOOKUP(D1477,Cardápio!$A$2:$B$16,2,0))*E1477)</f>
        <v/>
      </c>
      <c r="H1477" s="7" t="str">
        <f t="shared" si="92"/>
        <v/>
      </c>
      <c r="I1477" s="7" t="str">
        <f>IF(AND(ISBLANK(D1477),ISBLANK(C1477)),"",((VLOOKUP(D1477,Cardápio!$A$2:$C$16,3,0))*E1477)+IF(B1477="iFood",F1477*0.27,(VLOOKUP(VENDAS!C1477,Bairros!$A$2:$B$90,2,0))))</f>
        <v/>
      </c>
      <c r="J1477" s="7" t="str">
        <f t="shared" si="93"/>
        <v/>
      </c>
      <c r="K1477" s="9">
        <f t="shared" ca="1" si="94"/>
        <v>45404.878290162036</v>
      </c>
      <c r="L1477" s="10">
        <f t="shared" ca="1" si="95"/>
        <v>45404.878290046297</v>
      </c>
    </row>
    <row r="1478" spans="6:12" x14ac:dyDescent="0.25">
      <c r="F1478" s="11" t="str">
        <f>IF(ISBLANK(D1478),"",(VLOOKUP(D1478,Cardápio!$A$2:$B$16,2,0))*E1478)</f>
        <v/>
      </c>
      <c r="H1478" s="7" t="str">
        <f t="shared" si="92"/>
        <v/>
      </c>
      <c r="I1478" s="7" t="str">
        <f>IF(AND(ISBLANK(D1478),ISBLANK(C1478)),"",((VLOOKUP(D1478,Cardápio!$A$2:$C$16,3,0))*E1478)+IF(B1478="iFood",F1478*0.27,(VLOOKUP(VENDAS!C1478,Bairros!$A$2:$B$90,2,0))))</f>
        <v/>
      </c>
      <c r="J1478" s="7" t="str">
        <f t="shared" si="93"/>
        <v/>
      </c>
      <c r="K1478" s="9">
        <f t="shared" ca="1" si="94"/>
        <v>45404.878290162036</v>
      </c>
      <c r="L1478" s="10">
        <f t="shared" ca="1" si="95"/>
        <v>45404.878290046297</v>
      </c>
    </row>
    <row r="1479" spans="6:12" x14ac:dyDescent="0.25">
      <c r="F1479" s="11" t="str">
        <f>IF(ISBLANK(D1479),"",(VLOOKUP(D1479,Cardápio!$A$2:$B$16,2,0))*E1479)</f>
        <v/>
      </c>
      <c r="H1479" s="7" t="str">
        <f t="shared" si="92"/>
        <v/>
      </c>
      <c r="I1479" s="7" t="str">
        <f>IF(AND(ISBLANK(D1479),ISBLANK(C1479)),"",((VLOOKUP(D1479,Cardápio!$A$2:$C$16,3,0))*E1479)+IF(B1479="iFood",F1479*0.27,(VLOOKUP(VENDAS!C1479,Bairros!$A$2:$B$90,2,0))))</f>
        <v/>
      </c>
      <c r="J1479" s="7" t="str">
        <f t="shared" si="93"/>
        <v/>
      </c>
      <c r="K1479" s="9">
        <f t="shared" ca="1" si="94"/>
        <v>45404.878290162036</v>
      </c>
      <c r="L1479" s="10">
        <f t="shared" ca="1" si="95"/>
        <v>45404.878290046297</v>
      </c>
    </row>
    <row r="1480" spans="6:12" x14ac:dyDescent="0.25">
      <c r="F1480" s="11" t="str">
        <f>IF(ISBLANK(D1480),"",(VLOOKUP(D1480,Cardápio!$A$2:$B$16,2,0))*E1480)</f>
        <v/>
      </c>
      <c r="H1480" s="7" t="str">
        <f t="shared" si="92"/>
        <v/>
      </c>
      <c r="I1480" s="7" t="str">
        <f>IF(AND(ISBLANK(D1480),ISBLANK(C1480)),"",((VLOOKUP(D1480,Cardápio!$A$2:$C$16,3,0))*E1480)+IF(B1480="iFood",F1480*0.27,(VLOOKUP(VENDAS!C1480,Bairros!$A$2:$B$90,2,0))))</f>
        <v/>
      </c>
      <c r="J1480" s="7" t="str">
        <f t="shared" si="93"/>
        <v/>
      </c>
      <c r="K1480" s="9">
        <f t="shared" ca="1" si="94"/>
        <v>45404.878290162036</v>
      </c>
      <c r="L1480" s="10">
        <f t="shared" ca="1" si="95"/>
        <v>45404.878290046297</v>
      </c>
    </row>
    <row r="1481" spans="6:12" x14ac:dyDescent="0.25">
      <c r="F1481" s="11" t="str">
        <f>IF(ISBLANK(D1481),"",(VLOOKUP(D1481,Cardápio!$A$2:$B$16,2,0))*E1481)</f>
        <v/>
      </c>
      <c r="H1481" s="7" t="str">
        <f t="shared" si="92"/>
        <v/>
      </c>
      <c r="I1481" s="7" t="str">
        <f>IF(AND(ISBLANK(D1481),ISBLANK(C1481)),"",((VLOOKUP(D1481,Cardápio!$A$2:$C$16,3,0))*E1481)+IF(B1481="iFood",F1481*0.27,(VLOOKUP(VENDAS!C1481,Bairros!$A$2:$B$90,2,0))))</f>
        <v/>
      </c>
      <c r="J1481" s="7" t="str">
        <f t="shared" si="93"/>
        <v/>
      </c>
      <c r="K1481" s="9">
        <f t="shared" ca="1" si="94"/>
        <v>45404.878290162036</v>
      </c>
      <c r="L1481" s="10">
        <f t="shared" ca="1" si="95"/>
        <v>45404.878290046297</v>
      </c>
    </row>
    <row r="1482" spans="6:12" x14ac:dyDescent="0.25">
      <c r="F1482" s="11" t="str">
        <f>IF(ISBLANK(D1482),"",(VLOOKUP(D1482,Cardápio!$A$2:$B$16,2,0))*E1482)</f>
        <v/>
      </c>
      <c r="H1482" s="7" t="str">
        <f t="shared" si="92"/>
        <v/>
      </c>
      <c r="I1482" s="7" t="str">
        <f>IF(AND(ISBLANK(D1482),ISBLANK(C1482)),"",((VLOOKUP(D1482,Cardápio!$A$2:$C$16,3,0))*E1482)+IF(B1482="iFood",F1482*0.27,(VLOOKUP(VENDAS!C1482,Bairros!$A$2:$B$90,2,0))))</f>
        <v/>
      </c>
      <c r="J1482" s="7" t="str">
        <f t="shared" si="93"/>
        <v/>
      </c>
      <c r="K1482" s="9">
        <f t="shared" ca="1" si="94"/>
        <v>45404.878290162036</v>
      </c>
      <c r="L1482" s="10">
        <f t="shared" ca="1" si="95"/>
        <v>45404.878290046297</v>
      </c>
    </row>
    <row r="1483" spans="6:12" x14ac:dyDescent="0.25">
      <c r="F1483" s="11" t="str">
        <f>IF(ISBLANK(D1483),"",(VLOOKUP(D1483,Cardápio!$A$2:$B$16,2,0))*E1483)</f>
        <v/>
      </c>
      <c r="H1483" s="7" t="str">
        <f t="shared" si="92"/>
        <v/>
      </c>
      <c r="I1483" s="7" t="str">
        <f>IF(AND(ISBLANK(D1483),ISBLANK(C1483)),"",((VLOOKUP(D1483,Cardápio!$A$2:$C$16,3,0))*E1483)+IF(B1483="iFood",F1483*0.27,(VLOOKUP(VENDAS!C1483,Bairros!$A$2:$B$90,2,0))))</f>
        <v/>
      </c>
      <c r="J1483" s="7" t="str">
        <f t="shared" si="93"/>
        <v/>
      </c>
      <c r="K1483" s="9">
        <f t="shared" ca="1" si="94"/>
        <v>45404.878290162036</v>
      </c>
      <c r="L1483" s="10">
        <f t="shared" ca="1" si="95"/>
        <v>45404.878290046297</v>
      </c>
    </row>
    <row r="1484" spans="6:12" x14ac:dyDescent="0.25">
      <c r="F1484" s="11" t="str">
        <f>IF(ISBLANK(D1484),"",(VLOOKUP(D1484,Cardápio!$A$2:$B$16,2,0))*E1484)</f>
        <v/>
      </c>
      <c r="H1484" s="7" t="str">
        <f t="shared" si="92"/>
        <v/>
      </c>
      <c r="I1484" s="7" t="str">
        <f>IF(AND(ISBLANK(D1484),ISBLANK(C1484)),"",((VLOOKUP(D1484,Cardápio!$A$2:$C$16,3,0))*E1484)+IF(B1484="iFood",F1484*0.27,(VLOOKUP(VENDAS!C1484,Bairros!$A$2:$B$90,2,0))))</f>
        <v/>
      </c>
      <c r="J1484" s="7" t="str">
        <f t="shared" si="93"/>
        <v/>
      </c>
      <c r="K1484" s="9">
        <f t="shared" ca="1" si="94"/>
        <v>45404.878290162036</v>
      </c>
      <c r="L1484" s="10">
        <f t="shared" ca="1" si="95"/>
        <v>45404.878290046297</v>
      </c>
    </row>
    <row r="1485" spans="6:12" x14ac:dyDescent="0.25">
      <c r="F1485" s="11" t="str">
        <f>IF(ISBLANK(D1485),"",(VLOOKUP(D1485,Cardápio!$A$2:$B$16,2,0))*E1485)</f>
        <v/>
      </c>
      <c r="H1485" s="7" t="str">
        <f t="shared" si="92"/>
        <v/>
      </c>
      <c r="I1485" s="7" t="str">
        <f>IF(AND(ISBLANK(D1485),ISBLANK(C1485)),"",((VLOOKUP(D1485,Cardápio!$A$2:$C$16,3,0))*E1485)+IF(B1485="iFood",F1485*0.27,(VLOOKUP(VENDAS!C1485,Bairros!$A$2:$B$90,2,0))))</f>
        <v/>
      </c>
      <c r="J1485" s="7" t="str">
        <f t="shared" si="93"/>
        <v/>
      </c>
      <c r="K1485" s="9">
        <f t="shared" ca="1" si="94"/>
        <v>45404.878290162036</v>
      </c>
      <c r="L1485" s="10">
        <f t="shared" ca="1" si="95"/>
        <v>45404.878290046297</v>
      </c>
    </row>
    <row r="1486" spans="6:12" x14ac:dyDescent="0.25">
      <c r="F1486" s="11" t="str">
        <f>IF(ISBLANK(D1486),"",(VLOOKUP(D1486,Cardápio!$A$2:$B$16,2,0))*E1486)</f>
        <v/>
      </c>
      <c r="H1486" s="7" t="str">
        <f t="shared" si="92"/>
        <v/>
      </c>
      <c r="I1486" s="7" t="str">
        <f>IF(AND(ISBLANK(D1486),ISBLANK(C1486)),"",((VLOOKUP(D1486,Cardápio!$A$2:$C$16,3,0))*E1486)+IF(B1486="iFood",F1486*0.27,(VLOOKUP(VENDAS!C1486,Bairros!$A$2:$B$90,2,0))))</f>
        <v/>
      </c>
      <c r="J1486" s="7" t="str">
        <f t="shared" si="93"/>
        <v/>
      </c>
      <c r="K1486" s="9">
        <f t="shared" ca="1" si="94"/>
        <v>45404.878290162036</v>
      </c>
      <c r="L1486" s="10">
        <f t="shared" ca="1" si="95"/>
        <v>45404.878290046297</v>
      </c>
    </row>
    <row r="1487" spans="6:12" x14ac:dyDescent="0.25">
      <c r="F1487" s="11" t="str">
        <f>IF(ISBLANK(D1487),"",(VLOOKUP(D1487,Cardápio!$A$2:$B$16,2,0))*E1487)</f>
        <v/>
      </c>
      <c r="H1487" s="7" t="str">
        <f t="shared" si="92"/>
        <v/>
      </c>
      <c r="I1487" s="7" t="str">
        <f>IF(AND(ISBLANK(D1487),ISBLANK(C1487)),"",((VLOOKUP(D1487,Cardápio!$A$2:$C$16,3,0))*E1487)+IF(B1487="iFood",F1487*0.27,(VLOOKUP(VENDAS!C1487,Bairros!$A$2:$B$90,2,0))))</f>
        <v/>
      </c>
      <c r="J1487" s="7" t="str">
        <f t="shared" si="93"/>
        <v/>
      </c>
      <c r="K1487" s="9">
        <f t="shared" ca="1" si="94"/>
        <v>45404.878290162036</v>
      </c>
      <c r="L1487" s="10">
        <f t="shared" ca="1" si="95"/>
        <v>45404.878290046297</v>
      </c>
    </row>
    <row r="1488" spans="6:12" x14ac:dyDescent="0.25">
      <c r="F1488" s="11" t="str">
        <f>IF(ISBLANK(D1488),"",(VLOOKUP(D1488,Cardápio!$A$2:$B$16,2,0))*E1488)</f>
        <v/>
      </c>
      <c r="H1488" s="7" t="str">
        <f t="shared" si="92"/>
        <v/>
      </c>
      <c r="I1488" s="7" t="str">
        <f>IF(AND(ISBLANK(D1488),ISBLANK(C1488)),"",((VLOOKUP(D1488,Cardápio!$A$2:$C$16,3,0))*E1488)+IF(B1488="iFood",F1488*0.27,(VLOOKUP(VENDAS!C1488,Bairros!$A$2:$B$90,2,0))))</f>
        <v/>
      </c>
      <c r="J1488" s="7" t="str">
        <f t="shared" si="93"/>
        <v/>
      </c>
      <c r="K1488" s="9">
        <f t="shared" ca="1" si="94"/>
        <v>45404.878290162036</v>
      </c>
      <c r="L1488" s="10">
        <f t="shared" ca="1" si="95"/>
        <v>45404.878290046297</v>
      </c>
    </row>
    <row r="1489" spans="6:12" x14ac:dyDescent="0.25">
      <c r="F1489" s="11" t="str">
        <f>IF(ISBLANK(D1489),"",(VLOOKUP(D1489,Cardápio!$A$2:$B$16,2,0))*E1489)</f>
        <v/>
      </c>
      <c r="H1489" s="7" t="str">
        <f t="shared" si="92"/>
        <v/>
      </c>
      <c r="I1489" s="7" t="str">
        <f>IF(AND(ISBLANK(D1489),ISBLANK(C1489)),"",((VLOOKUP(D1489,Cardápio!$A$2:$C$16,3,0))*E1489)+IF(B1489="iFood",F1489*0.27,(VLOOKUP(VENDAS!C1489,Bairros!$A$2:$B$90,2,0))))</f>
        <v/>
      </c>
      <c r="J1489" s="7" t="str">
        <f t="shared" si="93"/>
        <v/>
      </c>
      <c r="K1489" s="9">
        <f t="shared" ca="1" si="94"/>
        <v>45404.878290162036</v>
      </c>
      <c r="L1489" s="10">
        <f t="shared" ca="1" si="95"/>
        <v>45404.878290046297</v>
      </c>
    </row>
    <row r="1490" spans="6:12" x14ac:dyDescent="0.25">
      <c r="F1490" s="11" t="str">
        <f>IF(ISBLANK(D1490),"",(VLOOKUP(D1490,Cardápio!$A$2:$B$16,2,0))*E1490)</f>
        <v/>
      </c>
      <c r="H1490" s="7" t="str">
        <f t="shared" si="92"/>
        <v/>
      </c>
      <c r="I1490" s="7" t="str">
        <f>IF(AND(ISBLANK(D1490),ISBLANK(C1490)),"",((VLOOKUP(D1490,Cardápio!$A$2:$C$16,3,0))*E1490)+IF(B1490="iFood",F1490*0.27,(VLOOKUP(VENDAS!C1490,Bairros!$A$2:$B$90,2,0))))</f>
        <v/>
      </c>
      <c r="J1490" s="7" t="str">
        <f t="shared" si="93"/>
        <v/>
      </c>
      <c r="K1490" s="9">
        <f t="shared" ca="1" si="94"/>
        <v>45404.878290162036</v>
      </c>
      <c r="L1490" s="10">
        <f t="shared" ca="1" si="95"/>
        <v>45404.878290046297</v>
      </c>
    </row>
    <row r="1491" spans="6:12" x14ac:dyDescent="0.25">
      <c r="F1491" s="11" t="str">
        <f>IF(ISBLANK(D1491),"",(VLOOKUP(D1491,Cardápio!$A$2:$B$16,2,0))*E1491)</f>
        <v/>
      </c>
      <c r="H1491" s="7" t="str">
        <f t="shared" si="92"/>
        <v/>
      </c>
      <c r="I1491" s="7" t="str">
        <f>IF(AND(ISBLANK(D1491),ISBLANK(C1491)),"",((VLOOKUP(D1491,Cardápio!$A$2:$C$16,3,0))*E1491)+IF(B1491="iFood",F1491*0.27,(VLOOKUP(VENDAS!C1491,Bairros!$A$2:$B$90,2,0))))</f>
        <v/>
      </c>
      <c r="J1491" s="7" t="str">
        <f t="shared" si="93"/>
        <v/>
      </c>
      <c r="K1491" s="9">
        <f t="shared" ca="1" si="94"/>
        <v>45404.878290162036</v>
      </c>
      <c r="L1491" s="10">
        <f t="shared" ca="1" si="95"/>
        <v>45404.878290046297</v>
      </c>
    </row>
    <row r="1492" spans="6:12" x14ac:dyDescent="0.25">
      <c r="F1492" s="11" t="str">
        <f>IF(ISBLANK(D1492),"",(VLOOKUP(D1492,Cardápio!$A$2:$B$16,2,0))*E1492)</f>
        <v/>
      </c>
      <c r="H1492" s="7" t="str">
        <f t="shared" si="92"/>
        <v/>
      </c>
      <c r="I1492" s="7" t="str">
        <f>IF(AND(ISBLANK(D1492),ISBLANK(C1492)),"",((VLOOKUP(D1492,Cardápio!$A$2:$C$16,3,0))*E1492)+IF(B1492="iFood",F1492*0.27,(VLOOKUP(VENDAS!C1492,Bairros!$A$2:$B$90,2,0))))</f>
        <v/>
      </c>
      <c r="J1492" s="7" t="str">
        <f t="shared" si="93"/>
        <v/>
      </c>
      <c r="K1492" s="9">
        <f t="shared" ca="1" si="94"/>
        <v>45404.878290162036</v>
      </c>
      <c r="L1492" s="10">
        <f t="shared" ca="1" si="95"/>
        <v>45404.878290046297</v>
      </c>
    </row>
    <row r="1493" spans="6:12" x14ac:dyDescent="0.25">
      <c r="F1493" s="11" t="str">
        <f>IF(ISBLANK(D1493),"",(VLOOKUP(D1493,Cardápio!$A$2:$B$16,2,0))*E1493)</f>
        <v/>
      </c>
      <c r="H1493" s="7" t="str">
        <f t="shared" si="92"/>
        <v/>
      </c>
      <c r="I1493" s="7" t="str">
        <f>IF(AND(ISBLANK(D1493),ISBLANK(C1493)),"",((VLOOKUP(D1493,Cardápio!$A$2:$C$16,3,0))*E1493)+IF(B1493="iFood",F1493*0.27,(VLOOKUP(VENDAS!C1493,Bairros!$A$2:$B$90,2,0))))</f>
        <v/>
      </c>
      <c r="J1493" s="7" t="str">
        <f t="shared" si="93"/>
        <v/>
      </c>
      <c r="K1493" s="9">
        <f t="shared" ca="1" si="94"/>
        <v>45404.878290162036</v>
      </c>
      <c r="L1493" s="10">
        <f t="shared" ca="1" si="95"/>
        <v>45404.878290046297</v>
      </c>
    </row>
    <row r="1494" spans="6:12" x14ac:dyDescent="0.25">
      <c r="F1494" s="11" t="str">
        <f>IF(ISBLANK(D1494),"",(VLOOKUP(D1494,Cardápio!$A$2:$B$16,2,0))*E1494)</f>
        <v/>
      </c>
      <c r="H1494" s="7" t="str">
        <f t="shared" si="92"/>
        <v/>
      </c>
      <c r="I1494" s="7" t="str">
        <f>IF(AND(ISBLANK(D1494),ISBLANK(C1494)),"",((VLOOKUP(D1494,Cardápio!$A$2:$C$16,3,0))*E1494)+IF(B1494="iFood",F1494*0.27,(VLOOKUP(VENDAS!C1494,Bairros!$A$2:$B$90,2,0))))</f>
        <v/>
      </c>
      <c r="J1494" s="7" t="str">
        <f t="shared" si="93"/>
        <v/>
      </c>
      <c r="K1494" s="9">
        <f t="shared" ca="1" si="94"/>
        <v>45404.878290162036</v>
      </c>
      <c r="L1494" s="10">
        <f t="shared" ca="1" si="95"/>
        <v>45404.878290046297</v>
      </c>
    </row>
    <row r="1495" spans="6:12" x14ac:dyDescent="0.25">
      <c r="F1495" s="11" t="str">
        <f>IF(ISBLANK(D1495),"",(VLOOKUP(D1495,Cardápio!$A$2:$B$16,2,0))*E1495)</f>
        <v/>
      </c>
      <c r="H1495" s="7" t="str">
        <f t="shared" si="92"/>
        <v/>
      </c>
      <c r="I1495" s="7" t="str">
        <f>IF(AND(ISBLANK(D1495),ISBLANK(C1495)),"",((VLOOKUP(D1495,Cardápio!$A$2:$C$16,3,0))*E1495)+IF(B1495="iFood",F1495*0.27,(VLOOKUP(VENDAS!C1495,Bairros!$A$2:$B$90,2,0))))</f>
        <v/>
      </c>
      <c r="J1495" s="7" t="str">
        <f t="shared" si="93"/>
        <v/>
      </c>
      <c r="K1495" s="9">
        <f t="shared" ca="1" si="94"/>
        <v>45404.878290162036</v>
      </c>
      <c r="L1495" s="10">
        <f t="shared" ca="1" si="95"/>
        <v>45404.878290046297</v>
      </c>
    </row>
    <row r="1496" spans="6:12" x14ac:dyDescent="0.25">
      <c r="F1496" s="11" t="str">
        <f>IF(ISBLANK(D1496),"",(VLOOKUP(D1496,Cardápio!$A$2:$B$16,2,0))*E1496)</f>
        <v/>
      </c>
      <c r="H1496" s="7" t="str">
        <f t="shared" si="92"/>
        <v/>
      </c>
      <c r="I1496" s="7" t="str">
        <f>IF(AND(ISBLANK(D1496),ISBLANK(C1496)),"",((VLOOKUP(D1496,Cardápio!$A$2:$C$16,3,0))*E1496)+IF(B1496="iFood",F1496*0.27,(VLOOKUP(VENDAS!C1496,Bairros!$A$2:$B$90,2,0))))</f>
        <v/>
      </c>
      <c r="J1496" s="7" t="str">
        <f t="shared" si="93"/>
        <v/>
      </c>
      <c r="K1496" s="9">
        <f t="shared" ca="1" si="94"/>
        <v>45404.878290162036</v>
      </c>
      <c r="L1496" s="10">
        <f t="shared" ca="1" si="95"/>
        <v>45404.878290046297</v>
      </c>
    </row>
    <row r="1497" spans="6:12" x14ac:dyDescent="0.25">
      <c r="F1497" s="11" t="str">
        <f>IF(ISBLANK(D1497),"",(VLOOKUP(D1497,Cardápio!$A$2:$B$16,2,0))*E1497)</f>
        <v/>
      </c>
      <c r="H1497" s="7" t="str">
        <f t="shared" si="92"/>
        <v/>
      </c>
      <c r="I1497" s="7" t="str">
        <f>IF(AND(ISBLANK(D1497),ISBLANK(C1497)),"",((VLOOKUP(D1497,Cardápio!$A$2:$C$16,3,0))*E1497)+IF(B1497="iFood",F1497*0.27,(VLOOKUP(VENDAS!C1497,Bairros!$A$2:$B$90,2,0))))</f>
        <v/>
      </c>
      <c r="J1497" s="7" t="str">
        <f t="shared" si="93"/>
        <v/>
      </c>
      <c r="K1497" s="9">
        <f t="shared" ca="1" si="94"/>
        <v>45404.878290162036</v>
      </c>
      <c r="L1497" s="10">
        <f t="shared" ca="1" si="95"/>
        <v>45404.878290046297</v>
      </c>
    </row>
    <row r="1498" spans="6:12" x14ac:dyDescent="0.25">
      <c r="F1498" s="11" t="str">
        <f>IF(ISBLANK(D1498),"",(VLOOKUP(D1498,Cardápio!$A$2:$B$16,2,0))*E1498)</f>
        <v/>
      </c>
      <c r="H1498" s="7" t="str">
        <f t="shared" si="92"/>
        <v/>
      </c>
      <c r="I1498" s="7" t="str">
        <f>IF(AND(ISBLANK(D1498),ISBLANK(C1498)),"",((VLOOKUP(D1498,Cardápio!$A$2:$C$16,3,0))*E1498)+IF(B1498="iFood",F1498*0.27,(VLOOKUP(VENDAS!C1498,Bairros!$A$2:$B$90,2,0))))</f>
        <v/>
      </c>
      <c r="J1498" s="7" t="str">
        <f t="shared" si="93"/>
        <v/>
      </c>
      <c r="K1498" s="9">
        <f t="shared" ca="1" si="94"/>
        <v>45404.878290162036</v>
      </c>
      <c r="L1498" s="10">
        <f t="shared" ca="1" si="95"/>
        <v>45404.878290046297</v>
      </c>
    </row>
    <row r="1499" spans="6:12" x14ac:dyDescent="0.25">
      <c r="F1499" s="11" t="str">
        <f>IF(ISBLANK(D1499),"",(VLOOKUP(D1499,Cardápio!$A$2:$B$16,2,0))*E1499)</f>
        <v/>
      </c>
      <c r="H1499" s="7" t="str">
        <f t="shared" si="92"/>
        <v/>
      </c>
      <c r="I1499" s="7" t="str">
        <f>IF(AND(ISBLANK(D1499),ISBLANK(C1499)),"",((VLOOKUP(D1499,Cardápio!$A$2:$C$16,3,0))*E1499)+IF(B1499="iFood",F1499*0.27,(VLOOKUP(VENDAS!C1499,Bairros!$A$2:$B$90,2,0))))</f>
        <v/>
      </c>
      <c r="J1499" s="7" t="str">
        <f t="shared" si="93"/>
        <v/>
      </c>
      <c r="K1499" s="9">
        <f t="shared" ca="1" si="94"/>
        <v>45404.878290162036</v>
      </c>
      <c r="L1499" s="10">
        <f t="shared" ca="1" si="95"/>
        <v>45404.878290046297</v>
      </c>
    </row>
    <row r="1500" spans="6:12" x14ac:dyDescent="0.25">
      <c r="F1500" s="11" t="str">
        <f>IF(ISBLANK(D1500),"",(VLOOKUP(D1500,Cardápio!$A$2:$B$16,2,0))*E1500)</f>
        <v/>
      </c>
      <c r="H1500" s="7" t="str">
        <f t="shared" si="92"/>
        <v/>
      </c>
      <c r="I1500" s="7" t="str">
        <f>IF(AND(ISBLANK(D1500),ISBLANK(C1500)),"",((VLOOKUP(D1500,Cardápio!$A$2:$C$16,3,0))*E1500)+IF(B1500="iFood",F1500*0.27,(VLOOKUP(VENDAS!C1500,Bairros!$A$2:$B$90,2,0))))</f>
        <v/>
      </c>
      <c r="J1500" s="7" t="str">
        <f t="shared" si="93"/>
        <v/>
      </c>
      <c r="K1500" s="9">
        <f t="shared" ca="1" si="94"/>
        <v>45404.878290162036</v>
      </c>
      <c r="L1500" s="10">
        <f t="shared" ca="1" si="95"/>
        <v>45404.878290046297</v>
      </c>
    </row>
    <row r="1501" spans="6:12" x14ac:dyDescent="0.25">
      <c r="F1501" s="11" t="str">
        <f>IF(ISBLANK(D1501),"",(VLOOKUP(D1501,Cardápio!$A$2:$B$16,2,0))*E1501)</f>
        <v/>
      </c>
      <c r="H1501" s="7" t="str">
        <f t="shared" si="92"/>
        <v/>
      </c>
      <c r="I1501" s="7" t="str">
        <f>IF(AND(ISBLANK(D1501),ISBLANK(C1501)),"",((VLOOKUP(D1501,Cardápio!$A$2:$C$16,3,0))*E1501)+IF(B1501="iFood",F1501*0.27,(VLOOKUP(VENDAS!C1501,Bairros!$A$2:$B$90,2,0))))</f>
        <v/>
      </c>
      <c r="J1501" s="7" t="str">
        <f t="shared" si="93"/>
        <v/>
      </c>
      <c r="K1501" s="9">
        <f t="shared" ca="1" si="94"/>
        <v>45404.878290162036</v>
      </c>
      <c r="L1501" s="10">
        <f t="shared" ca="1" si="95"/>
        <v>45404.878290046297</v>
      </c>
    </row>
    <row r="1502" spans="6:12" x14ac:dyDescent="0.25">
      <c r="F1502" s="11" t="str">
        <f>IF(ISBLANK(D1502),"",(VLOOKUP(D1502,Cardápio!$A$2:$B$16,2,0))*E1502)</f>
        <v/>
      </c>
      <c r="H1502" s="7" t="str">
        <f t="shared" si="92"/>
        <v/>
      </c>
      <c r="I1502" s="7" t="str">
        <f>IF(AND(ISBLANK(D1502),ISBLANK(C1502)),"",((VLOOKUP(D1502,Cardápio!$A$2:$C$16,3,0))*E1502)+IF(B1502="iFood",F1502*0.27,(VLOOKUP(VENDAS!C1502,Bairros!$A$2:$B$90,2,0))))</f>
        <v/>
      </c>
      <c r="J1502" s="7" t="str">
        <f t="shared" si="93"/>
        <v/>
      </c>
      <c r="K1502" s="9">
        <f t="shared" ca="1" si="94"/>
        <v>45404.878290162036</v>
      </c>
      <c r="L1502" s="10">
        <f t="shared" ca="1" si="95"/>
        <v>45404.878290046297</v>
      </c>
    </row>
    <row r="1503" spans="6:12" x14ac:dyDescent="0.25">
      <c r="F1503" s="11" t="str">
        <f>IF(ISBLANK(D1503),"",(VLOOKUP(D1503,Cardápio!$A$2:$B$16,2,0))*E1503)</f>
        <v/>
      </c>
      <c r="H1503" s="7" t="str">
        <f t="shared" si="92"/>
        <v/>
      </c>
      <c r="I1503" s="7" t="str">
        <f>IF(AND(ISBLANK(D1503),ISBLANK(C1503)),"",((VLOOKUP(D1503,Cardápio!$A$2:$C$16,3,0))*E1503)+IF(B1503="iFood",F1503*0.27,(VLOOKUP(VENDAS!C1503,Bairros!$A$2:$B$90,2,0))))</f>
        <v/>
      </c>
      <c r="J1503" s="7" t="str">
        <f t="shared" si="93"/>
        <v/>
      </c>
      <c r="K1503" s="9">
        <f t="shared" ca="1" si="94"/>
        <v>45404.878290162036</v>
      </c>
      <c r="L1503" s="10">
        <f t="shared" ca="1" si="95"/>
        <v>45404.878290046297</v>
      </c>
    </row>
    <row r="1504" spans="6:12" x14ac:dyDescent="0.25">
      <c r="F1504" s="11" t="str">
        <f>IF(ISBLANK(D1504),"",(VLOOKUP(D1504,Cardápio!$A$2:$B$16,2,0))*E1504)</f>
        <v/>
      </c>
      <c r="H1504" s="7" t="str">
        <f t="shared" si="92"/>
        <v/>
      </c>
      <c r="I1504" s="7" t="str">
        <f>IF(AND(ISBLANK(D1504),ISBLANK(C1504)),"",((VLOOKUP(D1504,Cardápio!$A$2:$C$16,3,0))*E1504)+IF(B1504="iFood",F1504*0.27,(VLOOKUP(VENDAS!C1504,Bairros!$A$2:$B$90,2,0))))</f>
        <v/>
      </c>
      <c r="J1504" s="7" t="str">
        <f t="shared" si="93"/>
        <v/>
      </c>
      <c r="K1504" s="9">
        <f t="shared" ca="1" si="94"/>
        <v>45404.878290162036</v>
      </c>
      <c r="L1504" s="10">
        <f t="shared" ca="1" si="95"/>
        <v>45404.878290046297</v>
      </c>
    </row>
    <row r="1505" spans="6:12" x14ac:dyDescent="0.25">
      <c r="F1505" s="11" t="str">
        <f>IF(ISBLANK(D1505),"",(VLOOKUP(D1505,Cardápio!$A$2:$B$16,2,0))*E1505)</f>
        <v/>
      </c>
      <c r="H1505" s="7" t="str">
        <f t="shared" si="92"/>
        <v/>
      </c>
      <c r="I1505" s="7" t="str">
        <f>IF(AND(ISBLANK(D1505),ISBLANK(C1505)),"",((VLOOKUP(D1505,Cardápio!$A$2:$C$16,3,0))*E1505)+IF(B1505="iFood",F1505*0.27,(VLOOKUP(VENDAS!C1505,Bairros!$A$2:$B$90,2,0))))</f>
        <v/>
      </c>
      <c r="J1505" s="7" t="str">
        <f t="shared" si="93"/>
        <v/>
      </c>
      <c r="K1505" s="9">
        <f t="shared" ca="1" si="94"/>
        <v>45404.878290162036</v>
      </c>
      <c r="L1505" s="10">
        <f t="shared" ca="1" si="95"/>
        <v>45404.878290046297</v>
      </c>
    </row>
    <row r="1506" spans="6:12" x14ac:dyDescent="0.25">
      <c r="F1506" s="11" t="str">
        <f>IF(ISBLANK(D1506),"",(VLOOKUP(D1506,Cardápio!$A$2:$B$16,2,0))*E1506)</f>
        <v/>
      </c>
      <c r="H1506" s="7" t="str">
        <f t="shared" si="92"/>
        <v/>
      </c>
      <c r="I1506" s="7" t="str">
        <f>IF(AND(ISBLANK(D1506),ISBLANK(C1506)),"",((VLOOKUP(D1506,Cardápio!$A$2:$C$16,3,0))*E1506)+IF(B1506="iFood",F1506*0.27,(VLOOKUP(VENDAS!C1506,Bairros!$A$2:$B$90,2,0))))</f>
        <v/>
      </c>
      <c r="J1506" s="7" t="str">
        <f t="shared" si="93"/>
        <v/>
      </c>
      <c r="K1506" s="9">
        <f t="shared" ca="1" si="94"/>
        <v>45404.878290162036</v>
      </c>
      <c r="L1506" s="10">
        <f t="shared" ca="1" si="95"/>
        <v>45404.878290046297</v>
      </c>
    </row>
    <row r="1507" spans="6:12" x14ac:dyDescent="0.25">
      <c r="F1507" s="11" t="str">
        <f>IF(ISBLANK(D1507),"",(VLOOKUP(D1507,Cardápio!$A$2:$B$16,2,0))*E1507)</f>
        <v/>
      </c>
      <c r="H1507" s="7" t="str">
        <f t="shared" si="92"/>
        <v/>
      </c>
      <c r="I1507" s="7" t="str">
        <f>IF(AND(ISBLANK(D1507),ISBLANK(C1507)),"",((VLOOKUP(D1507,Cardápio!$A$2:$C$16,3,0))*E1507)+IF(B1507="iFood",F1507*0.27,(VLOOKUP(VENDAS!C1507,Bairros!$A$2:$B$90,2,0))))</f>
        <v/>
      </c>
      <c r="J1507" s="7" t="str">
        <f t="shared" si="93"/>
        <v/>
      </c>
      <c r="K1507" s="9">
        <f t="shared" ca="1" si="94"/>
        <v>45404.878290162036</v>
      </c>
      <c r="L1507" s="10">
        <f t="shared" ca="1" si="95"/>
        <v>45404.878290046297</v>
      </c>
    </row>
    <row r="1508" spans="6:12" x14ac:dyDescent="0.25">
      <c r="F1508" s="11" t="str">
        <f>IF(ISBLANK(D1508),"",(VLOOKUP(D1508,Cardápio!$A$2:$B$16,2,0))*E1508)</f>
        <v/>
      </c>
      <c r="H1508" s="7" t="str">
        <f t="shared" si="92"/>
        <v/>
      </c>
      <c r="I1508" s="7" t="str">
        <f>IF(AND(ISBLANK(D1508),ISBLANK(C1508)),"",((VLOOKUP(D1508,Cardápio!$A$2:$C$16,3,0))*E1508)+IF(B1508="iFood",F1508*0.27,(VLOOKUP(VENDAS!C1508,Bairros!$A$2:$B$90,2,0))))</f>
        <v/>
      </c>
      <c r="J1508" s="7" t="str">
        <f t="shared" si="93"/>
        <v/>
      </c>
      <c r="K1508" s="9">
        <f t="shared" ca="1" si="94"/>
        <v>45404.878290162036</v>
      </c>
      <c r="L1508" s="10">
        <f t="shared" ca="1" si="95"/>
        <v>45404.878290046297</v>
      </c>
    </row>
    <row r="1509" spans="6:12" x14ac:dyDescent="0.25">
      <c r="F1509" s="11" t="str">
        <f>IF(ISBLANK(D1509),"",(VLOOKUP(D1509,Cardápio!$A$2:$B$16,2,0))*E1509)</f>
        <v/>
      </c>
      <c r="H1509" s="7" t="str">
        <f t="shared" si="92"/>
        <v/>
      </c>
      <c r="I1509" s="7" t="str">
        <f>IF(AND(ISBLANK(D1509),ISBLANK(C1509)),"",((VLOOKUP(D1509,Cardápio!$A$2:$C$16,3,0))*E1509)+IF(B1509="iFood",F1509*0.27,(VLOOKUP(VENDAS!C1509,Bairros!$A$2:$B$90,2,0))))</f>
        <v/>
      </c>
      <c r="J1509" s="7" t="str">
        <f t="shared" si="93"/>
        <v/>
      </c>
      <c r="K1509" s="9">
        <f t="shared" ca="1" si="94"/>
        <v>45404.878290162036</v>
      </c>
      <c r="L1509" s="10">
        <f t="shared" ca="1" si="95"/>
        <v>45404.878290046297</v>
      </c>
    </row>
    <row r="1510" spans="6:12" x14ac:dyDescent="0.25">
      <c r="F1510" s="11" t="str">
        <f>IF(ISBLANK(D1510),"",(VLOOKUP(D1510,Cardápio!$A$2:$B$16,2,0))*E1510)</f>
        <v/>
      </c>
      <c r="H1510" s="7" t="str">
        <f t="shared" si="92"/>
        <v/>
      </c>
      <c r="I1510" s="7" t="str">
        <f>IF(AND(ISBLANK(D1510),ISBLANK(C1510)),"",((VLOOKUP(D1510,Cardápio!$A$2:$C$16,3,0))*E1510)+IF(B1510="iFood",F1510*0.27,(VLOOKUP(VENDAS!C1510,Bairros!$A$2:$B$90,2,0))))</f>
        <v/>
      </c>
      <c r="J1510" s="7" t="str">
        <f t="shared" si="93"/>
        <v/>
      </c>
      <c r="K1510" s="9">
        <f t="shared" ca="1" si="94"/>
        <v>45404.878290162036</v>
      </c>
      <c r="L1510" s="10">
        <f t="shared" ca="1" si="95"/>
        <v>45404.878290046297</v>
      </c>
    </row>
    <row r="1511" spans="6:12" x14ac:dyDescent="0.25">
      <c r="F1511" s="11" t="str">
        <f>IF(ISBLANK(D1511),"",(VLOOKUP(D1511,Cardápio!$A$2:$B$16,2,0))*E1511)</f>
        <v/>
      </c>
      <c r="H1511" s="7" t="str">
        <f t="shared" si="92"/>
        <v/>
      </c>
      <c r="I1511" s="7" t="str">
        <f>IF(AND(ISBLANK(D1511),ISBLANK(C1511)),"",((VLOOKUP(D1511,Cardápio!$A$2:$C$16,3,0))*E1511)+IF(B1511="iFood",F1511*0.27,(VLOOKUP(VENDAS!C1511,Bairros!$A$2:$B$90,2,0))))</f>
        <v/>
      </c>
      <c r="J1511" s="7" t="str">
        <f t="shared" si="93"/>
        <v/>
      </c>
      <c r="K1511" s="9">
        <f t="shared" ca="1" si="94"/>
        <v>45404.878290162036</v>
      </c>
      <c r="L1511" s="10">
        <f t="shared" ca="1" si="95"/>
        <v>45404.878290046297</v>
      </c>
    </row>
    <row r="1512" spans="6:12" x14ac:dyDescent="0.25">
      <c r="F1512" s="11" t="str">
        <f>IF(ISBLANK(D1512),"",(VLOOKUP(D1512,Cardápio!$A$2:$B$16,2,0))*E1512)</f>
        <v/>
      </c>
      <c r="H1512" s="7" t="str">
        <f t="shared" si="92"/>
        <v/>
      </c>
      <c r="I1512" s="7" t="str">
        <f>IF(AND(ISBLANK(D1512),ISBLANK(C1512)),"",((VLOOKUP(D1512,Cardápio!$A$2:$C$16,3,0))*E1512)+IF(B1512="iFood",F1512*0.27,(VLOOKUP(VENDAS!C1512,Bairros!$A$2:$B$90,2,0))))</f>
        <v/>
      </c>
      <c r="J1512" s="7" t="str">
        <f t="shared" si="93"/>
        <v/>
      </c>
      <c r="K1512" s="9">
        <f t="shared" ca="1" si="94"/>
        <v>45404.878290162036</v>
      </c>
      <c r="L1512" s="10">
        <f t="shared" ca="1" si="95"/>
        <v>45404.878290046297</v>
      </c>
    </row>
    <row r="1513" spans="6:12" x14ac:dyDescent="0.25">
      <c r="F1513" s="11" t="str">
        <f>IF(ISBLANK(D1513),"",(VLOOKUP(D1513,Cardápio!$A$2:$B$16,2,0))*E1513)</f>
        <v/>
      </c>
      <c r="H1513" s="7" t="str">
        <f t="shared" si="92"/>
        <v/>
      </c>
      <c r="I1513" s="7" t="str">
        <f>IF(AND(ISBLANK(D1513),ISBLANK(C1513)),"",((VLOOKUP(D1513,Cardápio!$A$2:$C$16,3,0))*E1513)+IF(B1513="iFood",F1513*0.27,(VLOOKUP(VENDAS!C1513,Bairros!$A$2:$B$90,2,0))))</f>
        <v/>
      </c>
      <c r="J1513" s="7" t="str">
        <f t="shared" si="93"/>
        <v/>
      </c>
      <c r="K1513" s="9">
        <f t="shared" ca="1" si="94"/>
        <v>45404.878290162036</v>
      </c>
      <c r="L1513" s="10">
        <f t="shared" ca="1" si="95"/>
        <v>45404.878290046297</v>
      </c>
    </row>
    <row r="1514" spans="6:12" x14ac:dyDescent="0.25">
      <c r="F1514" s="11" t="str">
        <f>IF(ISBLANK(D1514),"",(VLOOKUP(D1514,Cardápio!$A$2:$B$16,2,0))*E1514)</f>
        <v/>
      </c>
      <c r="H1514" s="7" t="str">
        <f t="shared" si="92"/>
        <v/>
      </c>
      <c r="I1514" s="7" t="str">
        <f>IF(AND(ISBLANK(D1514),ISBLANK(C1514)),"",((VLOOKUP(D1514,Cardápio!$A$2:$C$16,3,0))*E1514)+IF(B1514="iFood",F1514*0.27,(VLOOKUP(VENDAS!C1514,Bairros!$A$2:$B$90,2,0))))</f>
        <v/>
      </c>
      <c r="J1514" s="7" t="str">
        <f t="shared" si="93"/>
        <v/>
      </c>
      <c r="K1514" s="9">
        <f t="shared" ca="1" si="94"/>
        <v>45404.878290162036</v>
      </c>
      <c r="L1514" s="10">
        <f t="shared" ca="1" si="95"/>
        <v>45404.878290046297</v>
      </c>
    </row>
    <row r="1515" spans="6:12" x14ac:dyDescent="0.25">
      <c r="F1515" s="11" t="str">
        <f>IF(ISBLANK(D1515),"",(VLOOKUP(D1515,Cardápio!$A$2:$B$16,2,0))*E1515)</f>
        <v/>
      </c>
      <c r="H1515" s="7" t="str">
        <f t="shared" si="92"/>
        <v/>
      </c>
      <c r="I1515" s="7" t="str">
        <f>IF(AND(ISBLANK(D1515),ISBLANK(C1515)),"",((VLOOKUP(D1515,Cardápio!$A$2:$C$16,3,0))*E1515)+IF(B1515="iFood",F1515*0.27,(VLOOKUP(VENDAS!C1515,Bairros!$A$2:$B$90,2,0))))</f>
        <v/>
      </c>
      <c r="J1515" s="7" t="str">
        <f t="shared" si="93"/>
        <v/>
      </c>
      <c r="K1515" s="9">
        <f t="shared" ca="1" si="94"/>
        <v>45404.878290162036</v>
      </c>
      <c r="L1515" s="10">
        <f t="shared" ca="1" si="95"/>
        <v>45404.878290046297</v>
      </c>
    </row>
    <row r="1516" spans="6:12" x14ac:dyDescent="0.25">
      <c r="F1516" s="11" t="str">
        <f>IF(ISBLANK(D1516),"",(VLOOKUP(D1516,Cardápio!$A$2:$B$16,2,0))*E1516)</f>
        <v/>
      </c>
      <c r="H1516" s="7" t="str">
        <f t="shared" si="92"/>
        <v/>
      </c>
      <c r="I1516" s="7" t="str">
        <f>IF(AND(ISBLANK(D1516),ISBLANK(C1516)),"",((VLOOKUP(D1516,Cardápio!$A$2:$C$16,3,0))*E1516)+IF(B1516="iFood",F1516*0.27,(VLOOKUP(VENDAS!C1516,Bairros!$A$2:$B$90,2,0))))</f>
        <v/>
      </c>
      <c r="J1516" s="7" t="str">
        <f t="shared" si="93"/>
        <v/>
      </c>
      <c r="K1516" s="9">
        <f t="shared" ca="1" si="94"/>
        <v>45404.878290162036</v>
      </c>
      <c r="L1516" s="10">
        <f t="shared" ca="1" si="95"/>
        <v>45404.878290046297</v>
      </c>
    </row>
    <row r="1517" spans="6:12" x14ac:dyDescent="0.25">
      <c r="F1517" s="11" t="str">
        <f>IF(ISBLANK(D1517),"",(VLOOKUP(D1517,Cardápio!$A$2:$B$16,2,0))*E1517)</f>
        <v/>
      </c>
      <c r="H1517" s="7" t="str">
        <f t="shared" si="92"/>
        <v/>
      </c>
      <c r="I1517" s="7" t="str">
        <f>IF(AND(ISBLANK(D1517),ISBLANK(C1517)),"",((VLOOKUP(D1517,Cardápio!$A$2:$C$16,3,0))*E1517)+IF(B1517="iFood",F1517*0.27,(VLOOKUP(VENDAS!C1517,Bairros!$A$2:$B$90,2,0))))</f>
        <v/>
      </c>
      <c r="J1517" s="7" t="str">
        <f t="shared" si="93"/>
        <v/>
      </c>
      <c r="K1517" s="9">
        <f t="shared" ca="1" si="94"/>
        <v>45404.878290162036</v>
      </c>
      <c r="L1517" s="10">
        <f t="shared" ca="1" si="95"/>
        <v>45404.878290046297</v>
      </c>
    </row>
    <row r="1518" spans="6:12" x14ac:dyDescent="0.25">
      <c r="F1518" s="11" t="str">
        <f>IF(ISBLANK(D1518),"",(VLOOKUP(D1518,Cardápio!$A$2:$B$16,2,0))*E1518)</f>
        <v/>
      </c>
      <c r="H1518" s="7" t="str">
        <f t="shared" si="92"/>
        <v/>
      </c>
      <c r="I1518" s="7" t="str">
        <f>IF(AND(ISBLANK(D1518),ISBLANK(C1518)),"",((VLOOKUP(D1518,Cardápio!$A$2:$C$16,3,0))*E1518)+IF(B1518="iFood",F1518*0.27,(VLOOKUP(VENDAS!C1518,Bairros!$A$2:$B$90,2,0))))</f>
        <v/>
      </c>
      <c r="J1518" s="7" t="str">
        <f t="shared" si="93"/>
        <v/>
      </c>
      <c r="K1518" s="9">
        <f t="shared" ca="1" si="94"/>
        <v>45404.878290162036</v>
      </c>
      <c r="L1518" s="10">
        <f t="shared" ca="1" si="95"/>
        <v>45404.878290046297</v>
      </c>
    </row>
    <row r="1519" spans="6:12" x14ac:dyDescent="0.25">
      <c r="F1519" s="11" t="str">
        <f>IF(ISBLANK(D1519),"",(VLOOKUP(D1519,Cardápio!$A$2:$B$16,2,0))*E1519)</f>
        <v/>
      </c>
      <c r="H1519" s="7" t="str">
        <f t="shared" si="92"/>
        <v/>
      </c>
      <c r="I1519" s="7" t="str">
        <f>IF(AND(ISBLANK(D1519),ISBLANK(C1519)),"",((VLOOKUP(D1519,Cardápio!$A$2:$C$16,3,0))*E1519)+IF(B1519="iFood",F1519*0.27,(VLOOKUP(VENDAS!C1519,Bairros!$A$2:$B$90,2,0))))</f>
        <v/>
      </c>
      <c r="J1519" s="7" t="str">
        <f t="shared" si="93"/>
        <v/>
      </c>
      <c r="K1519" s="9">
        <f t="shared" ca="1" si="94"/>
        <v>45404.878290162036</v>
      </c>
      <c r="L1519" s="10">
        <f t="shared" ca="1" si="95"/>
        <v>45404.878290046297</v>
      </c>
    </row>
    <row r="1520" spans="6:12" x14ac:dyDescent="0.25">
      <c r="F1520" s="11" t="str">
        <f>IF(ISBLANK(D1520),"",(VLOOKUP(D1520,Cardápio!$A$2:$B$16,2,0))*E1520)</f>
        <v/>
      </c>
      <c r="H1520" s="7" t="str">
        <f t="shared" si="92"/>
        <v/>
      </c>
      <c r="I1520" s="7" t="str">
        <f>IF(AND(ISBLANK(D1520),ISBLANK(C1520)),"",((VLOOKUP(D1520,Cardápio!$A$2:$C$16,3,0))*E1520)+IF(B1520="iFood",F1520*0.27,(VLOOKUP(VENDAS!C1520,Bairros!$A$2:$B$90,2,0))))</f>
        <v/>
      </c>
      <c r="J1520" s="7" t="str">
        <f t="shared" si="93"/>
        <v/>
      </c>
      <c r="K1520" s="9">
        <f t="shared" ca="1" si="94"/>
        <v>45404.878290162036</v>
      </c>
      <c r="L1520" s="10">
        <f t="shared" ca="1" si="95"/>
        <v>45404.878290046297</v>
      </c>
    </row>
    <row r="1521" spans="6:12" x14ac:dyDescent="0.25">
      <c r="F1521" s="11" t="str">
        <f>IF(ISBLANK(D1521),"",(VLOOKUP(D1521,Cardápio!$A$2:$B$16,2,0))*E1521)</f>
        <v/>
      </c>
      <c r="H1521" s="7" t="str">
        <f t="shared" si="92"/>
        <v/>
      </c>
      <c r="I1521" s="7" t="str">
        <f>IF(AND(ISBLANK(D1521),ISBLANK(C1521)),"",((VLOOKUP(D1521,Cardápio!$A$2:$C$16,3,0))*E1521)+IF(B1521="iFood",F1521*0.27,(VLOOKUP(VENDAS!C1521,Bairros!$A$2:$B$90,2,0))))</f>
        <v/>
      </c>
      <c r="J1521" s="7" t="str">
        <f t="shared" si="93"/>
        <v/>
      </c>
      <c r="K1521" s="9">
        <f t="shared" ca="1" si="94"/>
        <v>45404.878290162036</v>
      </c>
      <c r="L1521" s="10">
        <f t="shared" ca="1" si="95"/>
        <v>45404.878290046297</v>
      </c>
    </row>
    <row r="1522" spans="6:12" x14ac:dyDescent="0.25">
      <c r="F1522" s="11" t="str">
        <f>IF(ISBLANK(D1522),"",(VLOOKUP(D1522,Cardápio!$A$2:$B$16,2,0))*E1522)</f>
        <v/>
      </c>
      <c r="H1522" s="7" t="str">
        <f t="shared" si="92"/>
        <v/>
      </c>
      <c r="I1522" s="7" t="str">
        <f>IF(AND(ISBLANK(D1522),ISBLANK(C1522)),"",((VLOOKUP(D1522,Cardápio!$A$2:$C$16,3,0))*E1522)+IF(B1522="iFood",F1522*0.27,(VLOOKUP(VENDAS!C1522,Bairros!$A$2:$B$90,2,0))))</f>
        <v/>
      </c>
      <c r="J1522" s="7" t="str">
        <f t="shared" si="93"/>
        <v/>
      </c>
      <c r="K1522" s="9">
        <f t="shared" ca="1" si="94"/>
        <v>45404.878290162036</v>
      </c>
      <c r="L1522" s="10">
        <f t="shared" ca="1" si="95"/>
        <v>45404.878290046297</v>
      </c>
    </row>
    <row r="1523" spans="6:12" x14ac:dyDescent="0.25">
      <c r="F1523" s="11" t="str">
        <f>IF(ISBLANK(D1523),"",(VLOOKUP(D1523,Cardápio!$A$2:$B$16,2,0))*E1523)</f>
        <v/>
      </c>
      <c r="H1523" s="7" t="str">
        <f t="shared" si="92"/>
        <v/>
      </c>
      <c r="I1523" s="7" t="str">
        <f>IF(AND(ISBLANK(D1523),ISBLANK(C1523)),"",((VLOOKUP(D1523,Cardápio!$A$2:$C$16,3,0))*E1523)+IF(B1523="iFood",F1523*0.27,(VLOOKUP(VENDAS!C1523,Bairros!$A$2:$B$90,2,0))))</f>
        <v/>
      </c>
      <c r="J1523" s="7" t="str">
        <f t="shared" si="93"/>
        <v/>
      </c>
      <c r="K1523" s="9">
        <f t="shared" ca="1" si="94"/>
        <v>45404.878290162036</v>
      </c>
      <c r="L1523" s="10">
        <f t="shared" ca="1" si="95"/>
        <v>45404.878290046297</v>
      </c>
    </row>
    <row r="1524" spans="6:12" x14ac:dyDescent="0.25">
      <c r="F1524" s="11" t="str">
        <f>IF(ISBLANK(D1524),"",(VLOOKUP(D1524,Cardápio!$A$2:$B$16,2,0))*E1524)</f>
        <v/>
      </c>
      <c r="H1524" s="7" t="str">
        <f t="shared" si="92"/>
        <v/>
      </c>
      <c r="I1524" s="7" t="str">
        <f>IF(AND(ISBLANK(D1524),ISBLANK(C1524)),"",((VLOOKUP(D1524,Cardápio!$A$2:$C$16,3,0))*E1524)+IF(B1524="iFood",F1524*0.27,(VLOOKUP(VENDAS!C1524,Bairros!$A$2:$B$90,2,0))))</f>
        <v/>
      </c>
      <c r="J1524" s="7" t="str">
        <f t="shared" si="93"/>
        <v/>
      </c>
      <c r="K1524" s="9">
        <f t="shared" ca="1" si="94"/>
        <v>45404.878290162036</v>
      </c>
      <c r="L1524" s="10">
        <f t="shared" ca="1" si="95"/>
        <v>45404.878290046297</v>
      </c>
    </row>
    <row r="1525" spans="6:12" x14ac:dyDescent="0.25">
      <c r="F1525" s="11" t="str">
        <f>IF(ISBLANK(D1525),"",(VLOOKUP(D1525,Cardápio!$A$2:$B$16,2,0))*E1525)</f>
        <v/>
      </c>
      <c r="H1525" s="7" t="str">
        <f t="shared" ref="H1525:H1588" si="96">IF(ISBLANK(D1525),"",F1525-G1525)</f>
        <v/>
      </c>
      <c r="I1525" s="7" t="str">
        <f>IF(AND(ISBLANK(D1525),ISBLANK(C1525)),"",((VLOOKUP(D1525,Cardápio!$A$2:$C$16,3,0))*E1525)+IF(B1525="iFood",F1525*0.27,(VLOOKUP(VENDAS!C1525,Bairros!$A$2:$B$90,2,0))))</f>
        <v/>
      </c>
      <c r="J1525" s="7" t="str">
        <f t="shared" ref="J1525:J1588" si="97">IF(OR(AND(ISBLANK(H1525),ISBLANK(I1525)),(AND(H1525="",I1525=""))),"",H1525-I1525)</f>
        <v/>
      </c>
      <c r="K1525" s="9">
        <f t="shared" ref="K1525:K1588" ca="1" si="98">IF(D1525&lt;&gt;"",K1525,NOW())</f>
        <v>45404.878290162036</v>
      </c>
      <c r="L1525" s="10">
        <f t="shared" ref="L1525:L1588" ca="1" si="99">IF(D1525&lt;&gt;"",L1525,NOW())</f>
        <v>45404.878290046297</v>
      </c>
    </row>
    <row r="1526" spans="6:12" x14ac:dyDescent="0.25">
      <c r="F1526" s="11" t="str">
        <f>IF(ISBLANK(D1526),"",(VLOOKUP(D1526,Cardápio!$A$2:$B$16,2,0))*E1526)</f>
        <v/>
      </c>
      <c r="H1526" s="7" t="str">
        <f t="shared" si="96"/>
        <v/>
      </c>
      <c r="I1526" s="7" t="str">
        <f>IF(AND(ISBLANK(D1526),ISBLANK(C1526)),"",((VLOOKUP(D1526,Cardápio!$A$2:$C$16,3,0))*E1526)+IF(B1526="iFood",F1526*0.27,(VLOOKUP(VENDAS!C1526,Bairros!$A$2:$B$90,2,0))))</f>
        <v/>
      </c>
      <c r="J1526" s="7" t="str">
        <f t="shared" si="97"/>
        <v/>
      </c>
      <c r="K1526" s="9">
        <f t="shared" ca="1" si="98"/>
        <v>45404.878290162036</v>
      </c>
      <c r="L1526" s="10">
        <f t="shared" ca="1" si="99"/>
        <v>45404.878290046297</v>
      </c>
    </row>
    <row r="1527" spans="6:12" x14ac:dyDescent="0.25">
      <c r="F1527" s="11" t="str">
        <f>IF(ISBLANK(D1527),"",(VLOOKUP(D1527,Cardápio!$A$2:$B$16,2,0))*E1527)</f>
        <v/>
      </c>
      <c r="H1527" s="7" t="str">
        <f t="shared" si="96"/>
        <v/>
      </c>
      <c r="I1527" s="7" t="str">
        <f>IF(AND(ISBLANK(D1527),ISBLANK(C1527)),"",((VLOOKUP(D1527,Cardápio!$A$2:$C$16,3,0))*E1527)+IF(B1527="iFood",F1527*0.27,(VLOOKUP(VENDAS!C1527,Bairros!$A$2:$B$90,2,0))))</f>
        <v/>
      </c>
      <c r="J1527" s="7" t="str">
        <f t="shared" si="97"/>
        <v/>
      </c>
      <c r="K1527" s="9">
        <f t="shared" ca="1" si="98"/>
        <v>45404.878290162036</v>
      </c>
      <c r="L1527" s="10">
        <f t="shared" ca="1" si="99"/>
        <v>45404.878290046297</v>
      </c>
    </row>
    <row r="1528" spans="6:12" x14ac:dyDescent="0.25">
      <c r="F1528" s="11" t="str">
        <f>IF(ISBLANK(D1528),"",(VLOOKUP(D1528,Cardápio!$A$2:$B$16,2,0))*E1528)</f>
        <v/>
      </c>
      <c r="H1528" s="7" t="str">
        <f t="shared" si="96"/>
        <v/>
      </c>
      <c r="I1528" s="7" t="str">
        <f>IF(AND(ISBLANK(D1528),ISBLANK(C1528)),"",((VLOOKUP(D1528,Cardápio!$A$2:$C$16,3,0))*E1528)+IF(B1528="iFood",F1528*0.27,(VLOOKUP(VENDAS!C1528,Bairros!$A$2:$B$90,2,0))))</f>
        <v/>
      </c>
      <c r="J1528" s="7" t="str">
        <f t="shared" si="97"/>
        <v/>
      </c>
      <c r="K1528" s="9">
        <f t="shared" ca="1" si="98"/>
        <v>45404.878290162036</v>
      </c>
      <c r="L1528" s="10">
        <f t="shared" ca="1" si="99"/>
        <v>45404.878290046297</v>
      </c>
    </row>
    <row r="1529" spans="6:12" x14ac:dyDescent="0.25">
      <c r="F1529" s="11" t="str">
        <f>IF(ISBLANK(D1529),"",(VLOOKUP(D1529,Cardápio!$A$2:$B$16,2,0))*E1529)</f>
        <v/>
      </c>
      <c r="H1529" s="7" t="str">
        <f t="shared" si="96"/>
        <v/>
      </c>
      <c r="I1529" s="7" t="str">
        <f>IF(AND(ISBLANK(D1529),ISBLANK(C1529)),"",((VLOOKUP(D1529,Cardápio!$A$2:$C$16,3,0))*E1529)+IF(B1529="iFood",F1529*0.27,(VLOOKUP(VENDAS!C1529,Bairros!$A$2:$B$90,2,0))))</f>
        <v/>
      </c>
      <c r="J1529" s="7" t="str">
        <f t="shared" si="97"/>
        <v/>
      </c>
      <c r="K1529" s="9">
        <f t="shared" ca="1" si="98"/>
        <v>45404.878290162036</v>
      </c>
      <c r="L1529" s="10">
        <f t="shared" ca="1" si="99"/>
        <v>45404.878290046297</v>
      </c>
    </row>
    <row r="1530" spans="6:12" x14ac:dyDescent="0.25">
      <c r="F1530" s="11" t="str">
        <f>IF(ISBLANK(D1530),"",(VLOOKUP(D1530,Cardápio!$A$2:$B$16,2,0))*E1530)</f>
        <v/>
      </c>
      <c r="H1530" s="7" t="str">
        <f t="shared" si="96"/>
        <v/>
      </c>
      <c r="I1530" s="7" t="str">
        <f>IF(AND(ISBLANK(D1530),ISBLANK(C1530)),"",((VLOOKUP(D1530,Cardápio!$A$2:$C$16,3,0))*E1530)+IF(B1530="iFood",F1530*0.27,(VLOOKUP(VENDAS!C1530,Bairros!$A$2:$B$90,2,0))))</f>
        <v/>
      </c>
      <c r="J1530" s="7" t="str">
        <f t="shared" si="97"/>
        <v/>
      </c>
      <c r="K1530" s="9">
        <f t="shared" ca="1" si="98"/>
        <v>45404.878290162036</v>
      </c>
      <c r="L1530" s="10">
        <f t="shared" ca="1" si="99"/>
        <v>45404.878290046297</v>
      </c>
    </row>
    <row r="1531" spans="6:12" x14ac:dyDescent="0.25">
      <c r="F1531" s="11" t="str">
        <f>IF(ISBLANK(D1531),"",(VLOOKUP(D1531,Cardápio!$A$2:$B$16,2,0))*E1531)</f>
        <v/>
      </c>
      <c r="H1531" s="7" t="str">
        <f t="shared" si="96"/>
        <v/>
      </c>
      <c r="I1531" s="7" t="str">
        <f>IF(AND(ISBLANK(D1531),ISBLANK(C1531)),"",((VLOOKUP(D1531,Cardápio!$A$2:$C$16,3,0))*E1531)+IF(B1531="iFood",F1531*0.27,(VLOOKUP(VENDAS!C1531,Bairros!$A$2:$B$90,2,0))))</f>
        <v/>
      </c>
      <c r="J1531" s="7" t="str">
        <f t="shared" si="97"/>
        <v/>
      </c>
      <c r="K1531" s="9">
        <f t="shared" ca="1" si="98"/>
        <v>45404.878290162036</v>
      </c>
      <c r="L1531" s="10">
        <f t="shared" ca="1" si="99"/>
        <v>45404.878290046297</v>
      </c>
    </row>
    <row r="1532" spans="6:12" x14ac:dyDescent="0.25">
      <c r="F1532" s="11" t="str">
        <f>IF(ISBLANK(D1532),"",(VLOOKUP(D1532,Cardápio!$A$2:$B$16,2,0))*E1532)</f>
        <v/>
      </c>
      <c r="H1532" s="7" t="str">
        <f t="shared" si="96"/>
        <v/>
      </c>
      <c r="I1532" s="7" t="str">
        <f>IF(AND(ISBLANK(D1532),ISBLANK(C1532)),"",((VLOOKUP(D1532,Cardápio!$A$2:$C$16,3,0))*E1532)+IF(B1532="iFood",F1532*0.27,(VLOOKUP(VENDAS!C1532,Bairros!$A$2:$B$90,2,0))))</f>
        <v/>
      </c>
      <c r="J1532" s="7" t="str">
        <f t="shared" si="97"/>
        <v/>
      </c>
      <c r="K1532" s="9">
        <f t="shared" ca="1" si="98"/>
        <v>45404.878290162036</v>
      </c>
      <c r="L1532" s="10">
        <f t="shared" ca="1" si="99"/>
        <v>45404.878290046297</v>
      </c>
    </row>
    <row r="1533" spans="6:12" x14ac:dyDescent="0.25">
      <c r="F1533" s="11" t="str">
        <f>IF(ISBLANK(D1533),"",(VLOOKUP(D1533,Cardápio!$A$2:$B$16,2,0))*E1533)</f>
        <v/>
      </c>
      <c r="H1533" s="7" t="str">
        <f t="shared" si="96"/>
        <v/>
      </c>
      <c r="I1533" s="7" t="str">
        <f>IF(AND(ISBLANK(D1533),ISBLANK(C1533)),"",((VLOOKUP(D1533,Cardápio!$A$2:$C$16,3,0))*E1533)+IF(B1533="iFood",F1533*0.27,(VLOOKUP(VENDAS!C1533,Bairros!$A$2:$B$90,2,0))))</f>
        <v/>
      </c>
      <c r="J1533" s="7" t="str">
        <f t="shared" si="97"/>
        <v/>
      </c>
      <c r="K1533" s="9">
        <f t="shared" ca="1" si="98"/>
        <v>45404.878290162036</v>
      </c>
      <c r="L1533" s="10">
        <f t="shared" ca="1" si="99"/>
        <v>45404.878290046297</v>
      </c>
    </row>
    <row r="1534" spans="6:12" x14ac:dyDescent="0.25">
      <c r="F1534" s="11" t="str">
        <f>IF(ISBLANK(D1534),"",(VLOOKUP(D1534,Cardápio!$A$2:$B$16,2,0))*E1534)</f>
        <v/>
      </c>
      <c r="H1534" s="7" t="str">
        <f t="shared" si="96"/>
        <v/>
      </c>
      <c r="I1534" s="7" t="str">
        <f>IF(AND(ISBLANK(D1534),ISBLANK(C1534)),"",((VLOOKUP(D1534,Cardápio!$A$2:$C$16,3,0))*E1534)+IF(B1534="iFood",F1534*0.27,(VLOOKUP(VENDAS!C1534,Bairros!$A$2:$B$90,2,0))))</f>
        <v/>
      </c>
      <c r="J1534" s="7" t="str">
        <f t="shared" si="97"/>
        <v/>
      </c>
      <c r="K1534" s="9">
        <f t="shared" ca="1" si="98"/>
        <v>45404.878290162036</v>
      </c>
      <c r="L1534" s="10">
        <f t="shared" ca="1" si="99"/>
        <v>45404.878290046297</v>
      </c>
    </row>
    <row r="1535" spans="6:12" x14ac:dyDescent="0.25">
      <c r="F1535" s="11" t="str">
        <f>IF(ISBLANK(D1535),"",(VLOOKUP(D1535,Cardápio!$A$2:$B$16,2,0))*E1535)</f>
        <v/>
      </c>
      <c r="H1535" s="7" t="str">
        <f t="shared" si="96"/>
        <v/>
      </c>
      <c r="I1535" s="7" t="str">
        <f>IF(AND(ISBLANK(D1535),ISBLANK(C1535)),"",((VLOOKUP(D1535,Cardápio!$A$2:$C$16,3,0))*E1535)+IF(B1535="iFood",F1535*0.27,(VLOOKUP(VENDAS!C1535,Bairros!$A$2:$B$90,2,0))))</f>
        <v/>
      </c>
      <c r="J1535" s="7" t="str">
        <f t="shared" si="97"/>
        <v/>
      </c>
      <c r="K1535" s="9">
        <f t="shared" ca="1" si="98"/>
        <v>45404.878290162036</v>
      </c>
      <c r="L1535" s="10">
        <f t="shared" ca="1" si="99"/>
        <v>45404.878290046297</v>
      </c>
    </row>
    <row r="1536" spans="6:12" x14ac:dyDescent="0.25">
      <c r="F1536" s="11" t="str">
        <f>IF(ISBLANK(D1536),"",(VLOOKUP(D1536,Cardápio!$A$2:$B$16,2,0))*E1536)</f>
        <v/>
      </c>
      <c r="H1536" s="7" t="str">
        <f t="shared" si="96"/>
        <v/>
      </c>
      <c r="I1536" s="7" t="str">
        <f>IF(AND(ISBLANK(D1536),ISBLANK(C1536)),"",((VLOOKUP(D1536,Cardápio!$A$2:$C$16,3,0))*E1536)+IF(B1536="iFood",F1536*0.27,(VLOOKUP(VENDAS!C1536,Bairros!$A$2:$B$90,2,0))))</f>
        <v/>
      </c>
      <c r="J1536" s="7" t="str">
        <f t="shared" si="97"/>
        <v/>
      </c>
      <c r="K1536" s="9">
        <f t="shared" ca="1" si="98"/>
        <v>45404.878290162036</v>
      </c>
      <c r="L1536" s="10">
        <f t="shared" ca="1" si="99"/>
        <v>45404.878290046297</v>
      </c>
    </row>
    <row r="1537" spans="6:12" x14ac:dyDescent="0.25">
      <c r="F1537" s="11" t="str">
        <f>IF(ISBLANK(D1537),"",(VLOOKUP(D1537,Cardápio!$A$2:$B$16,2,0))*E1537)</f>
        <v/>
      </c>
      <c r="H1537" s="7" t="str">
        <f t="shared" si="96"/>
        <v/>
      </c>
      <c r="I1537" s="7" t="str">
        <f>IF(AND(ISBLANK(D1537),ISBLANK(C1537)),"",((VLOOKUP(D1537,Cardápio!$A$2:$C$16,3,0))*E1537)+IF(B1537="iFood",F1537*0.27,(VLOOKUP(VENDAS!C1537,Bairros!$A$2:$B$90,2,0))))</f>
        <v/>
      </c>
      <c r="J1537" s="7" t="str">
        <f t="shared" si="97"/>
        <v/>
      </c>
      <c r="K1537" s="9">
        <f t="shared" ca="1" si="98"/>
        <v>45404.878290162036</v>
      </c>
      <c r="L1537" s="10">
        <f t="shared" ca="1" si="99"/>
        <v>45404.878290046297</v>
      </c>
    </row>
    <row r="1538" spans="6:12" x14ac:dyDescent="0.25">
      <c r="F1538" s="11" t="str">
        <f>IF(ISBLANK(D1538),"",(VLOOKUP(D1538,Cardápio!$A$2:$B$16,2,0))*E1538)</f>
        <v/>
      </c>
      <c r="H1538" s="7" t="str">
        <f t="shared" si="96"/>
        <v/>
      </c>
      <c r="I1538" s="7" t="str">
        <f>IF(AND(ISBLANK(D1538),ISBLANK(C1538)),"",((VLOOKUP(D1538,Cardápio!$A$2:$C$16,3,0))*E1538)+IF(B1538="iFood",F1538*0.27,(VLOOKUP(VENDAS!C1538,Bairros!$A$2:$B$90,2,0))))</f>
        <v/>
      </c>
      <c r="J1538" s="7" t="str">
        <f t="shared" si="97"/>
        <v/>
      </c>
      <c r="K1538" s="9">
        <f t="shared" ca="1" si="98"/>
        <v>45404.878290162036</v>
      </c>
      <c r="L1538" s="10">
        <f t="shared" ca="1" si="99"/>
        <v>45404.878290046297</v>
      </c>
    </row>
    <row r="1539" spans="6:12" x14ac:dyDescent="0.25">
      <c r="F1539" s="11" t="str">
        <f>IF(ISBLANK(D1539),"",(VLOOKUP(D1539,Cardápio!$A$2:$B$16,2,0))*E1539)</f>
        <v/>
      </c>
      <c r="H1539" s="7" t="str">
        <f t="shared" si="96"/>
        <v/>
      </c>
      <c r="I1539" s="7" t="str">
        <f>IF(AND(ISBLANK(D1539),ISBLANK(C1539)),"",((VLOOKUP(D1539,Cardápio!$A$2:$C$16,3,0))*E1539)+IF(B1539="iFood",F1539*0.27,(VLOOKUP(VENDAS!C1539,Bairros!$A$2:$B$90,2,0))))</f>
        <v/>
      </c>
      <c r="J1539" s="7" t="str">
        <f t="shared" si="97"/>
        <v/>
      </c>
      <c r="K1539" s="9">
        <f t="shared" ca="1" si="98"/>
        <v>45404.878290162036</v>
      </c>
      <c r="L1539" s="10">
        <f t="shared" ca="1" si="99"/>
        <v>45404.878290046297</v>
      </c>
    </row>
    <row r="1540" spans="6:12" x14ac:dyDescent="0.25">
      <c r="F1540" s="11" t="str">
        <f>IF(ISBLANK(D1540),"",(VLOOKUP(D1540,Cardápio!$A$2:$B$16,2,0))*E1540)</f>
        <v/>
      </c>
      <c r="H1540" s="7" t="str">
        <f t="shared" si="96"/>
        <v/>
      </c>
      <c r="I1540" s="7" t="str">
        <f>IF(AND(ISBLANK(D1540),ISBLANK(C1540)),"",((VLOOKUP(D1540,Cardápio!$A$2:$C$16,3,0))*E1540)+IF(B1540="iFood",F1540*0.27,(VLOOKUP(VENDAS!C1540,Bairros!$A$2:$B$90,2,0))))</f>
        <v/>
      </c>
      <c r="J1540" s="7" t="str">
        <f t="shared" si="97"/>
        <v/>
      </c>
      <c r="K1540" s="9">
        <f t="shared" ca="1" si="98"/>
        <v>45404.878290162036</v>
      </c>
      <c r="L1540" s="10">
        <f t="shared" ca="1" si="99"/>
        <v>45404.878290046297</v>
      </c>
    </row>
    <row r="1541" spans="6:12" x14ac:dyDescent="0.25">
      <c r="F1541" s="11" t="str">
        <f>IF(ISBLANK(D1541),"",(VLOOKUP(D1541,Cardápio!$A$2:$B$16,2,0))*E1541)</f>
        <v/>
      </c>
      <c r="H1541" s="7" t="str">
        <f t="shared" si="96"/>
        <v/>
      </c>
      <c r="I1541" s="7" t="str">
        <f>IF(AND(ISBLANK(D1541),ISBLANK(C1541)),"",((VLOOKUP(D1541,Cardápio!$A$2:$C$16,3,0))*E1541)+IF(B1541="iFood",F1541*0.27,(VLOOKUP(VENDAS!C1541,Bairros!$A$2:$B$90,2,0))))</f>
        <v/>
      </c>
      <c r="J1541" s="7" t="str">
        <f t="shared" si="97"/>
        <v/>
      </c>
      <c r="K1541" s="9">
        <f t="shared" ca="1" si="98"/>
        <v>45404.878290162036</v>
      </c>
      <c r="L1541" s="10">
        <f t="shared" ca="1" si="99"/>
        <v>45404.878290046297</v>
      </c>
    </row>
    <row r="1542" spans="6:12" x14ac:dyDescent="0.25">
      <c r="F1542" s="11" t="str">
        <f>IF(ISBLANK(D1542),"",(VLOOKUP(D1542,Cardápio!$A$2:$B$16,2,0))*E1542)</f>
        <v/>
      </c>
      <c r="H1542" s="7" t="str">
        <f t="shared" si="96"/>
        <v/>
      </c>
      <c r="I1542" s="7" t="str">
        <f>IF(AND(ISBLANK(D1542),ISBLANK(C1542)),"",((VLOOKUP(D1542,Cardápio!$A$2:$C$16,3,0))*E1542)+IF(B1542="iFood",F1542*0.27,(VLOOKUP(VENDAS!C1542,Bairros!$A$2:$B$90,2,0))))</f>
        <v/>
      </c>
      <c r="J1542" s="7" t="str">
        <f t="shared" si="97"/>
        <v/>
      </c>
      <c r="K1542" s="9">
        <f t="shared" ca="1" si="98"/>
        <v>45404.878290162036</v>
      </c>
      <c r="L1542" s="10">
        <f t="shared" ca="1" si="99"/>
        <v>45404.878290046297</v>
      </c>
    </row>
    <row r="1543" spans="6:12" x14ac:dyDescent="0.25">
      <c r="F1543" s="11" t="str">
        <f>IF(ISBLANK(D1543),"",(VLOOKUP(D1543,Cardápio!$A$2:$B$16,2,0))*E1543)</f>
        <v/>
      </c>
      <c r="H1543" s="7" t="str">
        <f t="shared" si="96"/>
        <v/>
      </c>
      <c r="I1543" s="7" t="str">
        <f>IF(AND(ISBLANK(D1543),ISBLANK(C1543)),"",((VLOOKUP(D1543,Cardápio!$A$2:$C$16,3,0))*E1543)+IF(B1543="iFood",F1543*0.27,(VLOOKUP(VENDAS!C1543,Bairros!$A$2:$B$90,2,0))))</f>
        <v/>
      </c>
      <c r="J1543" s="7" t="str">
        <f t="shared" si="97"/>
        <v/>
      </c>
      <c r="K1543" s="9">
        <f t="shared" ca="1" si="98"/>
        <v>45404.878290162036</v>
      </c>
      <c r="L1543" s="10">
        <f t="shared" ca="1" si="99"/>
        <v>45404.878290046297</v>
      </c>
    </row>
    <row r="1544" spans="6:12" x14ac:dyDescent="0.25">
      <c r="F1544" s="11" t="str">
        <f>IF(ISBLANK(D1544),"",(VLOOKUP(D1544,Cardápio!$A$2:$B$16,2,0))*E1544)</f>
        <v/>
      </c>
      <c r="H1544" s="7" t="str">
        <f t="shared" si="96"/>
        <v/>
      </c>
      <c r="I1544" s="7" t="str">
        <f>IF(AND(ISBLANK(D1544),ISBLANK(C1544)),"",((VLOOKUP(D1544,Cardápio!$A$2:$C$16,3,0))*E1544)+IF(B1544="iFood",F1544*0.27,(VLOOKUP(VENDAS!C1544,Bairros!$A$2:$B$90,2,0))))</f>
        <v/>
      </c>
      <c r="J1544" s="7" t="str">
        <f t="shared" si="97"/>
        <v/>
      </c>
      <c r="K1544" s="9">
        <f t="shared" ca="1" si="98"/>
        <v>45404.878290162036</v>
      </c>
      <c r="L1544" s="10">
        <f t="shared" ca="1" si="99"/>
        <v>45404.878290046297</v>
      </c>
    </row>
    <row r="1545" spans="6:12" x14ac:dyDescent="0.25">
      <c r="F1545" s="11" t="str">
        <f>IF(ISBLANK(D1545),"",(VLOOKUP(D1545,Cardápio!$A$2:$B$16,2,0))*E1545)</f>
        <v/>
      </c>
      <c r="H1545" s="7" t="str">
        <f t="shared" si="96"/>
        <v/>
      </c>
      <c r="I1545" s="7" t="str">
        <f>IF(AND(ISBLANK(D1545),ISBLANK(C1545)),"",((VLOOKUP(D1545,Cardápio!$A$2:$C$16,3,0))*E1545)+IF(B1545="iFood",F1545*0.27,(VLOOKUP(VENDAS!C1545,Bairros!$A$2:$B$90,2,0))))</f>
        <v/>
      </c>
      <c r="J1545" s="7" t="str">
        <f t="shared" si="97"/>
        <v/>
      </c>
      <c r="K1545" s="9">
        <f t="shared" ca="1" si="98"/>
        <v>45404.878290162036</v>
      </c>
      <c r="L1545" s="10">
        <f t="shared" ca="1" si="99"/>
        <v>45404.878290046297</v>
      </c>
    </row>
    <row r="1546" spans="6:12" x14ac:dyDescent="0.25">
      <c r="F1546" s="11" t="str">
        <f>IF(ISBLANK(D1546),"",(VLOOKUP(D1546,Cardápio!$A$2:$B$16,2,0))*E1546)</f>
        <v/>
      </c>
      <c r="H1546" s="7" t="str">
        <f t="shared" si="96"/>
        <v/>
      </c>
      <c r="I1546" s="7" t="str">
        <f>IF(AND(ISBLANK(D1546),ISBLANK(C1546)),"",((VLOOKUP(D1546,Cardápio!$A$2:$C$16,3,0))*E1546)+IF(B1546="iFood",F1546*0.27,(VLOOKUP(VENDAS!C1546,Bairros!$A$2:$B$90,2,0))))</f>
        <v/>
      </c>
      <c r="J1546" s="7" t="str">
        <f t="shared" si="97"/>
        <v/>
      </c>
      <c r="K1546" s="9">
        <f t="shared" ca="1" si="98"/>
        <v>45404.878290162036</v>
      </c>
      <c r="L1546" s="10">
        <f t="shared" ca="1" si="99"/>
        <v>45404.878290046297</v>
      </c>
    </row>
    <row r="1547" spans="6:12" x14ac:dyDescent="0.25">
      <c r="F1547" s="11" t="str">
        <f>IF(ISBLANK(D1547),"",(VLOOKUP(D1547,Cardápio!$A$2:$B$16,2,0))*E1547)</f>
        <v/>
      </c>
      <c r="H1547" s="7" t="str">
        <f t="shared" si="96"/>
        <v/>
      </c>
      <c r="I1547" s="7" t="str">
        <f>IF(AND(ISBLANK(D1547),ISBLANK(C1547)),"",((VLOOKUP(D1547,Cardápio!$A$2:$C$16,3,0))*E1547)+IF(B1547="iFood",F1547*0.27,(VLOOKUP(VENDAS!C1547,Bairros!$A$2:$B$90,2,0))))</f>
        <v/>
      </c>
      <c r="J1547" s="7" t="str">
        <f t="shared" si="97"/>
        <v/>
      </c>
      <c r="K1547" s="9">
        <f t="shared" ca="1" si="98"/>
        <v>45404.878290162036</v>
      </c>
      <c r="L1547" s="10">
        <f t="shared" ca="1" si="99"/>
        <v>45404.878290046297</v>
      </c>
    </row>
    <row r="1548" spans="6:12" x14ac:dyDescent="0.25">
      <c r="F1548" s="11" t="str">
        <f>IF(ISBLANK(D1548),"",(VLOOKUP(D1548,Cardápio!$A$2:$B$16,2,0))*E1548)</f>
        <v/>
      </c>
      <c r="H1548" s="7" t="str">
        <f t="shared" si="96"/>
        <v/>
      </c>
      <c r="I1548" s="7" t="str">
        <f>IF(AND(ISBLANK(D1548),ISBLANK(C1548)),"",((VLOOKUP(D1548,Cardápio!$A$2:$C$16,3,0))*E1548)+IF(B1548="iFood",F1548*0.27,(VLOOKUP(VENDAS!C1548,Bairros!$A$2:$B$90,2,0))))</f>
        <v/>
      </c>
      <c r="J1548" s="7" t="str">
        <f t="shared" si="97"/>
        <v/>
      </c>
      <c r="K1548" s="9">
        <f t="shared" ca="1" si="98"/>
        <v>45404.878290162036</v>
      </c>
      <c r="L1548" s="10">
        <f t="shared" ca="1" si="99"/>
        <v>45404.878290046297</v>
      </c>
    </row>
    <row r="1549" spans="6:12" x14ac:dyDescent="0.25">
      <c r="F1549" s="11" t="str">
        <f>IF(ISBLANK(D1549),"",(VLOOKUP(D1549,Cardápio!$A$2:$B$16,2,0))*E1549)</f>
        <v/>
      </c>
      <c r="H1549" s="7" t="str">
        <f t="shared" si="96"/>
        <v/>
      </c>
      <c r="I1549" s="7" t="str">
        <f>IF(AND(ISBLANK(D1549),ISBLANK(C1549)),"",((VLOOKUP(D1549,Cardápio!$A$2:$C$16,3,0))*E1549)+IF(B1549="iFood",F1549*0.27,(VLOOKUP(VENDAS!C1549,Bairros!$A$2:$B$90,2,0))))</f>
        <v/>
      </c>
      <c r="J1549" s="7" t="str">
        <f t="shared" si="97"/>
        <v/>
      </c>
      <c r="K1549" s="9">
        <f t="shared" ca="1" si="98"/>
        <v>45404.878290162036</v>
      </c>
      <c r="L1549" s="10">
        <f t="shared" ca="1" si="99"/>
        <v>45404.878290046297</v>
      </c>
    </row>
    <row r="1550" spans="6:12" x14ac:dyDescent="0.25">
      <c r="F1550" s="11" t="str">
        <f>IF(ISBLANK(D1550),"",(VLOOKUP(D1550,Cardápio!$A$2:$B$16,2,0))*E1550)</f>
        <v/>
      </c>
      <c r="H1550" s="7" t="str">
        <f t="shared" si="96"/>
        <v/>
      </c>
      <c r="I1550" s="7" t="str">
        <f>IF(AND(ISBLANK(D1550),ISBLANK(C1550)),"",((VLOOKUP(D1550,Cardápio!$A$2:$C$16,3,0))*E1550)+IF(B1550="iFood",F1550*0.27,(VLOOKUP(VENDAS!C1550,Bairros!$A$2:$B$90,2,0))))</f>
        <v/>
      </c>
      <c r="J1550" s="7" t="str">
        <f t="shared" si="97"/>
        <v/>
      </c>
      <c r="K1550" s="9">
        <f t="shared" ca="1" si="98"/>
        <v>45404.878290162036</v>
      </c>
      <c r="L1550" s="10">
        <f t="shared" ca="1" si="99"/>
        <v>45404.878290046297</v>
      </c>
    </row>
    <row r="1551" spans="6:12" x14ac:dyDescent="0.25">
      <c r="F1551" s="11" t="str">
        <f>IF(ISBLANK(D1551),"",(VLOOKUP(D1551,Cardápio!$A$2:$B$16,2,0))*E1551)</f>
        <v/>
      </c>
      <c r="H1551" s="7" t="str">
        <f t="shared" si="96"/>
        <v/>
      </c>
      <c r="I1551" s="7" t="str">
        <f>IF(AND(ISBLANK(D1551),ISBLANK(C1551)),"",((VLOOKUP(D1551,Cardápio!$A$2:$C$16,3,0))*E1551)+IF(B1551="iFood",F1551*0.27,(VLOOKUP(VENDAS!C1551,Bairros!$A$2:$B$90,2,0))))</f>
        <v/>
      </c>
      <c r="J1551" s="7" t="str">
        <f t="shared" si="97"/>
        <v/>
      </c>
      <c r="K1551" s="9">
        <f t="shared" ca="1" si="98"/>
        <v>45404.878290162036</v>
      </c>
      <c r="L1551" s="10">
        <f t="shared" ca="1" si="99"/>
        <v>45404.878290046297</v>
      </c>
    </row>
    <row r="1552" spans="6:12" x14ac:dyDescent="0.25">
      <c r="F1552" s="11" t="str">
        <f>IF(ISBLANK(D1552),"",(VLOOKUP(D1552,Cardápio!$A$2:$B$16,2,0))*E1552)</f>
        <v/>
      </c>
      <c r="H1552" s="7" t="str">
        <f t="shared" si="96"/>
        <v/>
      </c>
      <c r="I1552" s="7" t="str">
        <f>IF(AND(ISBLANK(D1552),ISBLANK(C1552)),"",((VLOOKUP(D1552,Cardápio!$A$2:$C$16,3,0))*E1552)+IF(B1552="iFood",F1552*0.27,(VLOOKUP(VENDAS!C1552,Bairros!$A$2:$B$90,2,0))))</f>
        <v/>
      </c>
      <c r="J1552" s="7" t="str">
        <f t="shared" si="97"/>
        <v/>
      </c>
      <c r="K1552" s="9">
        <f t="shared" ca="1" si="98"/>
        <v>45404.878290162036</v>
      </c>
      <c r="L1552" s="10">
        <f t="shared" ca="1" si="99"/>
        <v>45404.878290046297</v>
      </c>
    </row>
    <row r="1553" spans="6:12" x14ac:dyDescent="0.25">
      <c r="F1553" s="11" t="str">
        <f>IF(ISBLANK(D1553),"",(VLOOKUP(D1553,Cardápio!$A$2:$B$16,2,0))*E1553)</f>
        <v/>
      </c>
      <c r="H1553" s="7" t="str">
        <f t="shared" si="96"/>
        <v/>
      </c>
      <c r="I1553" s="7" t="str">
        <f>IF(AND(ISBLANK(D1553),ISBLANK(C1553)),"",((VLOOKUP(D1553,Cardápio!$A$2:$C$16,3,0))*E1553)+IF(B1553="iFood",F1553*0.27,(VLOOKUP(VENDAS!C1553,Bairros!$A$2:$B$90,2,0))))</f>
        <v/>
      </c>
      <c r="J1553" s="7" t="str">
        <f t="shared" si="97"/>
        <v/>
      </c>
      <c r="K1553" s="9">
        <f t="shared" ca="1" si="98"/>
        <v>45404.878290162036</v>
      </c>
      <c r="L1553" s="10">
        <f t="shared" ca="1" si="99"/>
        <v>45404.878290046297</v>
      </c>
    </row>
    <row r="1554" spans="6:12" x14ac:dyDescent="0.25">
      <c r="F1554" s="11" t="str">
        <f>IF(ISBLANK(D1554),"",(VLOOKUP(D1554,Cardápio!$A$2:$B$16,2,0))*E1554)</f>
        <v/>
      </c>
      <c r="H1554" s="7" t="str">
        <f t="shared" si="96"/>
        <v/>
      </c>
      <c r="I1554" s="7" t="str">
        <f>IF(AND(ISBLANK(D1554),ISBLANK(C1554)),"",((VLOOKUP(D1554,Cardápio!$A$2:$C$16,3,0))*E1554)+IF(B1554="iFood",F1554*0.27,(VLOOKUP(VENDAS!C1554,Bairros!$A$2:$B$90,2,0))))</f>
        <v/>
      </c>
      <c r="J1554" s="7" t="str">
        <f t="shared" si="97"/>
        <v/>
      </c>
      <c r="K1554" s="9">
        <f t="shared" ca="1" si="98"/>
        <v>45404.878290162036</v>
      </c>
      <c r="L1554" s="10">
        <f t="shared" ca="1" si="99"/>
        <v>45404.878290046297</v>
      </c>
    </row>
    <row r="1555" spans="6:12" x14ac:dyDescent="0.25">
      <c r="F1555" s="11" t="str">
        <f>IF(ISBLANK(D1555),"",(VLOOKUP(D1555,Cardápio!$A$2:$B$16,2,0))*E1555)</f>
        <v/>
      </c>
      <c r="H1555" s="7" t="str">
        <f t="shared" si="96"/>
        <v/>
      </c>
      <c r="I1555" s="7" t="str">
        <f>IF(AND(ISBLANK(D1555),ISBLANK(C1555)),"",((VLOOKUP(D1555,Cardápio!$A$2:$C$16,3,0))*E1555)+IF(B1555="iFood",F1555*0.27,(VLOOKUP(VENDAS!C1555,Bairros!$A$2:$B$90,2,0))))</f>
        <v/>
      </c>
      <c r="J1555" s="7" t="str">
        <f t="shared" si="97"/>
        <v/>
      </c>
      <c r="K1555" s="9">
        <f t="shared" ca="1" si="98"/>
        <v>45404.878290162036</v>
      </c>
      <c r="L1555" s="10">
        <f t="shared" ca="1" si="99"/>
        <v>45404.878290046297</v>
      </c>
    </row>
    <row r="1556" spans="6:12" x14ac:dyDescent="0.25">
      <c r="F1556" s="11" t="str">
        <f>IF(ISBLANK(D1556),"",(VLOOKUP(D1556,Cardápio!$A$2:$B$16,2,0))*E1556)</f>
        <v/>
      </c>
      <c r="H1556" s="7" t="str">
        <f t="shared" si="96"/>
        <v/>
      </c>
      <c r="I1556" s="7" t="str">
        <f>IF(AND(ISBLANK(D1556),ISBLANK(C1556)),"",((VLOOKUP(D1556,Cardápio!$A$2:$C$16,3,0))*E1556)+IF(B1556="iFood",F1556*0.27,(VLOOKUP(VENDAS!C1556,Bairros!$A$2:$B$90,2,0))))</f>
        <v/>
      </c>
      <c r="J1556" s="7" t="str">
        <f t="shared" si="97"/>
        <v/>
      </c>
      <c r="K1556" s="9">
        <f t="shared" ca="1" si="98"/>
        <v>45404.878290162036</v>
      </c>
      <c r="L1556" s="10">
        <f t="shared" ca="1" si="99"/>
        <v>45404.878290046297</v>
      </c>
    </row>
    <row r="1557" spans="6:12" x14ac:dyDescent="0.25">
      <c r="F1557" s="11" t="str">
        <f>IF(ISBLANK(D1557),"",(VLOOKUP(D1557,Cardápio!$A$2:$B$16,2,0))*E1557)</f>
        <v/>
      </c>
      <c r="H1557" s="7" t="str">
        <f t="shared" si="96"/>
        <v/>
      </c>
      <c r="I1557" s="7" t="str">
        <f>IF(AND(ISBLANK(D1557),ISBLANK(C1557)),"",((VLOOKUP(D1557,Cardápio!$A$2:$C$16,3,0))*E1557)+IF(B1557="iFood",F1557*0.27,(VLOOKUP(VENDAS!C1557,Bairros!$A$2:$B$90,2,0))))</f>
        <v/>
      </c>
      <c r="J1557" s="7" t="str">
        <f t="shared" si="97"/>
        <v/>
      </c>
      <c r="K1557" s="9">
        <f t="shared" ca="1" si="98"/>
        <v>45404.878290162036</v>
      </c>
      <c r="L1557" s="10">
        <f t="shared" ca="1" si="99"/>
        <v>45404.878290046297</v>
      </c>
    </row>
    <row r="1558" spans="6:12" x14ac:dyDescent="0.25">
      <c r="F1558" s="11" t="str">
        <f>IF(ISBLANK(D1558),"",(VLOOKUP(D1558,Cardápio!$A$2:$B$16,2,0))*E1558)</f>
        <v/>
      </c>
      <c r="H1558" s="7" t="str">
        <f t="shared" si="96"/>
        <v/>
      </c>
      <c r="I1558" s="7" t="str">
        <f>IF(AND(ISBLANK(D1558),ISBLANK(C1558)),"",((VLOOKUP(D1558,Cardápio!$A$2:$C$16,3,0))*E1558)+IF(B1558="iFood",F1558*0.27,(VLOOKUP(VENDAS!C1558,Bairros!$A$2:$B$90,2,0))))</f>
        <v/>
      </c>
      <c r="J1558" s="7" t="str">
        <f t="shared" si="97"/>
        <v/>
      </c>
      <c r="K1558" s="9">
        <f t="shared" ca="1" si="98"/>
        <v>45404.878290162036</v>
      </c>
      <c r="L1558" s="10">
        <f t="shared" ca="1" si="99"/>
        <v>45404.878290046297</v>
      </c>
    </row>
    <row r="1559" spans="6:12" x14ac:dyDescent="0.25">
      <c r="F1559" s="11" t="str">
        <f>IF(ISBLANK(D1559),"",(VLOOKUP(D1559,Cardápio!$A$2:$B$16,2,0))*E1559)</f>
        <v/>
      </c>
      <c r="H1559" s="7" t="str">
        <f t="shared" si="96"/>
        <v/>
      </c>
      <c r="I1559" s="7" t="str">
        <f>IF(AND(ISBLANK(D1559),ISBLANK(C1559)),"",((VLOOKUP(D1559,Cardápio!$A$2:$C$16,3,0))*E1559)+IF(B1559="iFood",F1559*0.27,(VLOOKUP(VENDAS!C1559,Bairros!$A$2:$B$90,2,0))))</f>
        <v/>
      </c>
      <c r="J1559" s="7" t="str">
        <f t="shared" si="97"/>
        <v/>
      </c>
      <c r="K1559" s="9">
        <f t="shared" ca="1" si="98"/>
        <v>45404.878290162036</v>
      </c>
      <c r="L1559" s="10">
        <f t="shared" ca="1" si="99"/>
        <v>45404.878290046297</v>
      </c>
    </row>
    <row r="1560" spans="6:12" x14ac:dyDescent="0.25">
      <c r="F1560" s="11" t="str">
        <f>IF(ISBLANK(D1560),"",(VLOOKUP(D1560,Cardápio!$A$2:$B$16,2,0))*E1560)</f>
        <v/>
      </c>
      <c r="H1560" s="7" t="str">
        <f t="shared" si="96"/>
        <v/>
      </c>
      <c r="I1560" s="7" t="str">
        <f>IF(AND(ISBLANK(D1560),ISBLANK(C1560)),"",((VLOOKUP(D1560,Cardápio!$A$2:$C$16,3,0))*E1560)+IF(B1560="iFood",F1560*0.27,(VLOOKUP(VENDAS!C1560,Bairros!$A$2:$B$90,2,0))))</f>
        <v/>
      </c>
      <c r="J1560" s="7" t="str">
        <f t="shared" si="97"/>
        <v/>
      </c>
      <c r="K1560" s="9">
        <f t="shared" ca="1" si="98"/>
        <v>45404.878290162036</v>
      </c>
      <c r="L1560" s="10">
        <f t="shared" ca="1" si="99"/>
        <v>45404.878290046297</v>
      </c>
    </row>
    <row r="1561" spans="6:12" x14ac:dyDescent="0.25">
      <c r="F1561" s="11" t="str">
        <f>IF(ISBLANK(D1561),"",(VLOOKUP(D1561,Cardápio!$A$2:$B$16,2,0))*E1561)</f>
        <v/>
      </c>
      <c r="H1561" s="7" t="str">
        <f t="shared" si="96"/>
        <v/>
      </c>
      <c r="I1561" s="7" t="str">
        <f>IF(AND(ISBLANK(D1561),ISBLANK(C1561)),"",((VLOOKUP(D1561,Cardápio!$A$2:$C$16,3,0))*E1561)+IF(B1561="iFood",F1561*0.27,(VLOOKUP(VENDAS!C1561,Bairros!$A$2:$B$90,2,0))))</f>
        <v/>
      </c>
      <c r="J1561" s="7" t="str">
        <f t="shared" si="97"/>
        <v/>
      </c>
      <c r="K1561" s="9">
        <f t="shared" ca="1" si="98"/>
        <v>45404.878290162036</v>
      </c>
      <c r="L1561" s="10">
        <f t="shared" ca="1" si="99"/>
        <v>45404.878290046297</v>
      </c>
    </row>
    <row r="1562" spans="6:12" x14ac:dyDescent="0.25">
      <c r="F1562" s="11" t="str">
        <f>IF(ISBLANK(D1562),"",(VLOOKUP(D1562,Cardápio!$A$2:$B$16,2,0))*E1562)</f>
        <v/>
      </c>
      <c r="H1562" s="7" t="str">
        <f t="shared" si="96"/>
        <v/>
      </c>
      <c r="I1562" s="7" t="str">
        <f>IF(AND(ISBLANK(D1562),ISBLANK(C1562)),"",((VLOOKUP(D1562,Cardápio!$A$2:$C$16,3,0))*E1562)+IF(B1562="iFood",F1562*0.27,(VLOOKUP(VENDAS!C1562,Bairros!$A$2:$B$90,2,0))))</f>
        <v/>
      </c>
      <c r="J1562" s="7" t="str">
        <f t="shared" si="97"/>
        <v/>
      </c>
      <c r="K1562" s="9">
        <f t="shared" ca="1" si="98"/>
        <v>45404.878290162036</v>
      </c>
      <c r="L1562" s="10">
        <f t="shared" ca="1" si="99"/>
        <v>45404.878290046297</v>
      </c>
    </row>
    <row r="1563" spans="6:12" x14ac:dyDescent="0.25">
      <c r="F1563" s="11" t="str">
        <f>IF(ISBLANK(D1563),"",(VLOOKUP(D1563,Cardápio!$A$2:$B$16,2,0))*E1563)</f>
        <v/>
      </c>
      <c r="H1563" s="7" t="str">
        <f t="shared" si="96"/>
        <v/>
      </c>
      <c r="I1563" s="7" t="str">
        <f>IF(AND(ISBLANK(D1563),ISBLANK(C1563)),"",((VLOOKUP(D1563,Cardápio!$A$2:$C$16,3,0))*E1563)+IF(B1563="iFood",F1563*0.27,(VLOOKUP(VENDAS!C1563,Bairros!$A$2:$B$90,2,0))))</f>
        <v/>
      </c>
      <c r="J1563" s="7" t="str">
        <f t="shared" si="97"/>
        <v/>
      </c>
      <c r="K1563" s="9">
        <f t="shared" ca="1" si="98"/>
        <v>45404.878290162036</v>
      </c>
      <c r="L1563" s="10">
        <f t="shared" ca="1" si="99"/>
        <v>45404.878290046297</v>
      </c>
    </row>
    <row r="1564" spans="6:12" x14ac:dyDescent="0.25">
      <c r="F1564" s="11" t="str">
        <f>IF(ISBLANK(D1564),"",(VLOOKUP(D1564,Cardápio!$A$2:$B$16,2,0))*E1564)</f>
        <v/>
      </c>
      <c r="H1564" s="7" t="str">
        <f t="shared" si="96"/>
        <v/>
      </c>
      <c r="I1564" s="7" t="str">
        <f>IF(AND(ISBLANK(D1564),ISBLANK(C1564)),"",((VLOOKUP(D1564,Cardápio!$A$2:$C$16,3,0))*E1564)+IF(B1564="iFood",F1564*0.27,(VLOOKUP(VENDAS!C1564,Bairros!$A$2:$B$90,2,0))))</f>
        <v/>
      </c>
      <c r="J1564" s="7" t="str">
        <f t="shared" si="97"/>
        <v/>
      </c>
      <c r="K1564" s="9">
        <f t="shared" ca="1" si="98"/>
        <v>45404.878290162036</v>
      </c>
      <c r="L1564" s="10">
        <f t="shared" ca="1" si="99"/>
        <v>45404.878290046297</v>
      </c>
    </row>
    <row r="1565" spans="6:12" x14ac:dyDescent="0.25">
      <c r="F1565" s="11" t="str">
        <f>IF(ISBLANK(D1565),"",(VLOOKUP(D1565,Cardápio!$A$2:$B$16,2,0))*E1565)</f>
        <v/>
      </c>
      <c r="H1565" s="7" t="str">
        <f t="shared" si="96"/>
        <v/>
      </c>
      <c r="I1565" s="7" t="str">
        <f>IF(AND(ISBLANK(D1565),ISBLANK(C1565)),"",((VLOOKUP(D1565,Cardápio!$A$2:$C$16,3,0))*E1565)+IF(B1565="iFood",F1565*0.27,(VLOOKUP(VENDAS!C1565,Bairros!$A$2:$B$90,2,0))))</f>
        <v/>
      </c>
      <c r="J1565" s="7" t="str">
        <f t="shared" si="97"/>
        <v/>
      </c>
      <c r="K1565" s="9">
        <f t="shared" ca="1" si="98"/>
        <v>45404.878290162036</v>
      </c>
      <c r="L1565" s="10">
        <f t="shared" ca="1" si="99"/>
        <v>45404.878290046297</v>
      </c>
    </row>
    <row r="1566" spans="6:12" x14ac:dyDescent="0.25">
      <c r="F1566" s="11" t="str">
        <f>IF(ISBLANK(D1566),"",(VLOOKUP(D1566,Cardápio!$A$2:$B$16,2,0))*E1566)</f>
        <v/>
      </c>
      <c r="H1566" s="7" t="str">
        <f t="shared" si="96"/>
        <v/>
      </c>
      <c r="I1566" s="7" t="str">
        <f>IF(AND(ISBLANK(D1566),ISBLANK(C1566)),"",((VLOOKUP(D1566,Cardápio!$A$2:$C$16,3,0))*E1566)+IF(B1566="iFood",F1566*0.27,(VLOOKUP(VENDAS!C1566,Bairros!$A$2:$B$90,2,0))))</f>
        <v/>
      </c>
      <c r="J1566" s="7" t="str">
        <f t="shared" si="97"/>
        <v/>
      </c>
      <c r="K1566" s="9">
        <f t="shared" ca="1" si="98"/>
        <v>45404.878290162036</v>
      </c>
      <c r="L1566" s="10">
        <f t="shared" ca="1" si="99"/>
        <v>45404.878290046297</v>
      </c>
    </row>
    <row r="1567" spans="6:12" x14ac:dyDescent="0.25">
      <c r="F1567" s="11" t="str">
        <f>IF(ISBLANK(D1567),"",(VLOOKUP(D1567,Cardápio!$A$2:$B$16,2,0))*E1567)</f>
        <v/>
      </c>
      <c r="H1567" s="7" t="str">
        <f t="shared" si="96"/>
        <v/>
      </c>
      <c r="I1567" s="7" t="str">
        <f>IF(AND(ISBLANK(D1567),ISBLANK(C1567)),"",((VLOOKUP(D1567,Cardápio!$A$2:$C$16,3,0))*E1567)+IF(B1567="iFood",F1567*0.27,(VLOOKUP(VENDAS!C1567,Bairros!$A$2:$B$90,2,0))))</f>
        <v/>
      </c>
      <c r="J1567" s="7" t="str">
        <f t="shared" si="97"/>
        <v/>
      </c>
      <c r="K1567" s="9">
        <f t="shared" ca="1" si="98"/>
        <v>45404.878290162036</v>
      </c>
      <c r="L1567" s="10">
        <f t="shared" ca="1" si="99"/>
        <v>45404.878290046297</v>
      </c>
    </row>
    <row r="1568" spans="6:12" x14ac:dyDescent="0.25">
      <c r="F1568" s="11" t="str">
        <f>IF(ISBLANK(D1568),"",(VLOOKUP(D1568,Cardápio!$A$2:$B$16,2,0))*E1568)</f>
        <v/>
      </c>
      <c r="H1568" s="7" t="str">
        <f t="shared" si="96"/>
        <v/>
      </c>
      <c r="I1568" s="7" t="str">
        <f>IF(AND(ISBLANK(D1568),ISBLANK(C1568)),"",((VLOOKUP(D1568,Cardápio!$A$2:$C$16,3,0))*E1568)+IF(B1568="iFood",F1568*0.27,(VLOOKUP(VENDAS!C1568,Bairros!$A$2:$B$90,2,0))))</f>
        <v/>
      </c>
      <c r="J1568" s="7" t="str">
        <f t="shared" si="97"/>
        <v/>
      </c>
      <c r="K1568" s="9">
        <f t="shared" ca="1" si="98"/>
        <v>45404.878290162036</v>
      </c>
      <c r="L1568" s="10">
        <f t="shared" ca="1" si="99"/>
        <v>45404.878290046297</v>
      </c>
    </row>
    <row r="1569" spans="6:12" x14ac:dyDescent="0.25">
      <c r="F1569" s="11" t="str">
        <f>IF(ISBLANK(D1569),"",(VLOOKUP(D1569,Cardápio!$A$2:$B$16,2,0))*E1569)</f>
        <v/>
      </c>
      <c r="H1569" s="7" t="str">
        <f t="shared" si="96"/>
        <v/>
      </c>
      <c r="I1569" s="7" t="str">
        <f>IF(AND(ISBLANK(D1569),ISBLANK(C1569)),"",((VLOOKUP(D1569,Cardápio!$A$2:$C$16,3,0))*E1569)+IF(B1569="iFood",F1569*0.27,(VLOOKUP(VENDAS!C1569,Bairros!$A$2:$B$90,2,0))))</f>
        <v/>
      </c>
      <c r="J1569" s="7" t="str">
        <f t="shared" si="97"/>
        <v/>
      </c>
      <c r="K1569" s="9">
        <f t="shared" ca="1" si="98"/>
        <v>45404.878290162036</v>
      </c>
      <c r="L1569" s="10">
        <f t="shared" ca="1" si="99"/>
        <v>45404.878290046297</v>
      </c>
    </row>
    <row r="1570" spans="6:12" x14ac:dyDescent="0.25">
      <c r="F1570" s="11" t="str">
        <f>IF(ISBLANK(D1570),"",(VLOOKUP(D1570,Cardápio!$A$2:$B$16,2,0))*E1570)</f>
        <v/>
      </c>
      <c r="H1570" s="7" t="str">
        <f t="shared" si="96"/>
        <v/>
      </c>
      <c r="I1570" s="7" t="str">
        <f>IF(AND(ISBLANK(D1570),ISBLANK(C1570)),"",((VLOOKUP(D1570,Cardápio!$A$2:$C$16,3,0))*E1570)+IF(B1570="iFood",F1570*0.27,(VLOOKUP(VENDAS!C1570,Bairros!$A$2:$B$90,2,0))))</f>
        <v/>
      </c>
      <c r="J1570" s="7" t="str">
        <f t="shared" si="97"/>
        <v/>
      </c>
      <c r="K1570" s="9">
        <f t="shared" ca="1" si="98"/>
        <v>45404.878290162036</v>
      </c>
      <c r="L1570" s="10">
        <f t="shared" ca="1" si="99"/>
        <v>45404.878290046297</v>
      </c>
    </row>
    <row r="1571" spans="6:12" x14ac:dyDescent="0.25">
      <c r="F1571" s="11" t="str">
        <f>IF(ISBLANK(D1571),"",(VLOOKUP(D1571,Cardápio!$A$2:$B$16,2,0))*E1571)</f>
        <v/>
      </c>
      <c r="H1571" s="7" t="str">
        <f t="shared" si="96"/>
        <v/>
      </c>
      <c r="I1571" s="7" t="str">
        <f>IF(AND(ISBLANK(D1571),ISBLANK(C1571)),"",((VLOOKUP(D1571,Cardápio!$A$2:$C$16,3,0))*E1571)+IF(B1571="iFood",F1571*0.27,(VLOOKUP(VENDAS!C1571,Bairros!$A$2:$B$90,2,0))))</f>
        <v/>
      </c>
      <c r="J1571" s="7" t="str">
        <f t="shared" si="97"/>
        <v/>
      </c>
      <c r="K1571" s="9">
        <f t="shared" ca="1" si="98"/>
        <v>45404.878290162036</v>
      </c>
      <c r="L1571" s="10">
        <f t="shared" ca="1" si="99"/>
        <v>45404.878290046297</v>
      </c>
    </row>
    <row r="1572" spans="6:12" x14ac:dyDescent="0.25">
      <c r="F1572" s="11" t="str">
        <f>IF(ISBLANK(D1572),"",(VLOOKUP(D1572,Cardápio!$A$2:$B$16,2,0))*E1572)</f>
        <v/>
      </c>
      <c r="H1572" s="7" t="str">
        <f t="shared" si="96"/>
        <v/>
      </c>
      <c r="I1572" s="7" t="str">
        <f>IF(AND(ISBLANK(D1572),ISBLANK(C1572)),"",((VLOOKUP(D1572,Cardápio!$A$2:$C$16,3,0))*E1572)+IF(B1572="iFood",F1572*0.27,(VLOOKUP(VENDAS!C1572,Bairros!$A$2:$B$90,2,0))))</f>
        <v/>
      </c>
      <c r="J1572" s="7" t="str">
        <f t="shared" si="97"/>
        <v/>
      </c>
      <c r="K1572" s="9">
        <f t="shared" ca="1" si="98"/>
        <v>45404.878290162036</v>
      </c>
      <c r="L1572" s="10">
        <f t="shared" ca="1" si="99"/>
        <v>45404.878290046297</v>
      </c>
    </row>
    <row r="1573" spans="6:12" x14ac:dyDescent="0.25">
      <c r="F1573" s="11" t="str">
        <f>IF(ISBLANK(D1573),"",(VLOOKUP(D1573,Cardápio!$A$2:$B$16,2,0))*E1573)</f>
        <v/>
      </c>
      <c r="H1573" s="7" t="str">
        <f t="shared" si="96"/>
        <v/>
      </c>
      <c r="I1573" s="7" t="str">
        <f>IF(AND(ISBLANK(D1573),ISBLANK(C1573)),"",((VLOOKUP(D1573,Cardápio!$A$2:$C$16,3,0))*E1573)+IF(B1573="iFood",F1573*0.27,(VLOOKUP(VENDAS!C1573,Bairros!$A$2:$B$90,2,0))))</f>
        <v/>
      </c>
      <c r="J1573" s="7" t="str">
        <f t="shared" si="97"/>
        <v/>
      </c>
      <c r="K1573" s="9">
        <f t="shared" ca="1" si="98"/>
        <v>45404.878290162036</v>
      </c>
      <c r="L1573" s="10">
        <f t="shared" ca="1" si="99"/>
        <v>45404.878290046297</v>
      </c>
    </row>
    <row r="1574" spans="6:12" x14ac:dyDescent="0.25">
      <c r="F1574" s="11" t="str">
        <f>IF(ISBLANK(D1574),"",(VLOOKUP(D1574,Cardápio!$A$2:$B$16,2,0))*E1574)</f>
        <v/>
      </c>
      <c r="H1574" s="7" t="str">
        <f t="shared" si="96"/>
        <v/>
      </c>
      <c r="I1574" s="7" t="str">
        <f>IF(AND(ISBLANK(D1574),ISBLANK(C1574)),"",((VLOOKUP(D1574,Cardápio!$A$2:$C$16,3,0))*E1574)+IF(B1574="iFood",F1574*0.27,(VLOOKUP(VENDAS!C1574,Bairros!$A$2:$B$90,2,0))))</f>
        <v/>
      </c>
      <c r="J1574" s="7" t="str">
        <f t="shared" si="97"/>
        <v/>
      </c>
      <c r="K1574" s="9">
        <f t="shared" ca="1" si="98"/>
        <v>45404.878290162036</v>
      </c>
      <c r="L1574" s="10">
        <f t="shared" ca="1" si="99"/>
        <v>45404.878290046297</v>
      </c>
    </row>
    <row r="1575" spans="6:12" x14ac:dyDescent="0.25">
      <c r="F1575" s="11" t="str">
        <f>IF(ISBLANK(D1575),"",(VLOOKUP(D1575,Cardápio!$A$2:$B$16,2,0))*E1575)</f>
        <v/>
      </c>
      <c r="H1575" s="7" t="str">
        <f t="shared" si="96"/>
        <v/>
      </c>
      <c r="I1575" s="7" t="str">
        <f>IF(AND(ISBLANK(D1575),ISBLANK(C1575)),"",((VLOOKUP(D1575,Cardápio!$A$2:$C$16,3,0))*E1575)+IF(B1575="iFood",F1575*0.27,(VLOOKUP(VENDAS!C1575,Bairros!$A$2:$B$90,2,0))))</f>
        <v/>
      </c>
      <c r="J1575" s="7" t="str">
        <f t="shared" si="97"/>
        <v/>
      </c>
      <c r="K1575" s="9">
        <f t="shared" ca="1" si="98"/>
        <v>45404.878290162036</v>
      </c>
      <c r="L1575" s="10">
        <f t="shared" ca="1" si="99"/>
        <v>45404.878290046297</v>
      </c>
    </row>
    <row r="1576" spans="6:12" x14ac:dyDescent="0.25">
      <c r="F1576" s="11" t="str">
        <f>IF(ISBLANK(D1576),"",(VLOOKUP(D1576,Cardápio!$A$2:$B$16,2,0))*E1576)</f>
        <v/>
      </c>
      <c r="H1576" s="7" t="str">
        <f t="shared" si="96"/>
        <v/>
      </c>
      <c r="I1576" s="7" t="str">
        <f>IF(AND(ISBLANK(D1576),ISBLANK(C1576)),"",((VLOOKUP(D1576,Cardápio!$A$2:$C$16,3,0))*E1576)+IF(B1576="iFood",F1576*0.27,(VLOOKUP(VENDAS!C1576,Bairros!$A$2:$B$90,2,0))))</f>
        <v/>
      </c>
      <c r="J1576" s="7" t="str">
        <f t="shared" si="97"/>
        <v/>
      </c>
      <c r="K1576" s="9">
        <f t="shared" ca="1" si="98"/>
        <v>45404.878290162036</v>
      </c>
      <c r="L1576" s="10">
        <f t="shared" ca="1" si="99"/>
        <v>45404.878290046297</v>
      </c>
    </row>
    <row r="1577" spans="6:12" x14ac:dyDescent="0.25">
      <c r="F1577" s="11" t="str">
        <f>IF(ISBLANK(D1577),"",(VLOOKUP(D1577,Cardápio!$A$2:$B$16,2,0))*E1577)</f>
        <v/>
      </c>
      <c r="H1577" s="7" t="str">
        <f t="shared" si="96"/>
        <v/>
      </c>
      <c r="I1577" s="7" t="str">
        <f>IF(AND(ISBLANK(D1577),ISBLANK(C1577)),"",((VLOOKUP(D1577,Cardápio!$A$2:$C$16,3,0))*E1577)+IF(B1577="iFood",F1577*0.27,(VLOOKUP(VENDAS!C1577,Bairros!$A$2:$B$90,2,0))))</f>
        <v/>
      </c>
      <c r="J1577" s="7" t="str">
        <f t="shared" si="97"/>
        <v/>
      </c>
      <c r="K1577" s="9">
        <f t="shared" ca="1" si="98"/>
        <v>45404.878290162036</v>
      </c>
      <c r="L1577" s="10">
        <f t="shared" ca="1" si="99"/>
        <v>45404.878290046297</v>
      </c>
    </row>
    <row r="1578" spans="6:12" x14ac:dyDescent="0.25">
      <c r="F1578" s="11" t="str">
        <f>IF(ISBLANK(D1578),"",(VLOOKUP(D1578,Cardápio!$A$2:$B$16,2,0))*E1578)</f>
        <v/>
      </c>
      <c r="H1578" s="7" t="str">
        <f t="shared" si="96"/>
        <v/>
      </c>
      <c r="I1578" s="7" t="str">
        <f>IF(AND(ISBLANK(D1578),ISBLANK(C1578)),"",((VLOOKUP(D1578,Cardápio!$A$2:$C$16,3,0))*E1578)+IF(B1578="iFood",F1578*0.27,(VLOOKUP(VENDAS!C1578,Bairros!$A$2:$B$90,2,0))))</f>
        <v/>
      </c>
      <c r="J1578" s="7" t="str">
        <f t="shared" si="97"/>
        <v/>
      </c>
      <c r="K1578" s="9">
        <f t="shared" ca="1" si="98"/>
        <v>45404.878290162036</v>
      </c>
      <c r="L1578" s="10">
        <f t="shared" ca="1" si="99"/>
        <v>45404.878290046297</v>
      </c>
    </row>
    <row r="1579" spans="6:12" x14ac:dyDescent="0.25">
      <c r="F1579" s="11" t="str">
        <f>IF(ISBLANK(D1579),"",(VLOOKUP(D1579,Cardápio!$A$2:$B$16,2,0))*E1579)</f>
        <v/>
      </c>
      <c r="H1579" s="7" t="str">
        <f t="shared" si="96"/>
        <v/>
      </c>
      <c r="I1579" s="7" t="str">
        <f>IF(AND(ISBLANK(D1579),ISBLANK(C1579)),"",((VLOOKUP(D1579,Cardápio!$A$2:$C$16,3,0))*E1579)+IF(B1579="iFood",F1579*0.27,(VLOOKUP(VENDAS!C1579,Bairros!$A$2:$B$90,2,0))))</f>
        <v/>
      </c>
      <c r="J1579" s="7" t="str">
        <f t="shared" si="97"/>
        <v/>
      </c>
      <c r="K1579" s="9">
        <f t="shared" ca="1" si="98"/>
        <v>45404.878290162036</v>
      </c>
      <c r="L1579" s="10">
        <f t="shared" ca="1" si="99"/>
        <v>45404.878290046297</v>
      </c>
    </row>
    <row r="1580" spans="6:12" x14ac:dyDescent="0.25">
      <c r="F1580" s="11" t="str">
        <f>IF(ISBLANK(D1580),"",(VLOOKUP(D1580,Cardápio!$A$2:$B$16,2,0))*E1580)</f>
        <v/>
      </c>
      <c r="H1580" s="7" t="str">
        <f t="shared" si="96"/>
        <v/>
      </c>
      <c r="I1580" s="7" t="str">
        <f>IF(AND(ISBLANK(D1580),ISBLANK(C1580)),"",((VLOOKUP(D1580,Cardápio!$A$2:$C$16,3,0))*E1580)+IF(B1580="iFood",F1580*0.27,(VLOOKUP(VENDAS!C1580,Bairros!$A$2:$B$90,2,0))))</f>
        <v/>
      </c>
      <c r="J1580" s="7" t="str">
        <f t="shared" si="97"/>
        <v/>
      </c>
      <c r="K1580" s="9">
        <f t="shared" ca="1" si="98"/>
        <v>45404.878290162036</v>
      </c>
      <c r="L1580" s="10">
        <f t="shared" ca="1" si="99"/>
        <v>45404.878290046297</v>
      </c>
    </row>
    <row r="1581" spans="6:12" x14ac:dyDescent="0.25">
      <c r="F1581" s="11" t="str">
        <f>IF(ISBLANK(D1581),"",(VLOOKUP(D1581,Cardápio!$A$2:$B$16,2,0))*E1581)</f>
        <v/>
      </c>
      <c r="H1581" s="7" t="str">
        <f t="shared" si="96"/>
        <v/>
      </c>
      <c r="I1581" s="7" t="str">
        <f>IF(AND(ISBLANK(D1581),ISBLANK(C1581)),"",((VLOOKUP(D1581,Cardápio!$A$2:$C$16,3,0))*E1581)+IF(B1581="iFood",F1581*0.27,(VLOOKUP(VENDAS!C1581,Bairros!$A$2:$B$90,2,0))))</f>
        <v/>
      </c>
      <c r="J1581" s="7" t="str">
        <f t="shared" si="97"/>
        <v/>
      </c>
      <c r="K1581" s="9">
        <f t="shared" ca="1" si="98"/>
        <v>45404.878290162036</v>
      </c>
      <c r="L1581" s="10">
        <f t="shared" ca="1" si="99"/>
        <v>45404.878290046297</v>
      </c>
    </row>
    <row r="1582" spans="6:12" x14ac:dyDescent="0.25">
      <c r="F1582" s="11" t="str">
        <f>IF(ISBLANK(D1582),"",(VLOOKUP(D1582,Cardápio!$A$2:$B$16,2,0))*E1582)</f>
        <v/>
      </c>
      <c r="H1582" s="7" t="str">
        <f t="shared" si="96"/>
        <v/>
      </c>
      <c r="I1582" s="7" t="str">
        <f>IF(AND(ISBLANK(D1582),ISBLANK(C1582)),"",((VLOOKUP(D1582,Cardápio!$A$2:$C$16,3,0))*E1582)+IF(B1582="iFood",F1582*0.27,(VLOOKUP(VENDAS!C1582,Bairros!$A$2:$B$90,2,0))))</f>
        <v/>
      </c>
      <c r="J1582" s="7" t="str">
        <f t="shared" si="97"/>
        <v/>
      </c>
      <c r="K1582" s="9">
        <f t="shared" ca="1" si="98"/>
        <v>45404.878290162036</v>
      </c>
      <c r="L1582" s="10">
        <f t="shared" ca="1" si="99"/>
        <v>45404.878290046297</v>
      </c>
    </row>
    <row r="1583" spans="6:12" x14ac:dyDescent="0.25">
      <c r="F1583" s="11" t="str">
        <f>IF(ISBLANK(D1583),"",(VLOOKUP(D1583,Cardápio!$A$2:$B$16,2,0))*E1583)</f>
        <v/>
      </c>
      <c r="H1583" s="7" t="str">
        <f t="shared" si="96"/>
        <v/>
      </c>
      <c r="I1583" s="7" t="str">
        <f>IF(AND(ISBLANK(D1583),ISBLANK(C1583)),"",((VLOOKUP(D1583,Cardápio!$A$2:$C$16,3,0))*E1583)+IF(B1583="iFood",F1583*0.27,(VLOOKUP(VENDAS!C1583,Bairros!$A$2:$B$90,2,0))))</f>
        <v/>
      </c>
      <c r="J1583" s="7" t="str">
        <f t="shared" si="97"/>
        <v/>
      </c>
      <c r="K1583" s="9">
        <f t="shared" ca="1" si="98"/>
        <v>45404.878290162036</v>
      </c>
      <c r="L1583" s="10">
        <f t="shared" ca="1" si="99"/>
        <v>45404.878290046297</v>
      </c>
    </row>
    <row r="1584" spans="6:12" x14ac:dyDescent="0.25">
      <c r="F1584" s="11" t="str">
        <f>IF(ISBLANK(D1584),"",(VLOOKUP(D1584,Cardápio!$A$2:$B$16,2,0))*E1584)</f>
        <v/>
      </c>
      <c r="H1584" s="7" t="str">
        <f t="shared" si="96"/>
        <v/>
      </c>
      <c r="I1584" s="7" t="str">
        <f>IF(AND(ISBLANK(D1584),ISBLANK(C1584)),"",((VLOOKUP(D1584,Cardápio!$A$2:$C$16,3,0))*E1584)+IF(B1584="iFood",F1584*0.27,(VLOOKUP(VENDAS!C1584,Bairros!$A$2:$B$90,2,0))))</f>
        <v/>
      </c>
      <c r="J1584" s="7" t="str">
        <f t="shared" si="97"/>
        <v/>
      </c>
      <c r="K1584" s="9">
        <f t="shared" ca="1" si="98"/>
        <v>45404.878290162036</v>
      </c>
      <c r="L1584" s="10">
        <f t="shared" ca="1" si="99"/>
        <v>45404.878290046297</v>
      </c>
    </row>
    <row r="1585" spans="6:12" x14ac:dyDescent="0.25">
      <c r="F1585" s="11" t="str">
        <f>IF(ISBLANK(D1585),"",(VLOOKUP(D1585,Cardápio!$A$2:$B$16,2,0))*E1585)</f>
        <v/>
      </c>
      <c r="H1585" s="7" t="str">
        <f t="shared" si="96"/>
        <v/>
      </c>
      <c r="I1585" s="7" t="str">
        <f>IF(AND(ISBLANK(D1585),ISBLANK(C1585)),"",((VLOOKUP(D1585,Cardápio!$A$2:$C$16,3,0))*E1585)+IF(B1585="iFood",F1585*0.27,(VLOOKUP(VENDAS!C1585,Bairros!$A$2:$B$90,2,0))))</f>
        <v/>
      </c>
      <c r="J1585" s="7" t="str">
        <f t="shared" si="97"/>
        <v/>
      </c>
      <c r="K1585" s="9">
        <f t="shared" ca="1" si="98"/>
        <v>45404.878290162036</v>
      </c>
      <c r="L1585" s="10">
        <f t="shared" ca="1" si="99"/>
        <v>45404.878290046297</v>
      </c>
    </row>
    <row r="1586" spans="6:12" x14ac:dyDescent="0.25">
      <c r="F1586" s="11" t="str">
        <f>IF(ISBLANK(D1586),"",(VLOOKUP(D1586,Cardápio!$A$2:$B$16,2,0))*E1586)</f>
        <v/>
      </c>
      <c r="H1586" s="7" t="str">
        <f t="shared" si="96"/>
        <v/>
      </c>
      <c r="I1586" s="7" t="str">
        <f>IF(AND(ISBLANK(D1586),ISBLANK(C1586)),"",((VLOOKUP(D1586,Cardápio!$A$2:$C$16,3,0))*E1586)+IF(B1586="iFood",F1586*0.27,(VLOOKUP(VENDAS!C1586,Bairros!$A$2:$B$90,2,0))))</f>
        <v/>
      </c>
      <c r="J1586" s="7" t="str">
        <f t="shared" si="97"/>
        <v/>
      </c>
      <c r="K1586" s="9">
        <f t="shared" ca="1" si="98"/>
        <v>45404.878290162036</v>
      </c>
      <c r="L1586" s="10">
        <f t="shared" ca="1" si="99"/>
        <v>45404.878290046297</v>
      </c>
    </row>
    <row r="1587" spans="6:12" x14ac:dyDescent="0.25">
      <c r="F1587" s="11" t="str">
        <f>IF(ISBLANK(D1587),"",(VLOOKUP(D1587,Cardápio!$A$2:$B$16,2,0))*E1587)</f>
        <v/>
      </c>
      <c r="H1587" s="7" t="str">
        <f t="shared" si="96"/>
        <v/>
      </c>
      <c r="I1587" s="7" t="str">
        <f>IF(AND(ISBLANK(D1587),ISBLANK(C1587)),"",((VLOOKUP(D1587,Cardápio!$A$2:$C$16,3,0))*E1587)+IF(B1587="iFood",F1587*0.27,(VLOOKUP(VENDAS!C1587,Bairros!$A$2:$B$90,2,0))))</f>
        <v/>
      </c>
      <c r="J1587" s="7" t="str">
        <f t="shared" si="97"/>
        <v/>
      </c>
      <c r="K1587" s="9">
        <f t="shared" ca="1" si="98"/>
        <v>45404.878290162036</v>
      </c>
      <c r="L1587" s="10">
        <f t="shared" ca="1" si="99"/>
        <v>45404.878290046297</v>
      </c>
    </row>
    <row r="1588" spans="6:12" x14ac:dyDescent="0.25">
      <c r="F1588" s="11" t="str">
        <f>IF(ISBLANK(D1588),"",(VLOOKUP(D1588,Cardápio!$A$2:$B$16,2,0))*E1588)</f>
        <v/>
      </c>
      <c r="H1588" s="7" t="str">
        <f t="shared" si="96"/>
        <v/>
      </c>
      <c r="I1588" s="7" t="str">
        <f>IF(AND(ISBLANK(D1588),ISBLANK(C1588)),"",((VLOOKUP(D1588,Cardápio!$A$2:$C$16,3,0))*E1588)+IF(B1588="iFood",F1588*0.27,(VLOOKUP(VENDAS!C1588,Bairros!$A$2:$B$90,2,0))))</f>
        <v/>
      </c>
      <c r="J1588" s="7" t="str">
        <f t="shared" si="97"/>
        <v/>
      </c>
      <c r="K1588" s="9">
        <f t="shared" ca="1" si="98"/>
        <v>45404.878290162036</v>
      </c>
      <c r="L1588" s="10">
        <f t="shared" ca="1" si="99"/>
        <v>45404.878290046297</v>
      </c>
    </row>
    <row r="1589" spans="6:12" x14ac:dyDescent="0.25">
      <c r="F1589" s="11" t="str">
        <f>IF(ISBLANK(D1589),"",(VLOOKUP(D1589,Cardápio!$A$2:$B$16,2,0))*E1589)</f>
        <v/>
      </c>
      <c r="H1589" s="7" t="str">
        <f t="shared" ref="H1589:H1652" si="100">IF(ISBLANK(D1589),"",F1589-G1589)</f>
        <v/>
      </c>
      <c r="I1589" s="7" t="str">
        <f>IF(AND(ISBLANK(D1589),ISBLANK(C1589)),"",((VLOOKUP(D1589,Cardápio!$A$2:$C$16,3,0))*E1589)+IF(B1589="iFood",F1589*0.27,(VLOOKUP(VENDAS!C1589,Bairros!$A$2:$B$90,2,0))))</f>
        <v/>
      </c>
      <c r="J1589" s="7" t="str">
        <f t="shared" ref="J1589:J1652" si="101">IF(OR(AND(ISBLANK(H1589),ISBLANK(I1589)),(AND(H1589="",I1589=""))),"",H1589-I1589)</f>
        <v/>
      </c>
      <c r="K1589" s="9">
        <f t="shared" ref="K1589:K1652" ca="1" si="102">IF(D1589&lt;&gt;"",K1589,NOW())</f>
        <v>45404.878290162036</v>
      </c>
      <c r="L1589" s="10">
        <f t="shared" ref="L1589:L1652" ca="1" si="103">IF(D1589&lt;&gt;"",L1589,NOW())</f>
        <v>45404.878290046297</v>
      </c>
    </row>
    <row r="1590" spans="6:12" x14ac:dyDescent="0.25">
      <c r="F1590" s="11" t="str">
        <f>IF(ISBLANK(D1590),"",(VLOOKUP(D1590,Cardápio!$A$2:$B$16,2,0))*E1590)</f>
        <v/>
      </c>
      <c r="H1590" s="7" t="str">
        <f t="shared" si="100"/>
        <v/>
      </c>
      <c r="I1590" s="7" t="str">
        <f>IF(AND(ISBLANK(D1590),ISBLANK(C1590)),"",((VLOOKUP(D1590,Cardápio!$A$2:$C$16,3,0))*E1590)+IF(B1590="iFood",F1590*0.27,(VLOOKUP(VENDAS!C1590,Bairros!$A$2:$B$90,2,0))))</f>
        <v/>
      </c>
      <c r="J1590" s="7" t="str">
        <f t="shared" si="101"/>
        <v/>
      </c>
      <c r="K1590" s="9">
        <f t="shared" ca="1" si="102"/>
        <v>45404.878290162036</v>
      </c>
      <c r="L1590" s="10">
        <f t="shared" ca="1" si="103"/>
        <v>45404.878290046297</v>
      </c>
    </row>
    <row r="1591" spans="6:12" x14ac:dyDescent="0.25">
      <c r="F1591" s="11" t="str">
        <f>IF(ISBLANK(D1591),"",(VLOOKUP(D1591,Cardápio!$A$2:$B$16,2,0))*E1591)</f>
        <v/>
      </c>
      <c r="H1591" s="7" t="str">
        <f t="shared" si="100"/>
        <v/>
      </c>
      <c r="I1591" s="7" t="str">
        <f>IF(AND(ISBLANK(D1591),ISBLANK(C1591)),"",((VLOOKUP(D1591,Cardápio!$A$2:$C$16,3,0))*E1591)+IF(B1591="iFood",F1591*0.27,(VLOOKUP(VENDAS!C1591,Bairros!$A$2:$B$90,2,0))))</f>
        <v/>
      </c>
      <c r="J1591" s="7" t="str">
        <f t="shared" si="101"/>
        <v/>
      </c>
      <c r="K1591" s="9">
        <f t="shared" ca="1" si="102"/>
        <v>45404.878290162036</v>
      </c>
      <c r="L1591" s="10">
        <f t="shared" ca="1" si="103"/>
        <v>45404.878290046297</v>
      </c>
    </row>
    <row r="1592" spans="6:12" x14ac:dyDescent="0.25">
      <c r="F1592" s="11" t="str">
        <f>IF(ISBLANK(D1592),"",(VLOOKUP(D1592,Cardápio!$A$2:$B$16,2,0))*E1592)</f>
        <v/>
      </c>
      <c r="H1592" s="7" t="str">
        <f t="shared" si="100"/>
        <v/>
      </c>
      <c r="I1592" s="7" t="str">
        <f>IF(AND(ISBLANK(D1592),ISBLANK(C1592)),"",((VLOOKUP(D1592,Cardápio!$A$2:$C$16,3,0))*E1592)+IF(B1592="iFood",F1592*0.27,(VLOOKUP(VENDAS!C1592,Bairros!$A$2:$B$90,2,0))))</f>
        <v/>
      </c>
      <c r="J1592" s="7" t="str">
        <f t="shared" si="101"/>
        <v/>
      </c>
      <c r="K1592" s="9">
        <f t="shared" ca="1" si="102"/>
        <v>45404.878290162036</v>
      </c>
      <c r="L1592" s="10">
        <f t="shared" ca="1" si="103"/>
        <v>45404.878290046297</v>
      </c>
    </row>
    <row r="1593" spans="6:12" x14ac:dyDescent="0.25">
      <c r="F1593" s="11" t="str">
        <f>IF(ISBLANK(D1593),"",(VLOOKUP(D1593,Cardápio!$A$2:$B$16,2,0))*E1593)</f>
        <v/>
      </c>
      <c r="H1593" s="7" t="str">
        <f t="shared" si="100"/>
        <v/>
      </c>
      <c r="I1593" s="7" t="str">
        <f>IF(AND(ISBLANK(D1593),ISBLANK(C1593)),"",((VLOOKUP(D1593,Cardápio!$A$2:$C$16,3,0))*E1593)+IF(B1593="iFood",F1593*0.27,(VLOOKUP(VENDAS!C1593,Bairros!$A$2:$B$90,2,0))))</f>
        <v/>
      </c>
      <c r="J1593" s="7" t="str">
        <f t="shared" si="101"/>
        <v/>
      </c>
      <c r="K1593" s="9">
        <f t="shared" ca="1" si="102"/>
        <v>45404.878290162036</v>
      </c>
      <c r="L1593" s="10">
        <f t="shared" ca="1" si="103"/>
        <v>45404.878290046297</v>
      </c>
    </row>
    <row r="1594" spans="6:12" x14ac:dyDescent="0.25">
      <c r="F1594" s="11" t="str">
        <f>IF(ISBLANK(D1594),"",(VLOOKUP(D1594,Cardápio!$A$2:$B$16,2,0))*E1594)</f>
        <v/>
      </c>
      <c r="H1594" s="7" t="str">
        <f t="shared" si="100"/>
        <v/>
      </c>
      <c r="I1594" s="7" t="str">
        <f>IF(AND(ISBLANK(D1594),ISBLANK(C1594)),"",((VLOOKUP(D1594,Cardápio!$A$2:$C$16,3,0))*E1594)+IF(B1594="iFood",F1594*0.27,(VLOOKUP(VENDAS!C1594,Bairros!$A$2:$B$90,2,0))))</f>
        <v/>
      </c>
      <c r="J1594" s="7" t="str">
        <f t="shared" si="101"/>
        <v/>
      </c>
      <c r="K1594" s="9">
        <f t="shared" ca="1" si="102"/>
        <v>45404.878290162036</v>
      </c>
      <c r="L1594" s="10">
        <f t="shared" ca="1" si="103"/>
        <v>45404.878290046297</v>
      </c>
    </row>
    <row r="1595" spans="6:12" x14ac:dyDescent="0.25">
      <c r="F1595" s="11" t="str">
        <f>IF(ISBLANK(D1595),"",(VLOOKUP(D1595,Cardápio!$A$2:$B$16,2,0))*E1595)</f>
        <v/>
      </c>
      <c r="H1595" s="7" t="str">
        <f t="shared" si="100"/>
        <v/>
      </c>
      <c r="I1595" s="7" t="str">
        <f>IF(AND(ISBLANK(D1595),ISBLANK(C1595)),"",((VLOOKUP(D1595,Cardápio!$A$2:$C$16,3,0))*E1595)+IF(B1595="iFood",F1595*0.27,(VLOOKUP(VENDAS!C1595,Bairros!$A$2:$B$90,2,0))))</f>
        <v/>
      </c>
      <c r="J1595" s="7" t="str">
        <f t="shared" si="101"/>
        <v/>
      </c>
      <c r="K1595" s="9">
        <f t="shared" ca="1" si="102"/>
        <v>45404.878290162036</v>
      </c>
      <c r="L1595" s="10">
        <f t="shared" ca="1" si="103"/>
        <v>45404.878290046297</v>
      </c>
    </row>
    <row r="1596" spans="6:12" x14ac:dyDescent="0.25">
      <c r="F1596" s="11" t="str">
        <f>IF(ISBLANK(D1596),"",(VLOOKUP(D1596,Cardápio!$A$2:$B$16,2,0))*E1596)</f>
        <v/>
      </c>
      <c r="H1596" s="7" t="str">
        <f t="shared" si="100"/>
        <v/>
      </c>
      <c r="I1596" s="7" t="str">
        <f>IF(AND(ISBLANK(D1596),ISBLANK(C1596)),"",((VLOOKUP(D1596,Cardápio!$A$2:$C$16,3,0))*E1596)+IF(B1596="iFood",F1596*0.27,(VLOOKUP(VENDAS!C1596,Bairros!$A$2:$B$90,2,0))))</f>
        <v/>
      </c>
      <c r="J1596" s="7" t="str">
        <f t="shared" si="101"/>
        <v/>
      </c>
      <c r="K1596" s="9">
        <f t="shared" ca="1" si="102"/>
        <v>45404.878290162036</v>
      </c>
      <c r="L1596" s="10">
        <f t="shared" ca="1" si="103"/>
        <v>45404.878290046297</v>
      </c>
    </row>
    <row r="1597" spans="6:12" x14ac:dyDescent="0.25">
      <c r="F1597" s="11" t="str">
        <f>IF(ISBLANK(D1597),"",(VLOOKUP(D1597,Cardápio!$A$2:$B$16,2,0))*E1597)</f>
        <v/>
      </c>
      <c r="H1597" s="7" t="str">
        <f t="shared" si="100"/>
        <v/>
      </c>
      <c r="I1597" s="7" t="str">
        <f>IF(AND(ISBLANK(D1597),ISBLANK(C1597)),"",((VLOOKUP(D1597,Cardápio!$A$2:$C$16,3,0))*E1597)+IF(B1597="iFood",F1597*0.27,(VLOOKUP(VENDAS!C1597,Bairros!$A$2:$B$90,2,0))))</f>
        <v/>
      </c>
      <c r="J1597" s="7" t="str">
        <f t="shared" si="101"/>
        <v/>
      </c>
      <c r="K1597" s="9">
        <f t="shared" ca="1" si="102"/>
        <v>45404.878290162036</v>
      </c>
      <c r="L1597" s="10">
        <f t="shared" ca="1" si="103"/>
        <v>45404.878290046297</v>
      </c>
    </row>
    <row r="1598" spans="6:12" x14ac:dyDescent="0.25">
      <c r="F1598" s="11" t="str">
        <f>IF(ISBLANK(D1598),"",(VLOOKUP(D1598,Cardápio!$A$2:$B$16,2,0))*E1598)</f>
        <v/>
      </c>
      <c r="H1598" s="7" t="str">
        <f t="shared" si="100"/>
        <v/>
      </c>
      <c r="I1598" s="7" t="str">
        <f>IF(AND(ISBLANK(D1598),ISBLANK(C1598)),"",((VLOOKUP(D1598,Cardápio!$A$2:$C$16,3,0))*E1598)+IF(B1598="iFood",F1598*0.27,(VLOOKUP(VENDAS!C1598,Bairros!$A$2:$B$90,2,0))))</f>
        <v/>
      </c>
      <c r="J1598" s="7" t="str">
        <f t="shared" si="101"/>
        <v/>
      </c>
      <c r="K1598" s="9">
        <f t="shared" ca="1" si="102"/>
        <v>45404.878290162036</v>
      </c>
      <c r="L1598" s="10">
        <f t="shared" ca="1" si="103"/>
        <v>45404.878290046297</v>
      </c>
    </row>
    <row r="1599" spans="6:12" x14ac:dyDescent="0.25">
      <c r="F1599" s="11" t="str">
        <f>IF(ISBLANK(D1599),"",(VLOOKUP(D1599,Cardápio!$A$2:$B$16,2,0))*E1599)</f>
        <v/>
      </c>
      <c r="H1599" s="7" t="str">
        <f t="shared" si="100"/>
        <v/>
      </c>
      <c r="I1599" s="7" t="str">
        <f>IF(AND(ISBLANK(D1599),ISBLANK(C1599)),"",((VLOOKUP(D1599,Cardápio!$A$2:$C$16,3,0))*E1599)+IF(B1599="iFood",F1599*0.27,(VLOOKUP(VENDAS!C1599,Bairros!$A$2:$B$90,2,0))))</f>
        <v/>
      </c>
      <c r="J1599" s="7" t="str">
        <f t="shared" si="101"/>
        <v/>
      </c>
      <c r="K1599" s="9">
        <f t="shared" ca="1" si="102"/>
        <v>45404.878290162036</v>
      </c>
      <c r="L1599" s="10">
        <f t="shared" ca="1" si="103"/>
        <v>45404.878290046297</v>
      </c>
    </row>
    <row r="1600" spans="6:12" x14ac:dyDescent="0.25">
      <c r="F1600" s="11" t="str">
        <f>IF(ISBLANK(D1600),"",(VLOOKUP(D1600,Cardápio!$A$2:$B$16,2,0))*E1600)</f>
        <v/>
      </c>
      <c r="H1600" s="7" t="str">
        <f t="shared" si="100"/>
        <v/>
      </c>
      <c r="I1600" s="7" t="str">
        <f>IF(AND(ISBLANK(D1600),ISBLANK(C1600)),"",((VLOOKUP(D1600,Cardápio!$A$2:$C$16,3,0))*E1600)+IF(B1600="iFood",F1600*0.27,(VLOOKUP(VENDAS!C1600,Bairros!$A$2:$B$90,2,0))))</f>
        <v/>
      </c>
      <c r="J1600" s="7" t="str">
        <f t="shared" si="101"/>
        <v/>
      </c>
      <c r="K1600" s="9">
        <f t="shared" ca="1" si="102"/>
        <v>45404.878290162036</v>
      </c>
      <c r="L1600" s="10">
        <f t="shared" ca="1" si="103"/>
        <v>45404.878290046297</v>
      </c>
    </row>
    <row r="1601" spans="6:12" x14ac:dyDescent="0.25">
      <c r="F1601" s="11" t="str">
        <f>IF(ISBLANK(D1601),"",(VLOOKUP(D1601,Cardápio!$A$2:$B$16,2,0))*E1601)</f>
        <v/>
      </c>
      <c r="H1601" s="7" t="str">
        <f t="shared" si="100"/>
        <v/>
      </c>
      <c r="I1601" s="7" t="str">
        <f>IF(AND(ISBLANK(D1601),ISBLANK(C1601)),"",((VLOOKUP(D1601,Cardápio!$A$2:$C$16,3,0))*E1601)+IF(B1601="iFood",F1601*0.27,(VLOOKUP(VENDAS!C1601,Bairros!$A$2:$B$90,2,0))))</f>
        <v/>
      </c>
      <c r="J1601" s="7" t="str">
        <f t="shared" si="101"/>
        <v/>
      </c>
      <c r="K1601" s="9">
        <f t="shared" ca="1" si="102"/>
        <v>45404.878290162036</v>
      </c>
      <c r="L1601" s="10">
        <f t="shared" ca="1" si="103"/>
        <v>45404.878290046297</v>
      </c>
    </row>
    <row r="1602" spans="6:12" x14ac:dyDescent="0.25">
      <c r="F1602" s="11" t="str">
        <f>IF(ISBLANK(D1602),"",(VLOOKUP(D1602,Cardápio!$A$2:$B$16,2,0))*E1602)</f>
        <v/>
      </c>
      <c r="H1602" s="7" t="str">
        <f t="shared" si="100"/>
        <v/>
      </c>
      <c r="I1602" s="7" t="str">
        <f>IF(AND(ISBLANK(D1602),ISBLANK(C1602)),"",((VLOOKUP(D1602,Cardápio!$A$2:$C$16,3,0))*E1602)+IF(B1602="iFood",F1602*0.27,(VLOOKUP(VENDAS!C1602,Bairros!$A$2:$B$90,2,0))))</f>
        <v/>
      </c>
      <c r="J1602" s="7" t="str">
        <f t="shared" si="101"/>
        <v/>
      </c>
      <c r="K1602" s="9">
        <f t="shared" ca="1" si="102"/>
        <v>45404.878290162036</v>
      </c>
      <c r="L1602" s="10">
        <f t="shared" ca="1" si="103"/>
        <v>45404.878290046297</v>
      </c>
    </row>
    <row r="1603" spans="6:12" x14ac:dyDescent="0.25">
      <c r="F1603" s="11" t="str">
        <f>IF(ISBLANK(D1603),"",(VLOOKUP(D1603,Cardápio!$A$2:$B$16,2,0))*E1603)</f>
        <v/>
      </c>
      <c r="H1603" s="7" t="str">
        <f t="shared" si="100"/>
        <v/>
      </c>
      <c r="I1603" s="7" t="str">
        <f>IF(AND(ISBLANK(D1603),ISBLANK(C1603)),"",((VLOOKUP(D1603,Cardápio!$A$2:$C$16,3,0))*E1603)+IF(B1603="iFood",F1603*0.27,(VLOOKUP(VENDAS!C1603,Bairros!$A$2:$B$90,2,0))))</f>
        <v/>
      </c>
      <c r="J1603" s="7" t="str">
        <f t="shared" si="101"/>
        <v/>
      </c>
      <c r="K1603" s="9">
        <f t="shared" ca="1" si="102"/>
        <v>45404.878290162036</v>
      </c>
      <c r="L1603" s="10">
        <f t="shared" ca="1" si="103"/>
        <v>45404.878290046297</v>
      </c>
    </row>
    <row r="1604" spans="6:12" x14ac:dyDescent="0.25">
      <c r="F1604" s="11" t="str">
        <f>IF(ISBLANK(D1604),"",(VLOOKUP(D1604,Cardápio!$A$2:$B$16,2,0))*E1604)</f>
        <v/>
      </c>
      <c r="H1604" s="7" t="str">
        <f t="shared" si="100"/>
        <v/>
      </c>
      <c r="I1604" s="7" t="str">
        <f>IF(AND(ISBLANK(D1604),ISBLANK(C1604)),"",((VLOOKUP(D1604,Cardápio!$A$2:$C$16,3,0))*E1604)+IF(B1604="iFood",F1604*0.27,(VLOOKUP(VENDAS!C1604,Bairros!$A$2:$B$90,2,0))))</f>
        <v/>
      </c>
      <c r="J1604" s="7" t="str">
        <f t="shared" si="101"/>
        <v/>
      </c>
      <c r="K1604" s="9">
        <f t="shared" ca="1" si="102"/>
        <v>45404.878290162036</v>
      </c>
      <c r="L1604" s="10">
        <f t="shared" ca="1" si="103"/>
        <v>45404.878290046297</v>
      </c>
    </row>
    <row r="1605" spans="6:12" x14ac:dyDescent="0.25">
      <c r="F1605" s="11" t="str">
        <f>IF(ISBLANK(D1605),"",(VLOOKUP(D1605,Cardápio!$A$2:$B$16,2,0))*E1605)</f>
        <v/>
      </c>
      <c r="H1605" s="7" t="str">
        <f t="shared" si="100"/>
        <v/>
      </c>
      <c r="I1605" s="7" t="str">
        <f>IF(AND(ISBLANK(D1605),ISBLANK(C1605)),"",((VLOOKUP(D1605,Cardápio!$A$2:$C$16,3,0))*E1605)+IF(B1605="iFood",F1605*0.27,(VLOOKUP(VENDAS!C1605,Bairros!$A$2:$B$90,2,0))))</f>
        <v/>
      </c>
      <c r="J1605" s="7" t="str">
        <f t="shared" si="101"/>
        <v/>
      </c>
      <c r="K1605" s="9">
        <f t="shared" ca="1" si="102"/>
        <v>45404.878290162036</v>
      </c>
      <c r="L1605" s="10">
        <f t="shared" ca="1" si="103"/>
        <v>45404.878290046297</v>
      </c>
    </row>
    <row r="1606" spans="6:12" x14ac:dyDescent="0.25">
      <c r="F1606" s="11" t="str">
        <f>IF(ISBLANK(D1606),"",(VLOOKUP(D1606,Cardápio!$A$2:$B$16,2,0))*E1606)</f>
        <v/>
      </c>
      <c r="H1606" s="7" t="str">
        <f t="shared" si="100"/>
        <v/>
      </c>
      <c r="I1606" s="7" t="str">
        <f>IF(AND(ISBLANK(D1606),ISBLANK(C1606)),"",((VLOOKUP(D1606,Cardápio!$A$2:$C$16,3,0))*E1606)+IF(B1606="iFood",F1606*0.27,(VLOOKUP(VENDAS!C1606,Bairros!$A$2:$B$90,2,0))))</f>
        <v/>
      </c>
      <c r="J1606" s="7" t="str">
        <f t="shared" si="101"/>
        <v/>
      </c>
      <c r="K1606" s="9">
        <f t="shared" ca="1" si="102"/>
        <v>45404.878290162036</v>
      </c>
      <c r="L1606" s="10">
        <f t="shared" ca="1" si="103"/>
        <v>45404.878290046297</v>
      </c>
    </row>
    <row r="1607" spans="6:12" x14ac:dyDescent="0.25">
      <c r="F1607" s="11" t="str">
        <f>IF(ISBLANK(D1607),"",(VLOOKUP(D1607,Cardápio!$A$2:$B$16,2,0))*E1607)</f>
        <v/>
      </c>
      <c r="H1607" s="7" t="str">
        <f t="shared" si="100"/>
        <v/>
      </c>
      <c r="I1607" s="7" t="str">
        <f>IF(AND(ISBLANK(D1607),ISBLANK(C1607)),"",((VLOOKUP(D1607,Cardápio!$A$2:$C$16,3,0))*E1607)+IF(B1607="iFood",F1607*0.27,(VLOOKUP(VENDAS!C1607,Bairros!$A$2:$B$90,2,0))))</f>
        <v/>
      </c>
      <c r="J1607" s="7" t="str">
        <f t="shared" si="101"/>
        <v/>
      </c>
      <c r="K1607" s="9">
        <f t="shared" ca="1" si="102"/>
        <v>45404.878290162036</v>
      </c>
      <c r="L1607" s="10">
        <f t="shared" ca="1" si="103"/>
        <v>45404.878290046297</v>
      </c>
    </row>
    <row r="1608" spans="6:12" x14ac:dyDescent="0.25">
      <c r="F1608" s="11" t="str">
        <f>IF(ISBLANK(D1608),"",(VLOOKUP(D1608,Cardápio!$A$2:$B$16,2,0))*E1608)</f>
        <v/>
      </c>
      <c r="H1608" s="7" t="str">
        <f t="shared" si="100"/>
        <v/>
      </c>
      <c r="I1608" s="7" t="str">
        <f>IF(AND(ISBLANK(D1608),ISBLANK(C1608)),"",((VLOOKUP(D1608,Cardápio!$A$2:$C$16,3,0))*E1608)+IF(B1608="iFood",F1608*0.27,(VLOOKUP(VENDAS!C1608,Bairros!$A$2:$B$90,2,0))))</f>
        <v/>
      </c>
      <c r="J1608" s="7" t="str">
        <f t="shared" si="101"/>
        <v/>
      </c>
      <c r="K1608" s="9">
        <f t="shared" ca="1" si="102"/>
        <v>45404.878290162036</v>
      </c>
      <c r="L1608" s="10">
        <f t="shared" ca="1" si="103"/>
        <v>45404.878290046297</v>
      </c>
    </row>
    <row r="1609" spans="6:12" x14ac:dyDescent="0.25">
      <c r="F1609" s="11" t="str">
        <f>IF(ISBLANK(D1609),"",(VLOOKUP(D1609,Cardápio!$A$2:$B$16,2,0))*E1609)</f>
        <v/>
      </c>
      <c r="H1609" s="7" t="str">
        <f t="shared" si="100"/>
        <v/>
      </c>
      <c r="I1609" s="7" t="str">
        <f>IF(AND(ISBLANK(D1609),ISBLANK(C1609)),"",((VLOOKUP(D1609,Cardápio!$A$2:$C$16,3,0))*E1609)+IF(B1609="iFood",F1609*0.27,(VLOOKUP(VENDAS!C1609,Bairros!$A$2:$B$90,2,0))))</f>
        <v/>
      </c>
      <c r="J1609" s="7" t="str">
        <f t="shared" si="101"/>
        <v/>
      </c>
      <c r="K1609" s="9">
        <f t="shared" ca="1" si="102"/>
        <v>45404.878290162036</v>
      </c>
      <c r="L1609" s="10">
        <f t="shared" ca="1" si="103"/>
        <v>45404.878290046297</v>
      </c>
    </row>
    <row r="1610" spans="6:12" x14ac:dyDescent="0.25">
      <c r="F1610" s="11" t="str">
        <f>IF(ISBLANK(D1610),"",(VLOOKUP(D1610,Cardápio!$A$2:$B$16,2,0))*E1610)</f>
        <v/>
      </c>
      <c r="H1610" s="7" t="str">
        <f t="shared" si="100"/>
        <v/>
      </c>
      <c r="I1610" s="7" t="str">
        <f>IF(AND(ISBLANK(D1610),ISBLANK(C1610)),"",((VLOOKUP(D1610,Cardápio!$A$2:$C$16,3,0))*E1610)+IF(B1610="iFood",F1610*0.27,(VLOOKUP(VENDAS!C1610,Bairros!$A$2:$B$90,2,0))))</f>
        <v/>
      </c>
      <c r="J1610" s="7" t="str">
        <f t="shared" si="101"/>
        <v/>
      </c>
      <c r="K1610" s="9">
        <f t="shared" ca="1" si="102"/>
        <v>45404.878290162036</v>
      </c>
      <c r="L1610" s="10">
        <f t="shared" ca="1" si="103"/>
        <v>45404.878290046297</v>
      </c>
    </row>
    <row r="1611" spans="6:12" x14ac:dyDescent="0.25">
      <c r="F1611" s="11" t="str">
        <f>IF(ISBLANK(D1611),"",(VLOOKUP(D1611,Cardápio!$A$2:$B$16,2,0))*E1611)</f>
        <v/>
      </c>
      <c r="H1611" s="7" t="str">
        <f t="shared" si="100"/>
        <v/>
      </c>
      <c r="I1611" s="7" t="str">
        <f>IF(AND(ISBLANK(D1611),ISBLANK(C1611)),"",((VLOOKUP(D1611,Cardápio!$A$2:$C$16,3,0))*E1611)+IF(B1611="iFood",F1611*0.27,(VLOOKUP(VENDAS!C1611,Bairros!$A$2:$B$90,2,0))))</f>
        <v/>
      </c>
      <c r="J1611" s="7" t="str">
        <f t="shared" si="101"/>
        <v/>
      </c>
      <c r="K1611" s="9">
        <f t="shared" ca="1" si="102"/>
        <v>45404.878290162036</v>
      </c>
      <c r="L1611" s="10">
        <f t="shared" ca="1" si="103"/>
        <v>45404.878290046297</v>
      </c>
    </row>
    <row r="1612" spans="6:12" x14ac:dyDescent="0.25">
      <c r="F1612" s="11" t="str">
        <f>IF(ISBLANK(D1612),"",(VLOOKUP(D1612,Cardápio!$A$2:$B$16,2,0))*E1612)</f>
        <v/>
      </c>
      <c r="H1612" s="7" t="str">
        <f t="shared" si="100"/>
        <v/>
      </c>
      <c r="I1612" s="7" t="str">
        <f>IF(AND(ISBLANK(D1612),ISBLANK(C1612)),"",((VLOOKUP(D1612,Cardápio!$A$2:$C$16,3,0))*E1612)+IF(B1612="iFood",F1612*0.27,(VLOOKUP(VENDAS!C1612,Bairros!$A$2:$B$90,2,0))))</f>
        <v/>
      </c>
      <c r="J1612" s="7" t="str">
        <f t="shared" si="101"/>
        <v/>
      </c>
      <c r="K1612" s="9">
        <f t="shared" ca="1" si="102"/>
        <v>45404.878290162036</v>
      </c>
      <c r="L1612" s="10">
        <f t="shared" ca="1" si="103"/>
        <v>45404.878290046297</v>
      </c>
    </row>
    <row r="1613" spans="6:12" x14ac:dyDescent="0.25">
      <c r="F1613" s="11" t="str">
        <f>IF(ISBLANK(D1613),"",(VLOOKUP(D1613,Cardápio!$A$2:$B$16,2,0))*E1613)</f>
        <v/>
      </c>
      <c r="H1613" s="7" t="str">
        <f t="shared" si="100"/>
        <v/>
      </c>
      <c r="I1613" s="7" t="str">
        <f>IF(AND(ISBLANK(D1613),ISBLANK(C1613)),"",((VLOOKUP(D1613,Cardápio!$A$2:$C$16,3,0))*E1613)+IF(B1613="iFood",F1613*0.27,(VLOOKUP(VENDAS!C1613,Bairros!$A$2:$B$90,2,0))))</f>
        <v/>
      </c>
      <c r="J1613" s="7" t="str">
        <f t="shared" si="101"/>
        <v/>
      </c>
      <c r="K1613" s="9">
        <f t="shared" ca="1" si="102"/>
        <v>45404.878290162036</v>
      </c>
      <c r="L1613" s="10">
        <f t="shared" ca="1" si="103"/>
        <v>45404.878290046297</v>
      </c>
    </row>
    <row r="1614" spans="6:12" x14ac:dyDescent="0.25">
      <c r="F1614" s="11" t="str">
        <f>IF(ISBLANK(D1614),"",(VLOOKUP(D1614,Cardápio!$A$2:$B$16,2,0))*E1614)</f>
        <v/>
      </c>
      <c r="H1614" s="7" t="str">
        <f t="shared" si="100"/>
        <v/>
      </c>
      <c r="I1614" s="7" t="str">
        <f>IF(AND(ISBLANK(D1614),ISBLANK(C1614)),"",((VLOOKUP(D1614,Cardápio!$A$2:$C$16,3,0))*E1614)+IF(B1614="iFood",F1614*0.27,(VLOOKUP(VENDAS!C1614,Bairros!$A$2:$B$90,2,0))))</f>
        <v/>
      </c>
      <c r="J1614" s="7" t="str">
        <f t="shared" si="101"/>
        <v/>
      </c>
      <c r="K1614" s="9">
        <f t="shared" ca="1" si="102"/>
        <v>45404.878290162036</v>
      </c>
      <c r="L1614" s="10">
        <f t="shared" ca="1" si="103"/>
        <v>45404.878290046297</v>
      </c>
    </row>
    <row r="1615" spans="6:12" x14ac:dyDescent="0.25">
      <c r="F1615" s="11" t="str">
        <f>IF(ISBLANK(D1615),"",(VLOOKUP(D1615,Cardápio!$A$2:$B$16,2,0))*E1615)</f>
        <v/>
      </c>
      <c r="H1615" s="7" t="str">
        <f t="shared" si="100"/>
        <v/>
      </c>
      <c r="I1615" s="7" t="str">
        <f>IF(AND(ISBLANK(D1615),ISBLANK(C1615)),"",((VLOOKUP(D1615,Cardápio!$A$2:$C$16,3,0))*E1615)+IF(B1615="iFood",F1615*0.27,(VLOOKUP(VENDAS!C1615,Bairros!$A$2:$B$90,2,0))))</f>
        <v/>
      </c>
      <c r="J1615" s="7" t="str">
        <f t="shared" si="101"/>
        <v/>
      </c>
      <c r="K1615" s="9">
        <f t="shared" ca="1" si="102"/>
        <v>45404.878290162036</v>
      </c>
      <c r="L1615" s="10">
        <f t="shared" ca="1" si="103"/>
        <v>45404.878290046297</v>
      </c>
    </row>
    <row r="1616" spans="6:12" x14ac:dyDescent="0.25">
      <c r="F1616" s="11" t="str">
        <f>IF(ISBLANK(D1616),"",(VLOOKUP(D1616,Cardápio!$A$2:$B$16,2,0))*E1616)</f>
        <v/>
      </c>
      <c r="H1616" s="7" t="str">
        <f t="shared" si="100"/>
        <v/>
      </c>
      <c r="I1616" s="7" t="str">
        <f>IF(AND(ISBLANK(D1616),ISBLANK(C1616)),"",((VLOOKUP(D1616,Cardápio!$A$2:$C$16,3,0))*E1616)+IF(B1616="iFood",F1616*0.27,(VLOOKUP(VENDAS!C1616,Bairros!$A$2:$B$90,2,0))))</f>
        <v/>
      </c>
      <c r="J1616" s="7" t="str">
        <f t="shared" si="101"/>
        <v/>
      </c>
      <c r="K1616" s="9">
        <f t="shared" ca="1" si="102"/>
        <v>45404.878290162036</v>
      </c>
      <c r="L1616" s="10">
        <f t="shared" ca="1" si="103"/>
        <v>45404.878290046297</v>
      </c>
    </row>
    <row r="1617" spans="6:12" x14ac:dyDescent="0.25">
      <c r="F1617" s="11" t="str">
        <f>IF(ISBLANK(D1617),"",(VLOOKUP(D1617,Cardápio!$A$2:$B$16,2,0))*E1617)</f>
        <v/>
      </c>
      <c r="H1617" s="7" t="str">
        <f t="shared" si="100"/>
        <v/>
      </c>
      <c r="I1617" s="7" t="str">
        <f>IF(AND(ISBLANK(D1617),ISBLANK(C1617)),"",((VLOOKUP(D1617,Cardápio!$A$2:$C$16,3,0))*E1617)+IF(B1617="iFood",F1617*0.27,(VLOOKUP(VENDAS!C1617,Bairros!$A$2:$B$90,2,0))))</f>
        <v/>
      </c>
      <c r="J1617" s="7" t="str">
        <f t="shared" si="101"/>
        <v/>
      </c>
      <c r="K1617" s="9">
        <f t="shared" ca="1" si="102"/>
        <v>45404.878290162036</v>
      </c>
      <c r="L1617" s="10">
        <f t="shared" ca="1" si="103"/>
        <v>45404.878290046297</v>
      </c>
    </row>
    <row r="1618" spans="6:12" x14ac:dyDescent="0.25">
      <c r="F1618" s="11" t="str">
        <f>IF(ISBLANK(D1618),"",(VLOOKUP(D1618,Cardápio!$A$2:$B$16,2,0))*E1618)</f>
        <v/>
      </c>
      <c r="H1618" s="7" t="str">
        <f t="shared" si="100"/>
        <v/>
      </c>
      <c r="I1618" s="7" t="str">
        <f>IF(AND(ISBLANK(D1618),ISBLANK(C1618)),"",((VLOOKUP(D1618,Cardápio!$A$2:$C$16,3,0))*E1618)+IF(B1618="iFood",F1618*0.27,(VLOOKUP(VENDAS!C1618,Bairros!$A$2:$B$90,2,0))))</f>
        <v/>
      </c>
      <c r="J1618" s="7" t="str">
        <f t="shared" si="101"/>
        <v/>
      </c>
      <c r="K1618" s="9">
        <f t="shared" ca="1" si="102"/>
        <v>45404.878290162036</v>
      </c>
      <c r="L1618" s="10">
        <f t="shared" ca="1" si="103"/>
        <v>45404.878290046297</v>
      </c>
    </row>
    <row r="1619" spans="6:12" x14ac:dyDescent="0.25">
      <c r="F1619" s="11" t="str">
        <f>IF(ISBLANK(D1619),"",(VLOOKUP(D1619,Cardápio!$A$2:$B$16,2,0))*E1619)</f>
        <v/>
      </c>
      <c r="H1619" s="7" t="str">
        <f t="shared" si="100"/>
        <v/>
      </c>
      <c r="I1619" s="7" t="str">
        <f>IF(AND(ISBLANK(D1619),ISBLANK(C1619)),"",((VLOOKUP(D1619,Cardápio!$A$2:$C$16,3,0))*E1619)+IF(B1619="iFood",F1619*0.27,(VLOOKUP(VENDAS!C1619,Bairros!$A$2:$B$90,2,0))))</f>
        <v/>
      </c>
      <c r="J1619" s="7" t="str">
        <f t="shared" si="101"/>
        <v/>
      </c>
      <c r="K1619" s="9">
        <f t="shared" ca="1" si="102"/>
        <v>45404.878290162036</v>
      </c>
      <c r="L1619" s="10">
        <f t="shared" ca="1" si="103"/>
        <v>45404.878290046297</v>
      </c>
    </row>
    <row r="1620" spans="6:12" x14ac:dyDescent="0.25">
      <c r="F1620" s="11" t="str">
        <f>IF(ISBLANK(D1620),"",(VLOOKUP(D1620,Cardápio!$A$2:$B$16,2,0))*E1620)</f>
        <v/>
      </c>
      <c r="H1620" s="7" t="str">
        <f t="shared" si="100"/>
        <v/>
      </c>
      <c r="I1620" s="7" t="str">
        <f>IF(AND(ISBLANK(D1620),ISBLANK(C1620)),"",((VLOOKUP(D1620,Cardápio!$A$2:$C$16,3,0))*E1620)+IF(B1620="iFood",F1620*0.27,(VLOOKUP(VENDAS!C1620,Bairros!$A$2:$B$90,2,0))))</f>
        <v/>
      </c>
      <c r="J1620" s="7" t="str">
        <f t="shared" si="101"/>
        <v/>
      </c>
      <c r="K1620" s="9">
        <f t="shared" ca="1" si="102"/>
        <v>45404.878290162036</v>
      </c>
      <c r="L1620" s="10">
        <f t="shared" ca="1" si="103"/>
        <v>45404.878290046297</v>
      </c>
    </row>
    <row r="1621" spans="6:12" x14ac:dyDescent="0.25">
      <c r="F1621" s="11" t="str">
        <f>IF(ISBLANK(D1621),"",(VLOOKUP(D1621,Cardápio!$A$2:$B$16,2,0))*E1621)</f>
        <v/>
      </c>
      <c r="H1621" s="7" t="str">
        <f t="shared" si="100"/>
        <v/>
      </c>
      <c r="I1621" s="7" t="str">
        <f>IF(AND(ISBLANK(D1621),ISBLANK(C1621)),"",((VLOOKUP(D1621,Cardápio!$A$2:$C$16,3,0))*E1621)+IF(B1621="iFood",F1621*0.27,(VLOOKUP(VENDAS!C1621,Bairros!$A$2:$B$90,2,0))))</f>
        <v/>
      </c>
      <c r="J1621" s="7" t="str">
        <f t="shared" si="101"/>
        <v/>
      </c>
      <c r="K1621" s="9">
        <f t="shared" ca="1" si="102"/>
        <v>45404.878290162036</v>
      </c>
      <c r="L1621" s="10">
        <f t="shared" ca="1" si="103"/>
        <v>45404.878290046297</v>
      </c>
    </row>
    <row r="1622" spans="6:12" x14ac:dyDescent="0.25">
      <c r="F1622" s="11" t="str">
        <f>IF(ISBLANK(D1622),"",(VLOOKUP(D1622,Cardápio!$A$2:$B$16,2,0))*E1622)</f>
        <v/>
      </c>
      <c r="H1622" s="7" t="str">
        <f t="shared" si="100"/>
        <v/>
      </c>
      <c r="I1622" s="7" t="str">
        <f>IF(AND(ISBLANK(D1622),ISBLANK(C1622)),"",((VLOOKUP(D1622,Cardápio!$A$2:$C$16,3,0))*E1622)+IF(B1622="iFood",F1622*0.27,(VLOOKUP(VENDAS!C1622,Bairros!$A$2:$B$90,2,0))))</f>
        <v/>
      </c>
      <c r="J1622" s="7" t="str">
        <f t="shared" si="101"/>
        <v/>
      </c>
      <c r="K1622" s="9">
        <f t="shared" ca="1" si="102"/>
        <v>45404.878290162036</v>
      </c>
      <c r="L1622" s="10">
        <f t="shared" ca="1" si="103"/>
        <v>45404.878290046297</v>
      </c>
    </row>
    <row r="1623" spans="6:12" x14ac:dyDescent="0.25">
      <c r="F1623" s="11" t="str">
        <f>IF(ISBLANK(D1623),"",(VLOOKUP(D1623,Cardápio!$A$2:$B$16,2,0))*E1623)</f>
        <v/>
      </c>
      <c r="H1623" s="7" t="str">
        <f t="shared" si="100"/>
        <v/>
      </c>
      <c r="I1623" s="7" t="str">
        <f>IF(AND(ISBLANK(D1623),ISBLANK(C1623)),"",((VLOOKUP(D1623,Cardápio!$A$2:$C$16,3,0))*E1623)+IF(B1623="iFood",F1623*0.27,(VLOOKUP(VENDAS!C1623,Bairros!$A$2:$B$90,2,0))))</f>
        <v/>
      </c>
      <c r="J1623" s="7" t="str">
        <f t="shared" si="101"/>
        <v/>
      </c>
      <c r="K1623" s="9">
        <f t="shared" ca="1" si="102"/>
        <v>45404.878290162036</v>
      </c>
      <c r="L1623" s="10">
        <f t="shared" ca="1" si="103"/>
        <v>45404.878290046297</v>
      </c>
    </row>
    <row r="1624" spans="6:12" x14ac:dyDescent="0.25">
      <c r="F1624" s="11" t="str">
        <f>IF(ISBLANK(D1624),"",(VLOOKUP(D1624,Cardápio!$A$2:$B$16,2,0))*E1624)</f>
        <v/>
      </c>
      <c r="H1624" s="7" t="str">
        <f t="shared" si="100"/>
        <v/>
      </c>
      <c r="I1624" s="7" t="str">
        <f>IF(AND(ISBLANK(D1624),ISBLANK(C1624)),"",((VLOOKUP(D1624,Cardápio!$A$2:$C$16,3,0))*E1624)+IF(B1624="iFood",F1624*0.27,(VLOOKUP(VENDAS!C1624,Bairros!$A$2:$B$90,2,0))))</f>
        <v/>
      </c>
      <c r="J1624" s="7" t="str">
        <f t="shared" si="101"/>
        <v/>
      </c>
      <c r="K1624" s="9">
        <f t="shared" ca="1" si="102"/>
        <v>45404.878290162036</v>
      </c>
      <c r="L1624" s="10">
        <f t="shared" ca="1" si="103"/>
        <v>45404.878290046297</v>
      </c>
    </row>
    <row r="1625" spans="6:12" x14ac:dyDescent="0.25">
      <c r="F1625" s="11" t="str">
        <f>IF(ISBLANK(D1625),"",(VLOOKUP(D1625,Cardápio!$A$2:$B$16,2,0))*E1625)</f>
        <v/>
      </c>
      <c r="H1625" s="7" t="str">
        <f t="shared" si="100"/>
        <v/>
      </c>
      <c r="I1625" s="7" t="str">
        <f>IF(AND(ISBLANK(D1625),ISBLANK(C1625)),"",((VLOOKUP(D1625,Cardápio!$A$2:$C$16,3,0))*E1625)+IF(B1625="iFood",F1625*0.27,(VLOOKUP(VENDAS!C1625,Bairros!$A$2:$B$90,2,0))))</f>
        <v/>
      </c>
      <c r="J1625" s="7" t="str">
        <f t="shared" si="101"/>
        <v/>
      </c>
      <c r="K1625" s="9">
        <f t="shared" ca="1" si="102"/>
        <v>45404.878290162036</v>
      </c>
      <c r="L1625" s="10">
        <f t="shared" ca="1" si="103"/>
        <v>45404.878290046297</v>
      </c>
    </row>
    <row r="1626" spans="6:12" x14ac:dyDescent="0.25">
      <c r="F1626" s="11" t="str">
        <f>IF(ISBLANK(D1626),"",(VLOOKUP(D1626,Cardápio!$A$2:$B$16,2,0))*E1626)</f>
        <v/>
      </c>
      <c r="H1626" s="7" t="str">
        <f t="shared" si="100"/>
        <v/>
      </c>
      <c r="I1626" s="7" t="str">
        <f>IF(AND(ISBLANK(D1626),ISBLANK(C1626)),"",((VLOOKUP(D1626,Cardápio!$A$2:$C$16,3,0))*E1626)+IF(B1626="iFood",F1626*0.27,(VLOOKUP(VENDAS!C1626,Bairros!$A$2:$B$90,2,0))))</f>
        <v/>
      </c>
      <c r="J1626" s="7" t="str">
        <f t="shared" si="101"/>
        <v/>
      </c>
      <c r="K1626" s="9">
        <f t="shared" ca="1" si="102"/>
        <v>45404.878290162036</v>
      </c>
      <c r="L1626" s="10">
        <f t="shared" ca="1" si="103"/>
        <v>45404.878290046297</v>
      </c>
    </row>
    <row r="1627" spans="6:12" x14ac:dyDescent="0.25">
      <c r="F1627" s="11" t="str">
        <f>IF(ISBLANK(D1627),"",(VLOOKUP(D1627,Cardápio!$A$2:$B$16,2,0))*E1627)</f>
        <v/>
      </c>
      <c r="H1627" s="7" t="str">
        <f t="shared" si="100"/>
        <v/>
      </c>
      <c r="I1627" s="7" t="str">
        <f>IF(AND(ISBLANK(D1627),ISBLANK(C1627)),"",((VLOOKUP(D1627,Cardápio!$A$2:$C$16,3,0))*E1627)+IF(B1627="iFood",F1627*0.27,(VLOOKUP(VENDAS!C1627,Bairros!$A$2:$B$90,2,0))))</f>
        <v/>
      </c>
      <c r="J1627" s="7" t="str">
        <f t="shared" si="101"/>
        <v/>
      </c>
      <c r="K1627" s="9">
        <f t="shared" ca="1" si="102"/>
        <v>45404.878290162036</v>
      </c>
      <c r="L1627" s="10">
        <f t="shared" ca="1" si="103"/>
        <v>45404.878290046297</v>
      </c>
    </row>
    <row r="1628" spans="6:12" x14ac:dyDescent="0.25">
      <c r="F1628" s="11" t="str">
        <f>IF(ISBLANK(D1628),"",(VLOOKUP(D1628,Cardápio!$A$2:$B$16,2,0))*E1628)</f>
        <v/>
      </c>
      <c r="H1628" s="7" t="str">
        <f t="shared" si="100"/>
        <v/>
      </c>
      <c r="I1628" s="7" t="str">
        <f>IF(AND(ISBLANK(D1628),ISBLANK(C1628)),"",((VLOOKUP(D1628,Cardápio!$A$2:$C$16,3,0))*E1628)+IF(B1628="iFood",F1628*0.27,(VLOOKUP(VENDAS!C1628,Bairros!$A$2:$B$90,2,0))))</f>
        <v/>
      </c>
      <c r="J1628" s="7" t="str">
        <f t="shared" si="101"/>
        <v/>
      </c>
      <c r="K1628" s="9">
        <f t="shared" ca="1" si="102"/>
        <v>45404.878290162036</v>
      </c>
      <c r="L1628" s="10">
        <f t="shared" ca="1" si="103"/>
        <v>45404.878290046297</v>
      </c>
    </row>
    <row r="1629" spans="6:12" x14ac:dyDescent="0.25">
      <c r="F1629" s="11" t="str">
        <f>IF(ISBLANK(D1629),"",(VLOOKUP(D1629,Cardápio!$A$2:$B$16,2,0))*E1629)</f>
        <v/>
      </c>
      <c r="H1629" s="7" t="str">
        <f t="shared" si="100"/>
        <v/>
      </c>
      <c r="I1629" s="7" t="str">
        <f>IF(AND(ISBLANK(D1629),ISBLANK(C1629)),"",((VLOOKUP(D1629,Cardápio!$A$2:$C$16,3,0))*E1629)+IF(B1629="iFood",F1629*0.27,(VLOOKUP(VENDAS!C1629,Bairros!$A$2:$B$90,2,0))))</f>
        <v/>
      </c>
      <c r="J1629" s="7" t="str">
        <f t="shared" si="101"/>
        <v/>
      </c>
      <c r="K1629" s="9">
        <f t="shared" ca="1" si="102"/>
        <v>45404.878290162036</v>
      </c>
      <c r="L1629" s="10">
        <f t="shared" ca="1" si="103"/>
        <v>45404.878290046297</v>
      </c>
    </row>
    <row r="1630" spans="6:12" x14ac:dyDescent="0.25">
      <c r="F1630" s="11" t="str">
        <f>IF(ISBLANK(D1630),"",(VLOOKUP(D1630,Cardápio!$A$2:$B$16,2,0))*E1630)</f>
        <v/>
      </c>
      <c r="H1630" s="7" t="str">
        <f t="shared" si="100"/>
        <v/>
      </c>
      <c r="I1630" s="7" t="str">
        <f>IF(AND(ISBLANK(D1630),ISBLANK(C1630)),"",((VLOOKUP(D1630,Cardápio!$A$2:$C$16,3,0))*E1630)+IF(B1630="iFood",F1630*0.27,(VLOOKUP(VENDAS!C1630,Bairros!$A$2:$B$90,2,0))))</f>
        <v/>
      </c>
      <c r="J1630" s="7" t="str">
        <f t="shared" si="101"/>
        <v/>
      </c>
      <c r="K1630" s="9">
        <f t="shared" ca="1" si="102"/>
        <v>45404.878290162036</v>
      </c>
      <c r="L1630" s="10">
        <f t="shared" ca="1" si="103"/>
        <v>45404.878290046297</v>
      </c>
    </row>
    <row r="1631" spans="6:12" x14ac:dyDescent="0.25">
      <c r="F1631" s="11" t="str">
        <f>IF(ISBLANK(D1631),"",(VLOOKUP(D1631,Cardápio!$A$2:$B$16,2,0))*E1631)</f>
        <v/>
      </c>
      <c r="H1631" s="7" t="str">
        <f t="shared" si="100"/>
        <v/>
      </c>
      <c r="I1631" s="7" t="str">
        <f>IF(AND(ISBLANK(D1631),ISBLANK(C1631)),"",((VLOOKUP(D1631,Cardápio!$A$2:$C$16,3,0))*E1631)+IF(B1631="iFood",F1631*0.27,(VLOOKUP(VENDAS!C1631,Bairros!$A$2:$B$90,2,0))))</f>
        <v/>
      </c>
      <c r="J1631" s="7" t="str">
        <f t="shared" si="101"/>
        <v/>
      </c>
      <c r="K1631" s="9">
        <f t="shared" ca="1" si="102"/>
        <v>45404.878290162036</v>
      </c>
      <c r="L1631" s="10">
        <f t="shared" ca="1" si="103"/>
        <v>45404.878290046297</v>
      </c>
    </row>
    <row r="1632" spans="6:12" x14ac:dyDescent="0.25">
      <c r="F1632" s="11" t="str">
        <f>IF(ISBLANK(D1632),"",(VLOOKUP(D1632,Cardápio!$A$2:$B$16,2,0))*E1632)</f>
        <v/>
      </c>
      <c r="H1632" s="7" t="str">
        <f t="shared" si="100"/>
        <v/>
      </c>
      <c r="I1632" s="7" t="str">
        <f>IF(AND(ISBLANK(D1632),ISBLANK(C1632)),"",((VLOOKUP(D1632,Cardápio!$A$2:$C$16,3,0))*E1632)+IF(B1632="iFood",F1632*0.27,(VLOOKUP(VENDAS!C1632,Bairros!$A$2:$B$90,2,0))))</f>
        <v/>
      </c>
      <c r="J1632" s="7" t="str">
        <f t="shared" si="101"/>
        <v/>
      </c>
      <c r="K1632" s="9">
        <f t="shared" ca="1" si="102"/>
        <v>45404.878290162036</v>
      </c>
      <c r="L1632" s="10">
        <f t="shared" ca="1" si="103"/>
        <v>45404.878290046297</v>
      </c>
    </row>
    <row r="1633" spans="6:12" x14ac:dyDescent="0.25">
      <c r="F1633" s="11" t="str">
        <f>IF(ISBLANK(D1633),"",(VLOOKUP(D1633,Cardápio!$A$2:$B$16,2,0))*E1633)</f>
        <v/>
      </c>
      <c r="H1633" s="7" t="str">
        <f t="shared" si="100"/>
        <v/>
      </c>
      <c r="I1633" s="7" t="str">
        <f>IF(AND(ISBLANK(D1633),ISBLANK(C1633)),"",((VLOOKUP(D1633,Cardápio!$A$2:$C$16,3,0))*E1633)+IF(B1633="iFood",F1633*0.27,(VLOOKUP(VENDAS!C1633,Bairros!$A$2:$B$90,2,0))))</f>
        <v/>
      </c>
      <c r="J1633" s="7" t="str">
        <f t="shared" si="101"/>
        <v/>
      </c>
      <c r="K1633" s="9">
        <f t="shared" ca="1" si="102"/>
        <v>45404.878290162036</v>
      </c>
      <c r="L1633" s="10">
        <f t="shared" ca="1" si="103"/>
        <v>45404.878290046297</v>
      </c>
    </row>
    <row r="1634" spans="6:12" x14ac:dyDescent="0.25">
      <c r="F1634" s="11" t="str">
        <f>IF(ISBLANK(D1634),"",(VLOOKUP(D1634,Cardápio!$A$2:$B$16,2,0))*E1634)</f>
        <v/>
      </c>
      <c r="H1634" s="7" t="str">
        <f t="shared" si="100"/>
        <v/>
      </c>
      <c r="I1634" s="7" t="str">
        <f>IF(AND(ISBLANK(D1634),ISBLANK(C1634)),"",((VLOOKUP(D1634,Cardápio!$A$2:$C$16,3,0))*E1634)+IF(B1634="iFood",F1634*0.27,(VLOOKUP(VENDAS!C1634,Bairros!$A$2:$B$90,2,0))))</f>
        <v/>
      </c>
      <c r="J1634" s="7" t="str">
        <f t="shared" si="101"/>
        <v/>
      </c>
      <c r="K1634" s="9">
        <f t="shared" ca="1" si="102"/>
        <v>45404.878290162036</v>
      </c>
      <c r="L1634" s="10">
        <f t="shared" ca="1" si="103"/>
        <v>45404.878290046297</v>
      </c>
    </row>
    <row r="1635" spans="6:12" x14ac:dyDescent="0.25">
      <c r="F1635" s="11" t="str">
        <f>IF(ISBLANK(D1635),"",(VLOOKUP(D1635,Cardápio!$A$2:$B$16,2,0))*E1635)</f>
        <v/>
      </c>
      <c r="H1635" s="7" t="str">
        <f t="shared" si="100"/>
        <v/>
      </c>
      <c r="I1635" s="7" t="str">
        <f>IF(AND(ISBLANK(D1635),ISBLANK(C1635)),"",((VLOOKUP(D1635,Cardápio!$A$2:$C$16,3,0))*E1635)+IF(B1635="iFood",F1635*0.27,(VLOOKUP(VENDAS!C1635,Bairros!$A$2:$B$90,2,0))))</f>
        <v/>
      </c>
      <c r="J1635" s="7" t="str">
        <f t="shared" si="101"/>
        <v/>
      </c>
      <c r="K1635" s="9">
        <f t="shared" ca="1" si="102"/>
        <v>45404.878290162036</v>
      </c>
      <c r="L1635" s="10">
        <f t="shared" ca="1" si="103"/>
        <v>45404.878290046297</v>
      </c>
    </row>
    <row r="1636" spans="6:12" x14ac:dyDescent="0.25">
      <c r="F1636" s="11" t="str">
        <f>IF(ISBLANK(D1636),"",(VLOOKUP(D1636,Cardápio!$A$2:$B$16,2,0))*E1636)</f>
        <v/>
      </c>
      <c r="H1636" s="7" t="str">
        <f t="shared" si="100"/>
        <v/>
      </c>
      <c r="I1636" s="7" t="str">
        <f>IF(AND(ISBLANK(D1636),ISBLANK(C1636)),"",((VLOOKUP(D1636,Cardápio!$A$2:$C$16,3,0))*E1636)+IF(B1636="iFood",F1636*0.27,(VLOOKUP(VENDAS!C1636,Bairros!$A$2:$B$90,2,0))))</f>
        <v/>
      </c>
      <c r="J1636" s="7" t="str">
        <f t="shared" si="101"/>
        <v/>
      </c>
      <c r="K1636" s="9">
        <f t="shared" ca="1" si="102"/>
        <v>45404.878290162036</v>
      </c>
      <c r="L1636" s="10">
        <f t="shared" ca="1" si="103"/>
        <v>45404.878290046297</v>
      </c>
    </row>
    <row r="1637" spans="6:12" x14ac:dyDescent="0.25">
      <c r="F1637" s="11" t="str">
        <f>IF(ISBLANK(D1637),"",(VLOOKUP(D1637,Cardápio!$A$2:$B$16,2,0))*E1637)</f>
        <v/>
      </c>
      <c r="H1637" s="7" t="str">
        <f t="shared" si="100"/>
        <v/>
      </c>
      <c r="I1637" s="7" t="str">
        <f>IF(AND(ISBLANK(D1637),ISBLANK(C1637)),"",((VLOOKUP(D1637,Cardápio!$A$2:$C$16,3,0))*E1637)+IF(B1637="iFood",F1637*0.27,(VLOOKUP(VENDAS!C1637,Bairros!$A$2:$B$90,2,0))))</f>
        <v/>
      </c>
      <c r="J1637" s="7" t="str">
        <f t="shared" si="101"/>
        <v/>
      </c>
      <c r="K1637" s="9">
        <f t="shared" ca="1" si="102"/>
        <v>45404.878290162036</v>
      </c>
      <c r="L1637" s="10">
        <f t="shared" ca="1" si="103"/>
        <v>45404.878290046297</v>
      </c>
    </row>
    <row r="1638" spans="6:12" x14ac:dyDescent="0.25">
      <c r="F1638" s="11" t="str">
        <f>IF(ISBLANK(D1638),"",(VLOOKUP(D1638,Cardápio!$A$2:$B$16,2,0))*E1638)</f>
        <v/>
      </c>
      <c r="H1638" s="7" t="str">
        <f t="shared" si="100"/>
        <v/>
      </c>
      <c r="I1638" s="7" t="str">
        <f>IF(AND(ISBLANK(D1638),ISBLANK(C1638)),"",((VLOOKUP(D1638,Cardápio!$A$2:$C$16,3,0))*E1638)+IF(B1638="iFood",F1638*0.27,(VLOOKUP(VENDAS!C1638,Bairros!$A$2:$B$90,2,0))))</f>
        <v/>
      </c>
      <c r="J1638" s="7" t="str">
        <f t="shared" si="101"/>
        <v/>
      </c>
      <c r="K1638" s="9">
        <f t="shared" ca="1" si="102"/>
        <v>45404.878290162036</v>
      </c>
      <c r="L1638" s="10">
        <f t="shared" ca="1" si="103"/>
        <v>45404.878290046297</v>
      </c>
    </row>
    <row r="1639" spans="6:12" x14ac:dyDescent="0.25">
      <c r="F1639" s="11" t="str">
        <f>IF(ISBLANK(D1639),"",(VLOOKUP(D1639,Cardápio!$A$2:$B$16,2,0))*E1639)</f>
        <v/>
      </c>
      <c r="H1639" s="7" t="str">
        <f t="shared" si="100"/>
        <v/>
      </c>
      <c r="I1639" s="7" t="str">
        <f>IF(AND(ISBLANK(D1639),ISBLANK(C1639)),"",((VLOOKUP(D1639,Cardápio!$A$2:$C$16,3,0))*E1639)+IF(B1639="iFood",F1639*0.27,(VLOOKUP(VENDAS!C1639,Bairros!$A$2:$B$90,2,0))))</f>
        <v/>
      </c>
      <c r="J1639" s="7" t="str">
        <f t="shared" si="101"/>
        <v/>
      </c>
      <c r="K1639" s="9">
        <f t="shared" ca="1" si="102"/>
        <v>45404.878290162036</v>
      </c>
      <c r="L1639" s="10">
        <f t="shared" ca="1" si="103"/>
        <v>45404.878290046297</v>
      </c>
    </row>
    <row r="1640" spans="6:12" x14ac:dyDescent="0.25">
      <c r="F1640" s="11" t="str">
        <f>IF(ISBLANK(D1640),"",(VLOOKUP(D1640,Cardápio!$A$2:$B$16,2,0))*E1640)</f>
        <v/>
      </c>
      <c r="H1640" s="7" t="str">
        <f t="shared" si="100"/>
        <v/>
      </c>
      <c r="I1640" s="7" t="str">
        <f>IF(AND(ISBLANK(D1640),ISBLANK(C1640)),"",((VLOOKUP(D1640,Cardápio!$A$2:$C$16,3,0))*E1640)+IF(B1640="iFood",F1640*0.27,(VLOOKUP(VENDAS!C1640,Bairros!$A$2:$B$90,2,0))))</f>
        <v/>
      </c>
      <c r="J1640" s="7" t="str">
        <f t="shared" si="101"/>
        <v/>
      </c>
      <c r="K1640" s="9">
        <f t="shared" ca="1" si="102"/>
        <v>45404.878290162036</v>
      </c>
      <c r="L1640" s="10">
        <f t="shared" ca="1" si="103"/>
        <v>45404.878290046297</v>
      </c>
    </row>
    <row r="1641" spans="6:12" x14ac:dyDescent="0.25">
      <c r="F1641" s="11" t="str">
        <f>IF(ISBLANK(D1641),"",(VLOOKUP(D1641,Cardápio!$A$2:$B$16,2,0))*E1641)</f>
        <v/>
      </c>
      <c r="H1641" s="7" t="str">
        <f t="shared" si="100"/>
        <v/>
      </c>
      <c r="I1641" s="7" t="str">
        <f>IF(AND(ISBLANK(D1641),ISBLANK(C1641)),"",((VLOOKUP(D1641,Cardápio!$A$2:$C$16,3,0))*E1641)+IF(B1641="iFood",F1641*0.27,(VLOOKUP(VENDAS!C1641,Bairros!$A$2:$B$90,2,0))))</f>
        <v/>
      </c>
      <c r="J1641" s="7" t="str">
        <f t="shared" si="101"/>
        <v/>
      </c>
      <c r="K1641" s="9">
        <f t="shared" ca="1" si="102"/>
        <v>45404.878290162036</v>
      </c>
      <c r="L1641" s="10">
        <f t="shared" ca="1" si="103"/>
        <v>45404.878290046297</v>
      </c>
    </row>
    <row r="1642" spans="6:12" x14ac:dyDescent="0.25">
      <c r="F1642" s="11" t="str">
        <f>IF(ISBLANK(D1642),"",(VLOOKUP(D1642,Cardápio!$A$2:$B$16,2,0))*E1642)</f>
        <v/>
      </c>
      <c r="H1642" s="7" t="str">
        <f t="shared" si="100"/>
        <v/>
      </c>
      <c r="I1642" s="7" t="str">
        <f>IF(AND(ISBLANK(D1642),ISBLANK(C1642)),"",((VLOOKUP(D1642,Cardápio!$A$2:$C$16,3,0))*E1642)+IF(B1642="iFood",F1642*0.27,(VLOOKUP(VENDAS!C1642,Bairros!$A$2:$B$90,2,0))))</f>
        <v/>
      </c>
      <c r="J1642" s="7" t="str">
        <f t="shared" si="101"/>
        <v/>
      </c>
      <c r="K1642" s="9">
        <f t="shared" ca="1" si="102"/>
        <v>45404.878290162036</v>
      </c>
      <c r="L1642" s="10">
        <f t="shared" ca="1" si="103"/>
        <v>45404.878290046297</v>
      </c>
    </row>
    <row r="1643" spans="6:12" x14ac:dyDescent="0.25">
      <c r="F1643" s="11" t="str">
        <f>IF(ISBLANK(D1643),"",(VLOOKUP(D1643,Cardápio!$A$2:$B$16,2,0))*E1643)</f>
        <v/>
      </c>
      <c r="H1643" s="7" t="str">
        <f t="shared" si="100"/>
        <v/>
      </c>
      <c r="I1643" s="7" t="str">
        <f>IF(AND(ISBLANK(D1643),ISBLANK(C1643)),"",((VLOOKUP(D1643,Cardápio!$A$2:$C$16,3,0))*E1643)+IF(B1643="iFood",F1643*0.27,(VLOOKUP(VENDAS!C1643,Bairros!$A$2:$B$90,2,0))))</f>
        <v/>
      </c>
      <c r="J1643" s="7" t="str">
        <f t="shared" si="101"/>
        <v/>
      </c>
      <c r="K1643" s="9">
        <f t="shared" ca="1" si="102"/>
        <v>45404.878290162036</v>
      </c>
      <c r="L1643" s="10">
        <f t="shared" ca="1" si="103"/>
        <v>45404.878290046297</v>
      </c>
    </row>
    <row r="1644" spans="6:12" x14ac:dyDescent="0.25">
      <c r="F1644" s="11" t="str">
        <f>IF(ISBLANK(D1644),"",(VLOOKUP(D1644,Cardápio!$A$2:$B$16,2,0))*E1644)</f>
        <v/>
      </c>
      <c r="H1644" s="7" t="str">
        <f t="shared" si="100"/>
        <v/>
      </c>
      <c r="I1644" s="7" t="str">
        <f>IF(AND(ISBLANK(D1644),ISBLANK(C1644)),"",((VLOOKUP(D1644,Cardápio!$A$2:$C$16,3,0))*E1644)+IF(B1644="iFood",F1644*0.27,(VLOOKUP(VENDAS!C1644,Bairros!$A$2:$B$90,2,0))))</f>
        <v/>
      </c>
      <c r="J1644" s="7" t="str">
        <f t="shared" si="101"/>
        <v/>
      </c>
      <c r="K1644" s="9">
        <f t="shared" ca="1" si="102"/>
        <v>45404.878290162036</v>
      </c>
      <c r="L1644" s="10">
        <f t="shared" ca="1" si="103"/>
        <v>45404.878290046297</v>
      </c>
    </row>
    <row r="1645" spans="6:12" x14ac:dyDescent="0.25">
      <c r="F1645" s="11" t="str">
        <f>IF(ISBLANK(D1645),"",(VLOOKUP(D1645,Cardápio!$A$2:$B$16,2,0))*E1645)</f>
        <v/>
      </c>
      <c r="H1645" s="7" t="str">
        <f t="shared" si="100"/>
        <v/>
      </c>
      <c r="I1645" s="7" t="str">
        <f>IF(AND(ISBLANK(D1645),ISBLANK(C1645)),"",((VLOOKUP(D1645,Cardápio!$A$2:$C$16,3,0))*E1645)+IF(B1645="iFood",F1645*0.27,(VLOOKUP(VENDAS!C1645,Bairros!$A$2:$B$90,2,0))))</f>
        <v/>
      </c>
      <c r="J1645" s="7" t="str">
        <f t="shared" si="101"/>
        <v/>
      </c>
      <c r="K1645" s="9">
        <f t="shared" ca="1" si="102"/>
        <v>45404.878290162036</v>
      </c>
      <c r="L1645" s="10">
        <f t="shared" ca="1" si="103"/>
        <v>45404.878290046297</v>
      </c>
    </row>
    <row r="1646" spans="6:12" x14ac:dyDescent="0.25">
      <c r="F1646" s="11" t="str">
        <f>IF(ISBLANK(D1646),"",(VLOOKUP(D1646,Cardápio!$A$2:$B$16,2,0))*E1646)</f>
        <v/>
      </c>
      <c r="H1646" s="7" t="str">
        <f t="shared" si="100"/>
        <v/>
      </c>
      <c r="I1646" s="7" t="str">
        <f>IF(AND(ISBLANK(D1646),ISBLANK(C1646)),"",((VLOOKUP(D1646,Cardápio!$A$2:$C$16,3,0))*E1646)+IF(B1646="iFood",F1646*0.27,(VLOOKUP(VENDAS!C1646,Bairros!$A$2:$B$90,2,0))))</f>
        <v/>
      </c>
      <c r="J1646" s="7" t="str">
        <f t="shared" si="101"/>
        <v/>
      </c>
      <c r="K1646" s="9">
        <f t="shared" ca="1" si="102"/>
        <v>45404.878290162036</v>
      </c>
      <c r="L1646" s="10">
        <f t="shared" ca="1" si="103"/>
        <v>45404.878290046297</v>
      </c>
    </row>
    <row r="1647" spans="6:12" x14ac:dyDescent="0.25">
      <c r="F1647" s="11" t="str">
        <f>IF(ISBLANK(D1647),"",(VLOOKUP(D1647,Cardápio!$A$2:$B$16,2,0))*E1647)</f>
        <v/>
      </c>
      <c r="H1647" s="7" t="str">
        <f t="shared" si="100"/>
        <v/>
      </c>
      <c r="I1647" s="7" t="str">
        <f>IF(AND(ISBLANK(D1647),ISBLANK(C1647)),"",((VLOOKUP(D1647,Cardápio!$A$2:$C$16,3,0))*E1647)+IF(B1647="iFood",F1647*0.27,(VLOOKUP(VENDAS!C1647,Bairros!$A$2:$B$90,2,0))))</f>
        <v/>
      </c>
      <c r="J1647" s="7" t="str">
        <f t="shared" si="101"/>
        <v/>
      </c>
      <c r="K1647" s="9">
        <f t="shared" ca="1" si="102"/>
        <v>45404.878290162036</v>
      </c>
      <c r="L1647" s="10">
        <f t="shared" ca="1" si="103"/>
        <v>45404.878290046297</v>
      </c>
    </row>
    <row r="1648" spans="6:12" x14ac:dyDescent="0.25">
      <c r="F1648" s="11" t="str">
        <f>IF(ISBLANK(D1648),"",(VLOOKUP(D1648,Cardápio!$A$2:$B$16,2,0))*E1648)</f>
        <v/>
      </c>
      <c r="H1648" s="7" t="str">
        <f t="shared" si="100"/>
        <v/>
      </c>
      <c r="I1648" s="7" t="str">
        <f>IF(AND(ISBLANK(D1648),ISBLANK(C1648)),"",((VLOOKUP(D1648,Cardápio!$A$2:$C$16,3,0))*E1648)+IF(B1648="iFood",F1648*0.27,(VLOOKUP(VENDAS!C1648,Bairros!$A$2:$B$90,2,0))))</f>
        <v/>
      </c>
      <c r="J1648" s="7" t="str">
        <f t="shared" si="101"/>
        <v/>
      </c>
      <c r="K1648" s="9">
        <f t="shared" ca="1" si="102"/>
        <v>45404.878290162036</v>
      </c>
      <c r="L1648" s="10">
        <f t="shared" ca="1" si="103"/>
        <v>45404.878290046297</v>
      </c>
    </row>
    <row r="1649" spans="6:12" x14ac:dyDescent="0.25">
      <c r="F1649" s="11" t="str">
        <f>IF(ISBLANK(D1649),"",(VLOOKUP(D1649,Cardápio!$A$2:$B$16,2,0))*E1649)</f>
        <v/>
      </c>
      <c r="H1649" s="7" t="str">
        <f t="shared" si="100"/>
        <v/>
      </c>
      <c r="I1649" s="7" t="str">
        <f>IF(AND(ISBLANK(D1649),ISBLANK(C1649)),"",((VLOOKUP(D1649,Cardápio!$A$2:$C$16,3,0))*E1649)+IF(B1649="iFood",F1649*0.27,(VLOOKUP(VENDAS!C1649,Bairros!$A$2:$B$90,2,0))))</f>
        <v/>
      </c>
      <c r="J1649" s="7" t="str">
        <f t="shared" si="101"/>
        <v/>
      </c>
      <c r="K1649" s="9">
        <f t="shared" ca="1" si="102"/>
        <v>45404.878290162036</v>
      </c>
      <c r="L1649" s="10">
        <f t="shared" ca="1" si="103"/>
        <v>45404.878290046297</v>
      </c>
    </row>
    <row r="1650" spans="6:12" x14ac:dyDescent="0.25">
      <c r="F1650" s="11" t="str">
        <f>IF(ISBLANK(D1650),"",(VLOOKUP(D1650,Cardápio!$A$2:$B$16,2,0))*E1650)</f>
        <v/>
      </c>
      <c r="H1650" s="7" t="str">
        <f t="shared" si="100"/>
        <v/>
      </c>
      <c r="I1650" s="7" t="str">
        <f>IF(AND(ISBLANK(D1650),ISBLANK(C1650)),"",((VLOOKUP(D1650,Cardápio!$A$2:$C$16,3,0))*E1650)+IF(B1650="iFood",F1650*0.27,(VLOOKUP(VENDAS!C1650,Bairros!$A$2:$B$90,2,0))))</f>
        <v/>
      </c>
      <c r="J1650" s="7" t="str">
        <f t="shared" si="101"/>
        <v/>
      </c>
      <c r="K1650" s="9">
        <f t="shared" ca="1" si="102"/>
        <v>45404.878290162036</v>
      </c>
      <c r="L1650" s="10">
        <f t="shared" ca="1" si="103"/>
        <v>45404.878290046297</v>
      </c>
    </row>
    <row r="1651" spans="6:12" x14ac:dyDescent="0.25">
      <c r="F1651" s="11" t="str">
        <f>IF(ISBLANK(D1651),"",(VLOOKUP(D1651,Cardápio!$A$2:$B$16,2,0))*E1651)</f>
        <v/>
      </c>
      <c r="H1651" s="7" t="str">
        <f t="shared" si="100"/>
        <v/>
      </c>
      <c r="I1651" s="7" t="str">
        <f>IF(AND(ISBLANK(D1651),ISBLANK(C1651)),"",((VLOOKUP(D1651,Cardápio!$A$2:$C$16,3,0))*E1651)+IF(B1651="iFood",F1651*0.27,(VLOOKUP(VENDAS!C1651,Bairros!$A$2:$B$90,2,0))))</f>
        <v/>
      </c>
      <c r="J1651" s="7" t="str">
        <f t="shared" si="101"/>
        <v/>
      </c>
      <c r="K1651" s="9">
        <f t="shared" ca="1" si="102"/>
        <v>45404.878290162036</v>
      </c>
      <c r="L1651" s="10">
        <f t="shared" ca="1" si="103"/>
        <v>45404.878290046297</v>
      </c>
    </row>
    <row r="1652" spans="6:12" x14ac:dyDescent="0.25">
      <c r="F1652" s="11" t="str">
        <f>IF(ISBLANK(D1652),"",(VLOOKUP(D1652,Cardápio!$A$2:$B$16,2,0))*E1652)</f>
        <v/>
      </c>
      <c r="H1652" s="7" t="str">
        <f t="shared" si="100"/>
        <v/>
      </c>
      <c r="I1652" s="7" t="str">
        <f>IF(AND(ISBLANK(D1652),ISBLANK(C1652)),"",((VLOOKUP(D1652,Cardápio!$A$2:$C$16,3,0))*E1652)+IF(B1652="iFood",F1652*0.27,(VLOOKUP(VENDAS!C1652,Bairros!$A$2:$B$90,2,0))))</f>
        <v/>
      </c>
      <c r="J1652" s="7" t="str">
        <f t="shared" si="101"/>
        <v/>
      </c>
      <c r="K1652" s="9">
        <f t="shared" ca="1" si="102"/>
        <v>45404.878290162036</v>
      </c>
      <c r="L1652" s="10">
        <f t="shared" ca="1" si="103"/>
        <v>45404.878290046297</v>
      </c>
    </row>
    <row r="1653" spans="6:12" x14ac:dyDescent="0.25">
      <c r="F1653" s="11" t="str">
        <f>IF(ISBLANK(D1653),"",(VLOOKUP(D1653,Cardápio!$A$2:$B$16,2,0))*E1653)</f>
        <v/>
      </c>
      <c r="H1653" s="7" t="str">
        <f t="shared" ref="H1653:H1716" si="104">IF(ISBLANK(D1653),"",F1653-G1653)</f>
        <v/>
      </c>
      <c r="I1653" s="7" t="str">
        <f>IF(AND(ISBLANK(D1653),ISBLANK(C1653)),"",((VLOOKUP(D1653,Cardápio!$A$2:$C$16,3,0))*E1653)+IF(B1653="iFood",F1653*0.27,(VLOOKUP(VENDAS!C1653,Bairros!$A$2:$B$90,2,0))))</f>
        <v/>
      </c>
      <c r="J1653" s="7" t="str">
        <f t="shared" ref="J1653:J1716" si="105">IF(OR(AND(ISBLANK(H1653),ISBLANK(I1653)),(AND(H1653="",I1653=""))),"",H1653-I1653)</f>
        <v/>
      </c>
      <c r="K1653" s="9">
        <f t="shared" ref="K1653:K1716" ca="1" si="106">IF(D1653&lt;&gt;"",K1653,NOW())</f>
        <v>45404.878290162036</v>
      </c>
      <c r="L1653" s="10">
        <f t="shared" ref="L1653:L1716" ca="1" si="107">IF(D1653&lt;&gt;"",L1653,NOW())</f>
        <v>45404.878290046297</v>
      </c>
    </row>
    <row r="1654" spans="6:12" x14ac:dyDescent="0.25">
      <c r="F1654" s="11" t="str">
        <f>IF(ISBLANK(D1654),"",(VLOOKUP(D1654,Cardápio!$A$2:$B$16,2,0))*E1654)</f>
        <v/>
      </c>
      <c r="H1654" s="7" t="str">
        <f t="shared" si="104"/>
        <v/>
      </c>
      <c r="I1654" s="7" t="str">
        <f>IF(AND(ISBLANK(D1654),ISBLANK(C1654)),"",((VLOOKUP(D1654,Cardápio!$A$2:$C$16,3,0))*E1654)+IF(B1654="iFood",F1654*0.27,(VLOOKUP(VENDAS!C1654,Bairros!$A$2:$B$90,2,0))))</f>
        <v/>
      </c>
      <c r="J1654" s="7" t="str">
        <f t="shared" si="105"/>
        <v/>
      </c>
      <c r="K1654" s="9">
        <f t="shared" ca="1" si="106"/>
        <v>45404.878290162036</v>
      </c>
      <c r="L1654" s="10">
        <f t="shared" ca="1" si="107"/>
        <v>45404.878290046297</v>
      </c>
    </row>
    <row r="1655" spans="6:12" x14ac:dyDescent="0.25">
      <c r="F1655" s="11" t="str">
        <f>IF(ISBLANK(D1655),"",(VLOOKUP(D1655,Cardápio!$A$2:$B$16,2,0))*E1655)</f>
        <v/>
      </c>
      <c r="H1655" s="7" t="str">
        <f t="shared" si="104"/>
        <v/>
      </c>
      <c r="I1655" s="7" t="str">
        <f>IF(AND(ISBLANK(D1655),ISBLANK(C1655)),"",((VLOOKUP(D1655,Cardápio!$A$2:$C$16,3,0))*E1655)+IF(B1655="iFood",F1655*0.27,(VLOOKUP(VENDAS!C1655,Bairros!$A$2:$B$90,2,0))))</f>
        <v/>
      </c>
      <c r="J1655" s="7" t="str">
        <f t="shared" si="105"/>
        <v/>
      </c>
      <c r="K1655" s="9">
        <f t="shared" ca="1" si="106"/>
        <v>45404.878290162036</v>
      </c>
      <c r="L1655" s="10">
        <f t="shared" ca="1" si="107"/>
        <v>45404.878290046297</v>
      </c>
    </row>
    <row r="1656" spans="6:12" x14ac:dyDescent="0.25">
      <c r="F1656" s="11" t="str">
        <f>IF(ISBLANK(D1656),"",(VLOOKUP(D1656,Cardápio!$A$2:$B$16,2,0))*E1656)</f>
        <v/>
      </c>
      <c r="H1656" s="7" t="str">
        <f t="shared" si="104"/>
        <v/>
      </c>
      <c r="I1656" s="7" t="str">
        <f>IF(AND(ISBLANK(D1656),ISBLANK(C1656)),"",((VLOOKUP(D1656,Cardápio!$A$2:$C$16,3,0))*E1656)+IF(B1656="iFood",F1656*0.27,(VLOOKUP(VENDAS!C1656,Bairros!$A$2:$B$90,2,0))))</f>
        <v/>
      </c>
      <c r="J1656" s="7" t="str">
        <f t="shared" si="105"/>
        <v/>
      </c>
      <c r="K1656" s="9">
        <f t="shared" ca="1" si="106"/>
        <v>45404.878290162036</v>
      </c>
      <c r="L1656" s="10">
        <f t="shared" ca="1" si="107"/>
        <v>45404.878290046297</v>
      </c>
    </row>
    <row r="1657" spans="6:12" x14ac:dyDescent="0.25">
      <c r="F1657" s="11" t="str">
        <f>IF(ISBLANK(D1657),"",(VLOOKUP(D1657,Cardápio!$A$2:$B$16,2,0))*E1657)</f>
        <v/>
      </c>
      <c r="H1657" s="7" t="str">
        <f t="shared" si="104"/>
        <v/>
      </c>
      <c r="I1657" s="7" t="str">
        <f>IF(AND(ISBLANK(D1657),ISBLANK(C1657)),"",((VLOOKUP(D1657,Cardápio!$A$2:$C$16,3,0))*E1657)+IF(B1657="iFood",F1657*0.27,(VLOOKUP(VENDAS!C1657,Bairros!$A$2:$B$90,2,0))))</f>
        <v/>
      </c>
      <c r="J1657" s="7" t="str">
        <f t="shared" si="105"/>
        <v/>
      </c>
      <c r="K1657" s="9">
        <f t="shared" ca="1" si="106"/>
        <v>45404.878290162036</v>
      </c>
      <c r="L1657" s="10">
        <f t="shared" ca="1" si="107"/>
        <v>45404.878290046297</v>
      </c>
    </row>
    <row r="1658" spans="6:12" x14ac:dyDescent="0.25">
      <c r="F1658" s="11" t="str">
        <f>IF(ISBLANK(D1658),"",(VLOOKUP(D1658,Cardápio!$A$2:$B$16,2,0))*E1658)</f>
        <v/>
      </c>
      <c r="H1658" s="7" t="str">
        <f t="shared" si="104"/>
        <v/>
      </c>
      <c r="I1658" s="7" t="str">
        <f>IF(AND(ISBLANK(D1658),ISBLANK(C1658)),"",((VLOOKUP(D1658,Cardápio!$A$2:$C$16,3,0))*E1658)+IF(B1658="iFood",F1658*0.27,(VLOOKUP(VENDAS!C1658,Bairros!$A$2:$B$90,2,0))))</f>
        <v/>
      </c>
      <c r="J1658" s="7" t="str">
        <f t="shared" si="105"/>
        <v/>
      </c>
      <c r="K1658" s="9">
        <f t="shared" ca="1" si="106"/>
        <v>45404.878290162036</v>
      </c>
      <c r="L1658" s="10">
        <f t="shared" ca="1" si="107"/>
        <v>45404.878290046297</v>
      </c>
    </row>
    <row r="1659" spans="6:12" x14ac:dyDescent="0.25">
      <c r="F1659" s="11" t="str">
        <f>IF(ISBLANK(D1659),"",(VLOOKUP(D1659,Cardápio!$A$2:$B$16,2,0))*E1659)</f>
        <v/>
      </c>
      <c r="H1659" s="7" t="str">
        <f t="shared" si="104"/>
        <v/>
      </c>
      <c r="I1659" s="7" t="str">
        <f>IF(AND(ISBLANK(D1659),ISBLANK(C1659)),"",((VLOOKUP(D1659,Cardápio!$A$2:$C$16,3,0))*E1659)+IF(B1659="iFood",F1659*0.27,(VLOOKUP(VENDAS!C1659,Bairros!$A$2:$B$90,2,0))))</f>
        <v/>
      </c>
      <c r="J1659" s="7" t="str">
        <f t="shared" si="105"/>
        <v/>
      </c>
      <c r="K1659" s="9">
        <f t="shared" ca="1" si="106"/>
        <v>45404.878290162036</v>
      </c>
      <c r="L1659" s="10">
        <f t="shared" ca="1" si="107"/>
        <v>45404.878290046297</v>
      </c>
    </row>
    <row r="1660" spans="6:12" x14ac:dyDescent="0.25">
      <c r="F1660" s="11" t="str">
        <f>IF(ISBLANK(D1660),"",(VLOOKUP(D1660,Cardápio!$A$2:$B$16,2,0))*E1660)</f>
        <v/>
      </c>
      <c r="H1660" s="7" t="str">
        <f t="shared" si="104"/>
        <v/>
      </c>
      <c r="I1660" s="7" t="str">
        <f>IF(AND(ISBLANK(D1660),ISBLANK(C1660)),"",((VLOOKUP(D1660,Cardápio!$A$2:$C$16,3,0))*E1660)+IF(B1660="iFood",F1660*0.27,(VLOOKUP(VENDAS!C1660,Bairros!$A$2:$B$90,2,0))))</f>
        <v/>
      </c>
      <c r="J1660" s="7" t="str">
        <f t="shared" si="105"/>
        <v/>
      </c>
      <c r="K1660" s="9">
        <f t="shared" ca="1" si="106"/>
        <v>45404.878290162036</v>
      </c>
      <c r="L1660" s="10">
        <f t="shared" ca="1" si="107"/>
        <v>45404.878290046297</v>
      </c>
    </row>
    <row r="1661" spans="6:12" x14ac:dyDescent="0.25">
      <c r="F1661" s="11" t="str">
        <f>IF(ISBLANK(D1661),"",(VLOOKUP(D1661,Cardápio!$A$2:$B$16,2,0))*E1661)</f>
        <v/>
      </c>
      <c r="H1661" s="7" t="str">
        <f t="shared" si="104"/>
        <v/>
      </c>
      <c r="I1661" s="7" t="str">
        <f>IF(AND(ISBLANK(D1661),ISBLANK(C1661)),"",((VLOOKUP(D1661,Cardápio!$A$2:$C$16,3,0))*E1661)+IF(B1661="iFood",F1661*0.27,(VLOOKUP(VENDAS!C1661,Bairros!$A$2:$B$90,2,0))))</f>
        <v/>
      </c>
      <c r="J1661" s="7" t="str">
        <f t="shared" si="105"/>
        <v/>
      </c>
      <c r="K1661" s="9">
        <f t="shared" ca="1" si="106"/>
        <v>45404.878290162036</v>
      </c>
      <c r="L1661" s="10">
        <f t="shared" ca="1" si="107"/>
        <v>45404.878290046297</v>
      </c>
    </row>
    <row r="1662" spans="6:12" x14ac:dyDescent="0.25">
      <c r="F1662" s="11" t="str">
        <f>IF(ISBLANK(D1662),"",(VLOOKUP(D1662,Cardápio!$A$2:$B$16,2,0))*E1662)</f>
        <v/>
      </c>
      <c r="H1662" s="7" t="str">
        <f t="shared" si="104"/>
        <v/>
      </c>
      <c r="I1662" s="7" t="str">
        <f>IF(AND(ISBLANK(D1662),ISBLANK(C1662)),"",((VLOOKUP(D1662,Cardápio!$A$2:$C$16,3,0))*E1662)+IF(B1662="iFood",F1662*0.27,(VLOOKUP(VENDAS!C1662,Bairros!$A$2:$B$90,2,0))))</f>
        <v/>
      </c>
      <c r="J1662" s="7" t="str">
        <f t="shared" si="105"/>
        <v/>
      </c>
      <c r="K1662" s="9">
        <f t="shared" ca="1" si="106"/>
        <v>45404.878290162036</v>
      </c>
      <c r="L1662" s="10">
        <f t="shared" ca="1" si="107"/>
        <v>45404.878290046297</v>
      </c>
    </row>
    <row r="1663" spans="6:12" x14ac:dyDescent="0.25">
      <c r="F1663" s="11" t="str">
        <f>IF(ISBLANK(D1663),"",(VLOOKUP(D1663,Cardápio!$A$2:$B$16,2,0))*E1663)</f>
        <v/>
      </c>
      <c r="H1663" s="7" t="str">
        <f t="shared" si="104"/>
        <v/>
      </c>
      <c r="I1663" s="7" t="str">
        <f>IF(AND(ISBLANK(D1663),ISBLANK(C1663)),"",((VLOOKUP(D1663,Cardápio!$A$2:$C$16,3,0))*E1663)+IF(B1663="iFood",F1663*0.27,(VLOOKUP(VENDAS!C1663,Bairros!$A$2:$B$90,2,0))))</f>
        <v/>
      </c>
      <c r="J1663" s="7" t="str">
        <f t="shared" si="105"/>
        <v/>
      </c>
      <c r="K1663" s="9">
        <f t="shared" ca="1" si="106"/>
        <v>45404.878290162036</v>
      </c>
      <c r="L1663" s="10">
        <f t="shared" ca="1" si="107"/>
        <v>45404.878290046297</v>
      </c>
    </row>
    <row r="1664" spans="6:12" x14ac:dyDescent="0.25">
      <c r="F1664" s="11" t="str">
        <f>IF(ISBLANK(D1664),"",(VLOOKUP(D1664,Cardápio!$A$2:$B$16,2,0))*E1664)</f>
        <v/>
      </c>
      <c r="H1664" s="7" t="str">
        <f t="shared" si="104"/>
        <v/>
      </c>
      <c r="I1664" s="7" t="str">
        <f>IF(AND(ISBLANK(D1664),ISBLANK(C1664)),"",((VLOOKUP(D1664,Cardápio!$A$2:$C$16,3,0))*E1664)+IF(B1664="iFood",F1664*0.27,(VLOOKUP(VENDAS!C1664,Bairros!$A$2:$B$90,2,0))))</f>
        <v/>
      </c>
      <c r="J1664" s="7" t="str">
        <f t="shared" si="105"/>
        <v/>
      </c>
      <c r="K1664" s="9">
        <f t="shared" ca="1" si="106"/>
        <v>45404.878290162036</v>
      </c>
      <c r="L1664" s="10">
        <f t="shared" ca="1" si="107"/>
        <v>45404.878290046297</v>
      </c>
    </row>
    <row r="1665" spans="6:12" x14ac:dyDescent="0.25">
      <c r="F1665" s="11" t="str">
        <f>IF(ISBLANK(D1665),"",(VLOOKUP(D1665,Cardápio!$A$2:$B$16,2,0))*E1665)</f>
        <v/>
      </c>
      <c r="H1665" s="7" t="str">
        <f t="shared" si="104"/>
        <v/>
      </c>
      <c r="I1665" s="7" t="str">
        <f>IF(AND(ISBLANK(D1665),ISBLANK(C1665)),"",((VLOOKUP(D1665,Cardápio!$A$2:$C$16,3,0))*E1665)+IF(B1665="iFood",F1665*0.27,(VLOOKUP(VENDAS!C1665,Bairros!$A$2:$B$90,2,0))))</f>
        <v/>
      </c>
      <c r="J1665" s="7" t="str">
        <f t="shared" si="105"/>
        <v/>
      </c>
      <c r="K1665" s="9">
        <f t="shared" ca="1" si="106"/>
        <v>45404.878290162036</v>
      </c>
      <c r="L1665" s="10">
        <f t="shared" ca="1" si="107"/>
        <v>45404.878290046297</v>
      </c>
    </row>
    <row r="1666" spans="6:12" x14ac:dyDescent="0.25">
      <c r="F1666" s="11" t="str">
        <f>IF(ISBLANK(D1666),"",(VLOOKUP(D1666,Cardápio!$A$2:$B$16,2,0))*E1666)</f>
        <v/>
      </c>
      <c r="H1666" s="7" t="str">
        <f t="shared" si="104"/>
        <v/>
      </c>
      <c r="I1666" s="7" t="str">
        <f>IF(AND(ISBLANK(D1666),ISBLANK(C1666)),"",((VLOOKUP(D1666,Cardápio!$A$2:$C$16,3,0))*E1666)+IF(B1666="iFood",F1666*0.27,(VLOOKUP(VENDAS!C1666,Bairros!$A$2:$B$90,2,0))))</f>
        <v/>
      </c>
      <c r="J1666" s="7" t="str">
        <f t="shared" si="105"/>
        <v/>
      </c>
      <c r="K1666" s="9">
        <f t="shared" ca="1" si="106"/>
        <v>45404.878290162036</v>
      </c>
      <c r="L1666" s="10">
        <f t="shared" ca="1" si="107"/>
        <v>45404.878290046297</v>
      </c>
    </row>
    <row r="1667" spans="6:12" x14ac:dyDescent="0.25">
      <c r="F1667" s="11" t="str">
        <f>IF(ISBLANK(D1667),"",(VLOOKUP(D1667,Cardápio!$A$2:$B$16,2,0))*E1667)</f>
        <v/>
      </c>
      <c r="H1667" s="7" t="str">
        <f t="shared" si="104"/>
        <v/>
      </c>
      <c r="I1667" s="7" t="str">
        <f>IF(AND(ISBLANK(D1667),ISBLANK(C1667)),"",((VLOOKUP(D1667,Cardápio!$A$2:$C$16,3,0))*E1667)+IF(B1667="iFood",F1667*0.27,(VLOOKUP(VENDAS!C1667,Bairros!$A$2:$B$90,2,0))))</f>
        <v/>
      </c>
      <c r="J1667" s="7" t="str">
        <f t="shared" si="105"/>
        <v/>
      </c>
      <c r="K1667" s="9">
        <f t="shared" ca="1" si="106"/>
        <v>45404.878290162036</v>
      </c>
      <c r="L1667" s="10">
        <f t="shared" ca="1" si="107"/>
        <v>45404.878290046297</v>
      </c>
    </row>
    <row r="1668" spans="6:12" x14ac:dyDescent="0.25">
      <c r="F1668" s="11" t="str">
        <f>IF(ISBLANK(D1668),"",(VLOOKUP(D1668,Cardápio!$A$2:$B$16,2,0))*E1668)</f>
        <v/>
      </c>
      <c r="H1668" s="7" t="str">
        <f t="shared" si="104"/>
        <v/>
      </c>
      <c r="I1668" s="7" t="str">
        <f>IF(AND(ISBLANK(D1668),ISBLANK(C1668)),"",((VLOOKUP(D1668,Cardápio!$A$2:$C$16,3,0))*E1668)+IF(B1668="iFood",F1668*0.27,(VLOOKUP(VENDAS!C1668,Bairros!$A$2:$B$90,2,0))))</f>
        <v/>
      </c>
      <c r="J1668" s="7" t="str">
        <f t="shared" si="105"/>
        <v/>
      </c>
      <c r="K1668" s="9">
        <f t="shared" ca="1" si="106"/>
        <v>45404.878290162036</v>
      </c>
      <c r="L1668" s="10">
        <f t="shared" ca="1" si="107"/>
        <v>45404.878290046297</v>
      </c>
    </row>
    <row r="1669" spans="6:12" x14ac:dyDescent="0.25">
      <c r="F1669" s="11" t="str">
        <f>IF(ISBLANK(D1669),"",(VLOOKUP(D1669,Cardápio!$A$2:$B$16,2,0))*E1669)</f>
        <v/>
      </c>
      <c r="H1669" s="7" t="str">
        <f t="shared" si="104"/>
        <v/>
      </c>
      <c r="I1669" s="7" t="str">
        <f>IF(AND(ISBLANK(D1669),ISBLANK(C1669)),"",((VLOOKUP(D1669,Cardápio!$A$2:$C$16,3,0))*E1669)+IF(B1669="iFood",F1669*0.27,(VLOOKUP(VENDAS!C1669,Bairros!$A$2:$B$90,2,0))))</f>
        <v/>
      </c>
      <c r="J1669" s="7" t="str">
        <f t="shared" si="105"/>
        <v/>
      </c>
      <c r="K1669" s="9">
        <f t="shared" ca="1" si="106"/>
        <v>45404.878290162036</v>
      </c>
      <c r="L1669" s="10">
        <f t="shared" ca="1" si="107"/>
        <v>45404.878290046297</v>
      </c>
    </row>
    <row r="1670" spans="6:12" x14ac:dyDescent="0.25">
      <c r="F1670" s="11" t="str">
        <f>IF(ISBLANK(D1670),"",(VLOOKUP(D1670,Cardápio!$A$2:$B$16,2,0))*E1670)</f>
        <v/>
      </c>
      <c r="H1670" s="7" t="str">
        <f t="shared" si="104"/>
        <v/>
      </c>
      <c r="I1670" s="7" t="str">
        <f>IF(AND(ISBLANK(D1670),ISBLANK(C1670)),"",((VLOOKUP(D1670,Cardápio!$A$2:$C$16,3,0))*E1670)+IF(B1670="iFood",F1670*0.27,(VLOOKUP(VENDAS!C1670,Bairros!$A$2:$B$90,2,0))))</f>
        <v/>
      </c>
      <c r="J1670" s="7" t="str">
        <f t="shared" si="105"/>
        <v/>
      </c>
      <c r="K1670" s="9">
        <f t="shared" ca="1" si="106"/>
        <v>45404.878290162036</v>
      </c>
      <c r="L1670" s="10">
        <f t="shared" ca="1" si="107"/>
        <v>45404.878290046297</v>
      </c>
    </row>
    <row r="1671" spans="6:12" x14ac:dyDescent="0.25">
      <c r="F1671" s="11" t="str">
        <f>IF(ISBLANK(D1671),"",(VLOOKUP(D1671,Cardápio!$A$2:$B$16,2,0))*E1671)</f>
        <v/>
      </c>
      <c r="H1671" s="7" t="str">
        <f t="shared" si="104"/>
        <v/>
      </c>
      <c r="I1671" s="7" t="str">
        <f>IF(AND(ISBLANK(D1671),ISBLANK(C1671)),"",((VLOOKUP(D1671,Cardápio!$A$2:$C$16,3,0))*E1671)+IF(B1671="iFood",F1671*0.27,(VLOOKUP(VENDAS!C1671,Bairros!$A$2:$B$90,2,0))))</f>
        <v/>
      </c>
      <c r="J1671" s="7" t="str">
        <f t="shared" si="105"/>
        <v/>
      </c>
      <c r="K1671" s="9">
        <f t="shared" ca="1" si="106"/>
        <v>45404.878290162036</v>
      </c>
      <c r="L1671" s="10">
        <f t="shared" ca="1" si="107"/>
        <v>45404.878290046297</v>
      </c>
    </row>
    <row r="1672" spans="6:12" x14ac:dyDescent="0.25">
      <c r="F1672" s="11" t="str">
        <f>IF(ISBLANK(D1672),"",(VLOOKUP(D1672,Cardápio!$A$2:$B$16,2,0))*E1672)</f>
        <v/>
      </c>
      <c r="H1672" s="7" t="str">
        <f t="shared" si="104"/>
        <v/>
      </c>
      <c r="I1672" s="7" t="str">
        <f>IF(AND(ISBLANK(D1672),ISBLANK(C1672)),"",((VLOOKUP(D1672,Cardápio!$A$2:$C$16,3,0))*E1672)+IF(B1672="iFood",F1672*0.27,(VLOOKUP(VENDAS!C1672,Bairros!$A$2:$B$90,2,0))))</f>
        <v/>
      </c>
      <c r="J1672" s="7" t="str">
        <f t="shared" si="105"/>
        <v/>
      </c>
      <c r="K1672" s="9">
        <f t="shared" ca="1" si="106"/>
        <v>45404.878290162036</v>
      </c>
      <c r="L1672" s="10">
        <f t="shared" ca="1" si="107"/>
        <v>45404.878290046297</v>
      </c>
    </row>
    <row r="1673" spans="6:12" x14ac:dyDescent="0.25">
      <c r="F1673" s="11" t="str">
        <f>IF(ISBLANK(D1673),"",(VLOOKUP(D1673,Cardápio!$A$2:$B$16,2,0))*E1673)</f>
        <v/>
      </c>
      <c r="H1673" s="7" t="str">
        <f t="shared" si="104"/>
        <v/>
      </c>
      <c r="I1673" s="7" t="str">
        <f>IF(AND(ISBLANK(D1673),ISBLANK(C1673)),"",((VLOOKUP(D1673,Cardápio!$A$2:$C$16,3,0))*E1673)+IF(B1673="iFood",F1673*0.27,(VLOOKUP(VENDAS!C1673,Bairros!$A$2:$B$90,2,0))))</f>
        <v/>
      </c>
      <c r="J1673" s="7" t="str">
        <f t="shared" si="105"/>
        <v/>
      </c>
      <c r="K1673" s="9">
        <f t="shared" ca="1" si="106"/>
        <v>45404.878290162036</v>
      </c>
      <c r="L1673" s="10">
        <f t="shared" ca="1" si="107"/>
        <v>45404.878290046297</v>
      </c>
    </row>
    <row r="1674" spans="6:12" x14ac:dyDescent="0.25">
      <c r="F1674" s="11" t="str">
        <f>IF(ISBLANK(D1674),"",(VLOOKUP(D1674,Cardápio!$A$2:$B$16,2,0))*E1674)</f>
        <v/>
      </c>
      <c r="H1674" s="7" t="str">
        <f t="shared" si="104"/>
        <v/>
      </c>
      <c r="I1674" s="7" t="str">
        <f>IF(AND(ISBLANK(D1674),ISBLANK(C1674)),"",((VLOOKUP(D1674,Cardápio!$A$2:$C$16,3,0))*E1674)+IF(B1674="iFood",F1674*0.27,(VLOOKUP(VENDAS!C1674,Bairros!$A$2:$B$90,2,0))))</f>
        <v/>
      </c>
      <c r="J1674" s="7" t="str">
        <f t="shared" si="105"/>
        <v/>
      </c>
      <c r="K1674" s="9">
        <f t="shared" ca="1" si="106"/>
        <v>45404.878290162036</v>
      </c>
      <c r="L1674" s="10">
        <f t="shared" ca="1" si="107"/>
        <v>45404.878290046297</v>
      </c>
    </row>
    <row r="1675" spans="6:12" x14ac:dyDescent="0.25">
      <c r="F1675" s="11" t="str">
        <f>IF(ISBLANK(D1675),"",(VLOOKUP(D1675,Cardápio!$A$2:$B$16,2,0))*E1675)</f>
        <v/>
      </c>
      <c r="H1675" s="7" t="str">
        <f t="shared" si="104"/>
        <v/>
      </c>
      <c r="I1675" s="7" t="str">
        <f>IF(AND(ISBLANK(D1675),ISBLANK(C1675)),"",((VLOOKUP(D1675,Cardápio!$A$2:$C$16,3,0))*E1675)+IF(B1675="iFood",F1675*0.27,(VLOOKUP(VENDAS!C1675,Bairros!$A$2:$B$90,2,0))))</f>
        <v/>
      </c>
      <c r="J1675" s="7" t="str">
        <f t="shared" si="105"/>
        <v/>
      </c>
      <c r="K1675" s="9">
        <f t="shared" ca="1" si="106"/>
        <v>45404.878290162036</v>
      </c>
      <c r="L1675" s="10">
        <f t="shared" ca="1" si="107"/>
        <v>45404.878290046297</v>
      </c>
    </row>
    <row r="1676" spans="6:12" x14ac:dyDescent="0.25">
      <c r="F1676" s="11" t="str">
        <f>IF(ISBLANK(D1676),"",(VLOOKUP(D1676,Cardápio!$A$2:$B$16,2,0))*E1676)</f>
        <v/>
      </c>
      <c r="H1676" s="7" t="str">
        <f t="shared" si="104"/>
        <v/>
      </c>
      <c r="I1676" s="7" t="str">
        <f>IF(AND(ISBLANK(D1676),ISBLANK(C1676)),"",((VLOOKUP(D1676,Cardápio!$A$2:$C$16,3,0))*E1676)+IF(B1676="iFood",F1676*0.27,(VLOOKUP(VENDAS!C1676,Bairros!$A$2:$B$90,2,0))))</f>
        <v/>
      </c>
      <c r="J1676" s="7" t="str">
        <f t="shared" si="105"/>
        <v/>
      </c>
      <c r="K1676" s="9">
        <f t="shared" ca="1" si="106"/>
        <v>45404.878290162036</v>
      </c>
      <c r="L1676" s="10">
        <f t="shared" ca="1" si="107"/>
        <v>45404.878290046297</v>
      </c>
    </row>
    <row r="1677" spans="6:12" x14ac:dyDescent="0.25">
      <c r="F1677" s="11" t="str">
        <f>IF(ISBLANK(D1677),"",(VLOOKUP(D1677,Cardápio!$A$2:$B$16,2,0))*E1677)</f>
        <v/>
      </c>
      <c r="H1677" s="7" t="str">
        <f t="shared" si="104"/>
        <v/>
      </c>
      <c r="I1677" s="7" t="str">
        <f>IF(AND(ISBLANK(D1677),ISBLANK(C1677)),"",((VLOOKUP(D1677,Cardápio!$A$2:$C$16,3,0))*E1677)+IF(B1677="iFood",F1677*0.27,(VLOOKUP(VENDAS!C1677,Bairros!$A$2:$B$90,2,0))))</f>
        <v/>
      </c>
      <c r="J1677" s="7" t="str">
        <f t="shared" si="105"/>
        <v/>
      </c>
      <c r="K1677" s="9">
        <f t="shared" ca="1" si="106"/>
        <v>45404.878290162036</v>
      </c>
      <c r="L1677" s="10">
        <f t="shared" ca="1" si="107"/>
        <v>45404.878290046297</v>
      </c>
    </row>
    <row r="1678" spans="6:12" x14ac:dyDescent="0.25">
      <c r="F1678" s="11" t="str">
        <f>IF(ISBLANK(D1678),"",(VLOOKUP(D1678,Cardápio!$A$2:$B$16,2,0))*E1678)</f>
        <v/>
      </c>
      <c r="H1678" s="7" t="str">
        <f t="shared" si="104"/>
        <v/>
      </c>
      <c r="I1678" s="7" t="str">
        <f>IF(AND(ISBLANK(D1678),ISBLANK(C1678)),"",((VLOOKUP(D1678,Cardápio!$A$2:$C$16,3,0))*E1678)+IF(B1678="iFood",F1678*0.27,(VLOOKUP(VENDAS!C1678,Bairros!$A$2:$B$90,2,0))))</f>
        <v/>
      </c>
      <c r="J1678" s="7" t="str">
        <f t="shared" si="105"/>
        <v/>
      </c>
      <c r="K1678" s="9">
        <f t="shared" ca="1" si="106"/>
        <v>45404.878290162036</v>
      </c>
      <c r="L1678" s="10">
        <f t="shared" ca="1" si="107"/>
        <v>45404.878290046297</v>
      </c>
    </row>
    <row r="1679" spans="6:12" x14ac:dyDescent="0.25">
      <c r="F1679" s="11" t="str">
        <f>IF(ISBLANK(D1679),"",(VLOOKUP(D1679,Cardápio!$A$2:$B$16,2,0))*E1679)</f>
        <v/>
      </c>
      <c r="H1679" s="7" t="str">
        <f t="shared" si="104"/>
        <v/>
      </c>
      <c r="I1679" s="7" t="str">
        <f>IF(AND(ISBLANK(D1679),ISBLANK(C1679)),"",((VLOOKUP(D1679,Cardápio!$A$2:$C$16,3,0))*E1679)+IF(B1679="iFood",F1679*0.27,(VLOOKUP(VENDAS!C1679,Bairros!$A$2:$B$90,2,0))))</f>
        <v/>
      </c>
      <c r="J1679" s="7" t="str">
        <f t="shared" si="105"/>
        <v/>
      </c>
      <c r="K1679" s="9">
        <f t="shared" ca="1" si="106"/>
        <v>45404.878290162036</v>
      </c>
      <c r="L1679" s="10">
        <f t="shared" ca="1" si="107"/>
        <v>45404.878290046297</v>
      </c>
    </row>
    <row r="1680" spans="6:12" x14ac:dyDescent="0.25">
      <c r="F1680" s="11" t="str">
        <f>IF(ISBLANK(D1680),"",(VLOOKUP(D1680,Cardápio!$A$2:$B$16,2,0))*E1680)</f>
        <v/>
      </c>
      <c r="H1680" s="7" t="str">
        <f t="shared" si="104"/>
        <v/>
      </c>
      <c r="I1680" s="7" t="str">
        <f>IF(AND(ISBLANK(D1680),ISBLANK(C1680)),"",((VLOOKUP(D1680,Cardápio!$A$2:$C$16,3,0))*E1680)+IF(B1680="iFood",F1680*0.27,(VLOOKUP(VENDAS!C1680,Bairros!$A$2:$B$90,2,0))))</f>
        <v/>
      </c>
      <c r="J1680" s="7" t="str">
        <f t="shared" si="105"/>
        <v/>
      </c>
      <c r="K1680" s="9">
        <f t="shared" ca="1" si="106"/>
        <v>45404.878290162036</v>
      </c>
      <c r="L1680" s="10">
        <f t="shared" ca="1" si="107"/>
        <v>45404.878290046297</v>
      </c>
    </row>
    <row r="1681" spans="6:12" x14ac:dyDescent="0.25">
      <c r="F1681" s="11" t="str">
        <f>IF(ISBLANK(D1681),"",(VLOOKUP(D1681,Cardápio!$A$2:$B$16,2,0))*E1681)</f>
        <v/>
      </c>
      <c r="H1681" s="7" t="str">
        <f t="shared" si="104"/>
        <v/>
      </c>
      <c r="I1681" s="7" t="str">
        <f>IF(AND(ISBLANK(D1681),ISBLANK(C1681)),"",((VLOOKUP(D1681,Cardápio!$A$2:$C$16,3,0))*E1681)+IF(B1681="iFood",F1681*0.27,(VLOOKUP(VENDAS!C1681,Bairros!$A$2:$B$90,2,0))))</f>
        <v/>
      </c>
      <c r="J1681" s="7" t="str">
        <f t="shared" si="105"/>
        <v/>
      </c>
      <c r="K1681" s="9">
        <f t="shared" ca="1" si="106"/>
        <v>45404.878290162036</v>
      </c>
      <c r="L1681" s="10">
        <f t="shared" ca="1" si="107"/>
        <v>45404.878290046297</v>
      </c>
    </row>
    <row r="1682" spans="6:12" x14ac:dyDescent="0.25">
      <c r="F1682" s="11" t="str">
        <f>IF(ISBLANK(D1682),"",(VLOOKUP(D1682,Cardápio!$A$2:$B$16,2,0))*E1682)</f>
        <v/>
      </c>
      <c r="H1682" s="7" t="str">
        <f t="shared" si="104"/>
        <v/>
      </c>
      <c r="I1682" s="7" t="str">
        <f>IF(AND(ISBLANK(D1682),ISBLANK(C1682)),"",((VLOOKUP(D1682,Cardápio!$A$2:$C$16,3,0))*E1682)+IF(B1682="iFood",F1682*0.27,(VLOOKUP(VENDAS!C1682,Bairros!$A$2:$B$90,2,0))))</f>
        <v/>
      </c>
      <c r="J1682" s="7" t="str">
        <f t="shared" si="105"/>
        <v/>
      </c>
      <c r="K1682" s="9">
        <f t="shared" ca="1" si="106"/>
        <v>45404.878290162036</v>
      </c>
      <c r="L1682" s="10">
        <f t="shared" ca="1" si="107"/>
        <v>45404.878290046297</v>
      </c>
    </row>
    <row r="1683" spans="6:12" x14ac:dyDescent="0.25">
      <c r="F1683" s="11" t="str">
        <f>IF(ISBLANK(D1683),"",(VLOOKUP(D1683,Cardápio!$A$2:$B$16,2,0))*E1683)</f>
        <v/>
      </c>
      <c r="H1683" s="7" t="str">
        <f t="shared" si="104"/>
        <v/>
      </c>
      <c r="I1683" s="7" t="str">
        <f>IF(AND(ISBLANK(D1683),ISBLANK(C1683)),"",((VLOOKUP(D1683,Cardápio!$A$2:$C$16,3,0))*E1683)+IF(B1683="iFood",F1683*0.27,(VLOOKUP(VENDAS!C1683,Bairros!$A$2:$B$90,2,0))))</f>
        <v/>
      </c>
      <c r="J1683" s="7" t="str">
        <f t="shared" si="105"/>
        <v/>
      </c>
      <c r="K1683" s="9">
        <f t="shared" ca="1" si="106"/>
        <v>45404.878290162036</v>
      </c>
      <c r="L1683" s="10">
        <f t="shared" ca="1" si="107"/>
        <v>45404.878290046297</v>
      </c>
    </row>
    <row r="1684" spans="6:12" x14ac:dyDescent="0.25">
      <c r="F1684" s="11" t="str">
        <f>IF(ISBLANK(D1684),"",(VLOOKUP(D1684,Cardápio!$A$2:$B$16,2,0))*E1684)</f>
        <v/>
      </c>
      <c r="H1684" s="7" t="str">
        <f t="shared" si="104"/>
        <v/>
      </c>
      <c r="I1684" s="7" t="str">
        <f>IF(AND(ISBLANK(D1684),ISBLANK(C1684)),"",((VLOOKUP(D1684,Cardápio!$A$2:$C$16,3,0))*E1684)+IF(B1684="iFood",F1684*0.27,(VLOOKUP(VENDAS!C1684,Bairros!$A$2:$B$90,2,0))))</f>
        <v/>
      </c>
      <c r="J1684" s="7" t="str">
        <f t="shared" si="105"/>
        <v/>
      </c>
      <c r="K1684" s="9">
        <f t="shared" ca="1" si="106"/>
        <v>45404.878290162036</v>
      </c>
      <c r="L1684" s="10">
        <f t="shared" ca="1" si="107"/>
        <v>45404.878290046297</v>
      </c>
    </row>
    <row r="1685" spans="6:12" x14ac:dyDescent="0.25">
      <c r="F1685" s="11" t="str">
        <f>IF(ISBLANK(D1685),"",(VLOOKUP(D1685,Cardápio!$A$2:$B$16,2,0))*E1685)</f>
        <v/>
      </c>
      <c r="H1685" s="7" t="str">
        <f t="shared" si="104"/>
        <v/>
      </c>
      <c r="I1685" s="7" t="str">
        <f>IF(AND(ISBLANK(D1685),ISBLANK(C1685)),"",((VLOOKUP(D1685,Cardápio!$A$2:$C$16,3,0))*E1685)+IF(B1685="iFood",F1685*0.27,(VLOOKUP(VENDAS!C1685,Bairros!$A$2:$B$90,2,0))))</f>
        <v/>
      </c>
      <c r="J1685" s="7" t="str">
        <f t="shared" si="105"/>
        <v/>
      </c>
      <c r="K1685" s="9">
        <f t="shared" ca="1" si="106"/>
        <v>45404.878290162036</v>
      </c>
      <c r="L1685" s="10">
        <f t="shared" ca="1" si="107"/>
        <v>45404.878290046297</v>
      </c>
    </row>
    <row r="1686" spans="6:12" x14ac:dyDescent="0.25">
      <c r="F1686" s="11" t="str">
        <f>IF(ISBLANK(D1686),"",(VLOOKUP(D1686,Cardápio!$A$2:$B$16,2,0))*E1686)</f>
        <v/>
      </c>
      <c r="H1686" s="7" t="str">
        <f t="shared" si="104"/>
        <v/>
      </c>
      <c r="I1686" s="7" t="str">
        <f>IF(AND(ISBLANK(D1686),ISBLANK(C1686)),"",((VLOOKUP(D1686,Cardápio!$A$2:$C$16,3,0))*E1686)+IF(B1686="iFood",F1686*0.27,(VLOOKUP(VENDAS!C1686,Bairros!$A$2:$B$90,2,0))))</f>
        <v/>
      </c>
      <c r="J1686" s="7" t="str">
        <f t="shared" si="105"/>
        <v/>
      </c>
      <c r="K1686" s="9">
        <f t="shared" ca="1" si="106"/>
        <v>45404.878290162036</v>
      </c>
      <c r="L1686" s="10">
        <f t="shared" ca="1" si="107"/>
        <v>45404.878290046297</v>
      </c>
    </row>
    <row r="1687" spans="6:12" x14ac:dyDescent="0.25">
      <c r="F1687" s="11" t="str">
        <f>IF(ISBLANK(D1687),"",(VLOOKUP(D1687,Cardápio!$A$2:$B$16,2,0))*E1687)</f>
        <v/>
      </c>
      <c r="H1687" s="7" t="str">
        <f t="shared" si="104"/>
        <v/>
      </c>
      <c r="I1687" s="7" t="str">
        <f>IF(AND(ISBLANK(D1687),ISBLANK(C1687)),"",((VLOOKUP(D1687,Cardápio!$A$2:$C$16,3,0))*E1687)+IF(B1687="iFood",F1687*0.27,(VLOOKUP(VENDAS!C1687,Bairros!$A$2:$B$90,2,0))))</f>
        <v/>
      </c>
      <c r="J1687" s="7" t="str">
        <f t="shared" si="105"/>
        <v/>
      </c>
      <c r="K1687" s="9">
        <f t="shared" ca="1" si="106"/>
        <v>45404.878290162036</v>
      </c>
      <c r="L1687" s="10">
        <f t="shared" ca="1" si="107"/>
        <v>45404.878290046297</v>
      </c>
    </row>
    <row r="1688" spans="6:12" x14ac:dyDescent="0.25">
      <c r="F1688" s="11" t="str">
        <f>IF(ISBLANK(D1688),"",(VLOOKUP(D1688,Cardápio!$A$2:$B$16,2,0))*E1688)</f>
        <v/>
      </c>
      <c r="H1688" s="7" t="str">
        <f t="shared" si="104"/>
        <v/>
      </c>
      <c r="I1688" s="7" t="str">
        <f>IF(AND(ISBLANK(D1688),ISBLANK(C1688)),"",((VLOOKUP(D1688,Cardápio!$A$2:$C$16,3,0))*E1688)+IF(B1688="iFood",F1688*0.27,(VLOOKUP(VENDAS!C1688,Bairros!$A$2:$B$90,2,0))))</f>
        <v/>
      </c>
      <c r="J1688" s="7" t="str">
        <f t="shared" si="105"/>
        <v/>
      </c>
      <c r="K1688" s="9">
        <f t="shared" ca="1" si="106"/>
        <v>45404.878290162036</v>
      </c>
      <c r="L1688" s="10">
        <f t="shared" ca="1" si="107"/>
        <v>45404.878290046297</v>
      </c>
    </row>
    <row r="1689" spans="6:12" x14ac:dyDescent="0.25">
      <c r="F1689" s="11" t="str">
        <f>IF(ISBLANK(D1689),"",(VLOOKUP(D1689,Cardápio!$A$2:$B$16,2,0))*E1689)</f>
        <v/>
      </c>
      <c r="H1689" s="7" t="str">
        <f t="shared" si="104"/>
        <v/>
      </c>
      <c r="I1689" s="7" t="str">
        <f>IF(AND(ISBLANK(D1689),ISBLANK(C1689)),"",((VLOOKUP(D1689,Cardápio!$A$2:$C$16,3,0))*E1689)+IF(B1689="iFood",F1689*0.27,(VLOOKUP(VENDAS!C1689,Bairros!$A$2:$B$90,2,0))))</f>
        <v/>
      </c>
      <c r="J1689" s="7" t="str">
        <f t="shared" si="105"/>
        <v/>
      </c>
      <c r="K1689" s="9">
        <f t="shared" ca="1" si="106"/>
        <v>45404.878290162036</v>
      </c>
      <c r="L1689" s="10">
        <f t="shared" ca="1" si="107"/>
        <v>45404.878290046297</v>
      </c>
    </row>
    <row r="1690" spans="6:12" x14ac:dyDescent="0.25">
      <c r="F1690" s="11" t="str">
        <f>IF(ISBLANK(D1690),"",(VLOOKUP(D1690,Cardápio!$A$2:$B$16,2,0))*E1690)</f>
        <v/>
      </c>
      <c r="H1690" s="7" t="str">
        <f t="shared" si="104"/>
        <v/>
      </c>
      <c r="I1690" s="7" t="str">
        <f>IF(AND(ISBLANK(D1690),ISBLANK(C1690)),"",((VLOOKUP(D1690,Cardápio!$A$2:$C$16,3,0))*E1690)+IF(B1690="iFood",F1690*0.27,(VLOOKUP(VENDAS!C1690,Bairros!$A$2:$B$90,2,0))))</f>
        <v/>
      </c>
      <c r="J1690" s="7" t="str">
        <f t="shared" si="105"/>
        <v/>
      </c>
      <c r="K1690" s="9">
        <f t="shared" ca="1" si="106"/>
        <v>45404.878290162036</v>
      </c>
      <c r="L1690" s="10">
        <f t="shared" ca="1" si="107"/>
        <v>45404.878290046297</v>
      </c>
    </row>
    <row r="1691" spans="6:12" x14ac:dyDescent="0.25">
      <c r="F1691" s="11" t="str">
        <f>IF(ISBLANK(D1691),"",(VLOOKUP(D1691,Cardápio!$A$2:$B$16,2,0))*E1691)</f>
        <v/>
      </c>
      <c r="H1691" s="7" t="str">
        <f t="shared" si="104"/>
        <v/>
      </c>
      <c r="I1691" s="7" t="str">
        <f>IF(AND(ISBLANK(D1691),ISBLANK(C1691)),"",((VLOOKUP(D1691,Cardápio!$A$2:$C$16,3,0))*E1691)+IF(B1691="iFood",F1691*0.27,(VLOOKUP(VENDAS!C1691,Bairros!$A$2:$B$90,2,0))))</f>
        <v/>
      </c>
      <c r="J1691" s="7" t="str">
        <f t="shared" si="105"/>
        <v/>
      </c>
      <c r="K1691" s="9">
        <f t="shared" ca="1" si="106"/>
        <v>45404.878290162036</v>
      </c>
      <c r="L1691" s="10">
        <f t="shared" ca="1" si="107"/>
        <v>45404.878290046297</v>
      </c>
    </row>
    <row r="1692" spans="6:12" x14ac:dyDescent="0.25">
      <c r="F1692" s="11" t="str">
        <f>IF(ISBLANK(D1692),"",(VLOOKUP(D1692,Cardápio!$A$2:$B$16,2,0))*E1692)</f>
        <v/>
      </c>
      <c r="H1692" s="7" t="str">
        <f t="shared" si="104"/>
        <v/>
      </c>
      <c r="I1692" s="7" t="str">
        <f>IF(AND(ISBLANK(D1692),ISBLANK(C1692)),"",((VLOOKUP(D1692,Cardápio!$A$2:$C$16,3,0))*E1692)+IF(B1692="iFood",F1692*0.27,(VLOOKUP(VENDAS!C1692,Bairros!$A$2:$B$90,2,0))))</f>
        <v/>
      </c>
      <c r="J1692" s="7" t="str">
        <f t="shared" si="105"/>
        <v/>
      </c>
      <c r="K1692" s="9">
        <f t="shared" ca="1" si="106"/>
        <v>45404.878290162036</v>
      </c>
      <c r="L1692" s="10">
        <f t="shared" ca="1" si="107"/>
        <v>45404.878290046297</v>
      </c>
    </row>
    <row r="1693" spans="6:12" x14ac:dyDescent="0.25">
      <c r="F1693" s="11" t="str">
        <f>IF(ISBLANK(D1693),"",(VLOOKUP(D1693,Cardápio!$A$2:$B$16,2,0))*E1693)</f>
        <v/>
      </c>
      <c r="H1693" s="7" t="str">
        <f t="shared" si="104"/>
        <v/>
      </c>
      <c r="I1693" s="7" t="str">
        <f>IF(AND(ISBLANK(D1693),ISBLANK(C1693)),"",((VLOOKUP(D1693,Cardápio!$A$2:$C$16,3,0))*E1693)+IF(B1693="iFood",F1693*0.27,(VLOOKUP(VENDAS!C1693,Bairros!$A$2:$B$90,2,0))))</f>
        <v/>
      </c>
      <c r="J1693" s="7" t="str">
        <f t="shared" si="105"/>
        <v/>
      </c>
      <c r="K1693" s="9">
        <f t="shared" ca="1" si="106"/>
        <v>45404.878290162036</v>
      </c>
      <c r="L1693" s="10">
        <f t="shared" ca="1" si="107"/>
        <v>45404.878290046297</v>
      </c>
    </row>
    <row r="1694" spans="6:12" x14ac:dyDescent="0.25">
      <c r="F1694" s="11" t="str">
        <f>IF(ISBLANK(D1694),"",(VLOOKUP(D1694,Cardápio!$A$2:$B$16,2,0))*E1694)</f>
        <v/>
      </c>
      <c r="H1694" s="7" t="str">
        <f t="shared" si="104"/>
        <v/>
      </c>
      <c r="I1694" s="7" t="str">
        <f>IF(AND(ISBLANK(D1694),ISBLANK(C1694)),"",((VLOOKUP(D1694,Cardápio!$A$2:$C$16,3,0))*E1694)+IF(B1694="iFood",F1694*0.27,(VLOOKUP(VENDAS!C1694,Bairros!$A$2:$B$90,2,0))))</f>
        <v/>
      </c>
      <c r="J1694" s="7" t="str">
        <f t="shared" si="105"/>
        <v/>
      </c>
      <c r="K1694" s="9">
        <f t="shared" ca="1" si="106"/>
        <v>45404.878290162036</v>
      </c>
      <c r="L1694" s="10">
        <f t="shared" ca="1" si="107"/>
        <v>45404.878290046297</v>
      </c>
    </row>
    <row r="1695" spans="6:12" x14ac:dyDescent="0.25">
      <c r="F1695" s="11" t="str">
        <f>IF(ISBLANK(D1695),"",(VLOOKUP(D1695,Cardápio!$A$2:$B$16,2,0))*E1695)</f>
        <v/>
      </c>
      <c r="H1695" s="7" t="str">
        <f t="shared" si="104"/>
        <v/>
      </c>
      <c r="I1695" s="7" t="str">
        <f>IF(AND(ISBLANK(D1695),ISBLANK(C1695)),"",((VLOOKUP(D1695,Cardápio!$A$2:$C$16,3,0))*E1695)+IF(B1695="iFood",F1695*0.27,(VLOOKUP(VENDAS!C1695,Bairros!$A$2:$B$90,2,0))))</f>
        <v/>
      </c>
      <c r="J1695" s="7" t="str">
        <f t="shared" si="105"/>
        <v/>
      </c>
      <c r="K1695" s="9">
        <f t="shared" ca="1" si="106"/>
        <v>45404.878290162036</v>
      </c>
      <c r="L1695" s="10">
        <f t="shared" ca="1" si="107"/>
        <v>45404.878290046297</v>
      </c>
    </row>
    <row r="1696" spans="6:12" x14ac:dyDescent="0.25">
      <c r="F1696" s="11" t="str">
        <f>IF(ISBLANK(D1696),"",(VLOOKUP(D1696,Cardápio!$A$2:$B$16,2,0))*E1696)</f>
        <v/>
      </c>
      <c r="H1696" s="7" t="str">
        <f t="shared" si="104"/>
        <v/>
      </c>
      <c r="I1696" s="7" t="str">
        <f>IF(AND(ISBLANK(D1696),ISBLANK(C1696)),"",((VLOOKUP(D1696,Cardápio!$A$2:$C$16,3,0))*E1696)+IF(B1696="iFood",F1696*0.27,(VLOOKUP(VENDAS!C1696,Bairros!$A$2:$B$90,2,0))))</f>
        <v/>
      </c>
      <c r="J1696" s="7" t="str">
        <f t="shared" si="105"/>
        <v/>
      </c>
      <c r="K1696" s="9">
        <f t="shared" ca="1" si="106"/>
        <v>45404.878290162036</v>
      </c>
      <c r="L1696" s="10">
        <f t="shared" ca="1" si="107"/>
        <v>45404.878290046297</v>
      </c>
    </row>
    <row r="1697" spans="6:12" x14ac:dyDescent="0.25">
      <c r="F1697" s="11" t="str">
        <f>IF(ISBLANK(D1697),"",(VLOOKUP(D1697,Cardápio!$A$2:$B$16,2,0))*E1697)</f>
        <v/>
      </c>
      <c r="H1697" s="7" t="str">
        <f t="shared" si="104"/>
        <v/>
      </c>
      <c r="I1697" s="7" t="str">
        <f>IF(AND(ISBLANK(D1697),ISBLANK(C1697)),"",((VLOOKUP(D1697,Cardápio!$A$2:$C$16,3,0))*E1697)+IF(B1697="iFood",F1697*0.27,(VLOOKUP(VENDAS!C1697,Bairros!$A$2:$B$90,2,0))))</f>
        <v/>
      </c>
      <c r="J1697" s="7" t="str">
        <f t="shared" si="105"/>
        <v/>
      </c>
      <c r="K1697" s="9">
        <f t="shared" ca="1" si="106"/>
        <v>45404.878290162036</v>
      </c>
      <c r="L1697" s="10">
        <f t="shared" ca="1" si="107"/>
        <v>45404.878290046297</v>
      </c>
    </row>
    <row r="1698" spans="6:12" x14ac:dyDescent="0.25">
      <c r="F1698" s="11" t="str">
        <f>IF(ISBLANK(D1698),"",(VLOOKUP(D1698,Cardápio!$A$2:$B$16,2,0))*E1698)</f>
        <v/>
      </c>
      <c r="H1698" s="7" t="str">
        <f t="shared" si="104"/>
        <v/>
      </c>
      <c r="I1698" s="7" t="str">
        <f>IF(AND(ISBLANK(D1698),ISBLANK(C1698)),"",((VLOOKUP(D1698,Cardápio!$A$2:$C$16,3,0))*E1698)+IF(B1698="iFood",F1698*0.27,(VLOOKUP(VENDAS!C1698,Bairros!$A$2:$B$90,2,0))))</f>
        <v/>
      </c>
      <c r="J1698" s="7" t="str">
        <f t="shared" si="105"/>
        <v/>
      </c>
      <c r="K1698" s="9">
        <f t="shared" ca="1" si="106"/>
        <v>45404.878290162036</v>
      </c>
      <c r="L1698" s="10">
        <f t="shared" ca="1" si="107"/>
        <v>45404.878290046297</v>
      </c>
    </row>
    <row r="1699" spans="6:12" x14ac:dyDescent="0.25">
      <c r="F1699" s="11" t="str">
        <f>IF(ISBLANK(D1699),"",(VLOOKUP(D1699,Cardápio!$A$2:$B$16,2,0))*E1699)</f>
        <v/>
      </c>
      <c r="H1699" s="7" t="str">
        <f t="shared" si="104"/>
        <v/>
      </c>
      <c r="I1699" s="7" t="str">
        <f>IF(AND(ISBLANK(D1699),ISBLANK(C1699)),"",((VLOOKUP(D1699,Cardápio!$A$2:$C$16,3,0))*E1699)+IF(B1699="iFood",F1699*0.27,(VLOOKUP(VENDAS!C1699,Bairros!$A$2:$B$90,2,0))))</f>
        <v/>
      </c>
      <c r="J1699" s="7" t="str">
        <f t="shared" si="105"/>
        <v/>
      </c>
      <c r="K1699" s="9">
        <f t="shared" ca="1" si="106"/>
        <v>45404.878290162036</v>
      </c>
      <c r="L1699" s="10">
        <f t="shared" ca="1" si="107"/>
        <v>45404.878290046297</v>
      </c>
    </row>
    <row r="1700" spans="6:12" x14ac:dyDescent="0.25">
      <c r="F1700" s="11" t="str">
        <f>IF(ISBLANK(D1700),"",(VLOOKUP(D1700,Cardápio!$A$2:$B$16,2,0))*E1700)</f>
        <v/>
      </c>
      <c r="H1700" s="7" t="str">
        <f t="shared" si="104"/>
        <v/>
      </c>
      <c r="I1700" s="7" t="str">
        <f>IF(AND(ISBLANK(D1700),ISBLANK(C1700)),"",((VLOOKUP(D1700,Cardápio!$A$2:$C$16,3,0))*E1700)+IF(B1700="iFood",F1700*0.27,(VLOOKUP(VENDAS!C1700,Bairros!$A$2:$B$90,2,0))))</f>
        <v/>
      </c>
      <c r="J1700" s="7" t="str">
        <f t="shared" si="105"/>
        <v/>
      </c>
      <c r="K1700" s="9">
        <f t="shared" ca="1" si="106"/>
        <v>45404.878290162036</v>
      </c>
      <c r="L1700" s="10">
        <f t="shared" ca="1" si="107"/>
        <v>45404.878290046297</v>
      </c>
    </row>
    <row r="1701" spans="6:12" x14ac:dyDescent="0.25">
      <c r="F1701" s="11" t="str">
        <f>IF(ISBLANK(D1701),"",(VLOOKUP(D1701,Cardápio!$A$2:$B$16,2,0))*E1701)</f>
        <v/>
      </c>
      <c r="H1701" s="7" t="str">
        <f t="shared" si="104"/>
        <v/>
      </c>
      <c r="I1701" s="7" t="str">
        <f>IF(AND(ISBLANK(D1701),ISBLANK(C1701)),"",((VLOOKUP(D1701,Cardápio!$A$2:$C$16,3,0))*E1701)+IF(B1701="iFood",F1701*0.27,(VLOOKUP(VENDAS!C1701,Bairros!$A$2:$B$90,2,0))))</f>
        <v/>
      </c>
      <c r="J1701" s="7" t="str">
        <f t="shared" si="105"/>
        <v/>
      </c>
      <c r="K1701" s="9">
        <f t="shared" ca="1" si="106"/>
        <v>45404.878290162036</v>
      </c>
      <c r="L1701" s="10">
        <f t="shared" ca="1" si="107"/>
        <v>45404.878290046297</v>
      </c>
    </row>
    <row r="1702" spans="6:12" x14ac:dyDescent="0.25">
      <c r="F1702" s="11" t="str">
        <f>IF(ISBLANK(D1702),"",(VLOOKUP(D1702,Cardápio!$A$2:$B$16,2,0))*E1702)</f>
        <v/>
      </c>
      <c r="H1702" s="7" t="str">
        <f t="shared" si="104"/>
        <v/>
      </c>
      <c r="I1702" s="7" t="str">
        <f>IF(AND(ISBLANK(D1702),ISBLANK(C1702)),"",((VLOOKUP(D1702,Cardápio!$A$2:$C$16,3,0))*E1702)+IF(B1702="iFood",F1702*0.27,(VLOOKUP(VENDAS!C1702,Bairros!$A$2:$B$90,2,0))))</f>
        <v/>
      </c>
      <c r="J1702" s="7" t="str">
        <f t="shared" si="105"/>
        <v/>
      </c>
      <c r="K1702" s="9">
        <f t="shared" ca="1" si="106"/>
        <v>45404.878290162036</v>
      </c>
      <c r="L1702" s="10">
        <f t="shared" ca="1" si="107"/>
        <v>45404.878290046297</v>
      </c>
    </row>
    <row r="1703" spans="6:12" x14ac:dyDescent="0.25">
      <c r="F1703" s="11" t="str">
        <f>IF(ISBLANK(D1703),"",(VLOOKUP(D1703,Cardápio!$A$2:$B$16,2,0))*E1703)</f>
        <v/>
      </c>
      <c r="H1703" s="7" t="str">
        <f t="shared" si="104"/>
        <v/>
      </c>
      <c r="I1703" s="7" t="str">
        <f>IF(AND(ISBLANK(D1703),ISBLANK(C1703)),"",((VLOOKUP(D1703,Cardápio!$A$2:$C$16,3,0))*E1703)+IF(B1703="iFood",F1703*0.27,(VLOOKUP(VENDAS!C1703,Bairros!$A$2:$B$90,2,0))))</f>
        <v/>
      </c>
      <c r="J1703" s="7" t="str">
        <f t="shared" si="105"/>
        <v/>
      </c>
      <c r="K1703" s="9">
        <f t="shared" ca="1" si="106"/>
        <v>45404.878290162036</v>
      </c>
      <c r="L1703" s="10">
        <f t="shared" ca="1" si="107"/>
        <v>45404.878290046297</v>
      </c>
    </row>
    <row r="1704" spans="6:12" x14ac:dyDescent="0.25">
      <c r="F1704" s="11" t="str">
        <f>IF(ISBLANK(D1704),"",(VLOOKUP(D1704,Cardápio!$A$2:$B$16,2,0))*E1704)</f>
        <v/>
      </c>
      <c r="H1704" s="7" t="str">
        <f t="shared" si="104"/>
        <v/>
      </c>
      <c r="I1704" s="7" t="str">
        <f>IF(AND(ISBLANK(D1704),ISBLANK(C1704)),"",((VLOOKUP(D1704,Cardápio!$A$2:$C$16,3,0))*E1704)+IF(B1704="iFood",F1704*0.27,(VLOOKUP(VENDAS!C1704,Bairros!$A$2:$B$90,2,0))))</f>
        <v/>
      </c>
      <c r="J1704" s="7" t="str">
        <f t="shared" si="105"/>
        <v/>
      </c>
      <c r="K1704" s="9">
        <f t="shared" ca="1" si="106"/>
        <v>45404.878290162036</v>
      </c>
      <c r="L1704" s="10">
        <f t="shared" ca="1" si="107"/>
        <v>45404.878290046297</v>
      </c>
    </row>
    <row r="1705" spans="6:12" x14ac:dyDescent="0.25">
      <c r="F1705" s="11" t="str">
        <f>IF(ISBLANK(D1705),"",(VLOOKUP(D1705,Cardápio!$A$2:$B$16,2,0))*E1705)</f>
        <v/>
      </c>
      <c r="H1705" s="7" t="str">
        <f t="shared" si="104"/>
        <v/>
      </c>
      <c r="I1705" s="7" t="str">
        <f>IF(AND(ISBLANK(D1705),ISBLANK(C1705)),"",((VLOOKUP(D1705,Cardápio!$A$2:$C$16,3,0))*E1705)+IF(B1705="iFood",F1705*0.27,(VLOOKUP(VENDAS!C1705,Bairros!$A$2:$B$90,2,0))))</f>
        <v/>
      </c>
      <c r="J1705" s="7" t="str">
        <f t="shared" si="105"/>
        <v/>
      </c>
      <c r="K1705" s="9">
        <f t="shared" ca="1" si="106"/>
        <v>45404.878290162036</v>
      </c>
      <c r="L1705" s="10">
        <f t="shared" ca="1" si="107"/>
        <v>45404.878290046297</v>
      </c>
    </row>
    <row r="1706" spans="6:12" x14ac:dyDescent="0.25">
      <c r="F1706" s="11" t="str">
        <f>IF(ISBLANK(D1706),"",(VLOOKUP(D1706,Cardápio!$A$2:$B$16,2,0))*E1706)</f>
        <v/>
      </c>
      <c r="H1706" s="7" t="str">
        <f t="shared" si="104"/>
        <v/>
      </c>
      <c r="I1706" s="7" t="str">
        <f>IF(AND(ISBLANK(D1706),ISBLANK(C1706)),"",((VLOOKUP(D1706,Cardápio!$A$2:$C$16,3,0))*E1706)+IF(B1706="iFood",F1706*0.27,(VLOOKUP(VENDAS!C1706,Bairros!$A$2:$B$90,2,0))))</f>
        <v/>
      </c>
      <c r="J1706" s="7" t="str">
        <f t="shared" si="105"/>
        <v/>
      </c>
      <c r="K1706" s="9">
        <f t="shared" ca="1" si="106"/>
        <v>45404.878290162036</v>
      </c>
      <c r="L1706" s="10">
        <f t="shared" ca="1" si="107"/>
        <v>45404.878290046297</v>
      </c>
    </row>
    <row r="1707" spans="6:12" x14ac:dyDescent="0.25">
      <c r="F1707" s="11" t="str">
        <f>IF(ISBLANK(D1707),"",(VLOOKUP(D1707,Cardápio!$A$2:$B$16,2,0))*E1707)</f>
        <v/>
      </c>
      <c r="H1707" s="7" t="str">
        <f t="shared" si="104"/>
        <v/>
      </c>
      <c r="I1707" s="7" t="str">
        <f>IF(AND(ISBLANK(D1707),ISBLANK(C1707)),"",((VLOOKUP(D1707,Cardápio!$A$2:$C$16,3,0))*E1707)+IF(B1707="iFood",F1707*0.27,(VLOOKUP(VENDAS!C1707,Bairros!$A$2:$B$90,2,0))))</f>
        <v/>
      </c>
      <c r="J1707" s="7" t="str">
        <f t="shared" si="105"/>
        <v/>
      </c>
      <c r="K1707" s="9">
        <f t="shared" ca="1" si="106"/>
        <v>45404.878290162036</v>
      </c>
      <c r="L1707" s="10">
        <f t="shared" ca="1" si="107"/>
        <v>45404.878290046297</v>
      </c>
    </row>
    <row r="1708" spans="6:12" x14ac:dyDescent="0.25">
      <c r="F1708" s="11" t="str">
        <f>IF(ISBLANK(D1708),"",(VLOOKUP(D1708,Cardápio!$A$2:$B$16,2,0))*E1708)</f>
        <v/>
      </c>
      <c r="H1708" s="7" t="str">
        <f t="shared" si="104"/>
        <v/>
      </c>
      <c r="I1708" s="7" t="str">
        <f>IF(AND(ISBLANK(D1708),ISBLANK(C1708)),"",((VLOOKUP(D1708,Cardápio!$A$2:$C$16,3,0))*E1708)+IF(B1708="iFood",F1708*0.27,(VLOOKUP(VENDAS!C1708,Bairros!$A$2:$B$90,2,0))))</f>
        <v/>
      </c>
      <c r="J1708" s="7" t="str">
        <f t="shared" si="105"/>
        <v/>
      </c>
      <c r="K1708" s="9">
        <f t="shared" ca="1" si="106"/>
        <v>45404.878290162036</v>
      </c>
      <c r="L1708" s="10">
        <f t="shared" ca="1" si="107"/>
        <v>45404.878290046297</v>
      </c>
    </row>
    <row r="1709" spans="6:12" x14ac:dyDescent="0.25">
      <c r="F1709" s="11" t="str">
        <f>IF(ISBLANK(D1709),"",(VLOOKUP(D1709,Cardápio!$A$2:$B$16,2,0))*E1709)</f>
        <v/>
      </c>
      <c r="H1709" s="7" t="str">
        <f t="shared" si="104"/>
        <v/>
      </c>
      <c r="I1709" s="7" t="str">
        <f>IF(AND(ISBLANK(D1709),ISBLANK(C1709)),"",((VLOOKUP(D1709,Cardápio!$A$2:$C$16,3,0))*E1709)+IF(B1709="iFood",F1709*0.27,(VLOOKUP(VENDAS!C1709,Bairros!$A$2:$B$90,2,0))))</f>
        <v/>
      </c>
      <c r="J1709" s="7" t="str">
        <f t="shared" si="105"/>
        <v/>
      </c>
      <c r="K1709" s="9">
        <f t="shared" ca="1" si="106"/>
        <v>45404.878290162036</v>
      </c>
      <c r="L1709" s="10">
        <f t="shared" ca="1" si="107"/>
        <v>45404.878290046297</v>
      </c>
    </row>
    <row r="1710" spans="6:12" x14ac:dyDescent="0.25">
      <c r="F1710" s="11" t="str">
        <f>IF(ISBLANK(D1710),"",(VLOOKUP(D1710,Cardápio!$A$2:$B$16,2,0))*E1710)</f>
        <v/>
      </c>
      <c r="H1710" s="7" t="str">
        <f t="shared" si="104"/>
        <v/>
      </c>
      <c r="I1710" s="7" t="str">
        <f>IF(AND(ISBLANK(D1710),ISBLANK(C1710)),"",((VLOOKUP(D1710,Cardápio!$A$2:$C$16,3,0))*E1710)+IF(B1710="iFood",F1710*0.27,(VLOOKUP(VENDAS!C1710,Bairros!$A$2:$B$90,2,0))))</f>
        <v/>
      </c>
      <c r="J1710" s="7" t="str">
        <f t="shared" si="105"/>
        <v/>
      </c>
      <c r="K1710" s="9">
        <f t="shared" ca="1" si="106"/>
        <v>45404.878290162036</v>
      </c>
      <c r="L1710" s="10">
        <f t="shared" ca="1" si="107"/>
        <v>45404.878290046297</v>
      </c>
    </row>
    <row r="1711" spans="6:12" x14ac:dyDescent="0.25">
      <c r="F1711" s="11" t="str">
        <f>IF(ISBLANK(D1711),"",(VLOOKUP(D1711,Cardápio!$A$2:$B$16,2,0))*E1711)</f>
        <v/>
      </c>
      <c r="H1711" s="7" t="str">
        <f t="shared" si="104"/>
        <v/>
      </c>
      <c r="I1711" s="7" t="str">
        <f>IF(AND(ISBLANK(D1711),ISBLANK(C1711)),"",((VLOOKUP(D1711,Cardápio!$A$2:$C$16,3,0))*E1711)+IF(B1711="iFood",F1711*0.27,(VLOOKUP(VENDAS!C1711,Bairros!$A$2:$B$90,2,0))))</f>
        <v/>
      </c>
      <c r="J1711" s="7" t="str">
        <f t="shared" si="105"/>
        <v/>
      </c>
      <c r="K1711" s="9">
        <f t="shared" ca="1" si="106"/>
        <v>45404.878290162036</v>
      </c>
      <c r="L1711" s="10">
        <f t="shared" ca="1" si="107"/>
        <v>45404.878290046297</v>
      </c>
    </row>
    <row r="1712" spans="6:12" x14ac:dyDescent="0.25">
      <c r="F1712" s="11" t="str">
        <f>IF(ISBLANK(D1712),"",(VLOOKUP(D1712,Cardápio!$A$2:$B$16,2,0))*E1712)</f>
        <v/>
      </c>
      <c r="H1712" s="7" t="str">
        <f t="shared" si="104"/>
        <v/>
      </c>
      <c r="I1712" s="7" t="str">
        <f>IF(AND(ISBLANK(D1712),ISBLANK(C1712)),"",((VLOOKUP(D1712,Cardápio!$A$2:$C$16,3,0))*E1712)+IF(B1712="iFood",F1712*0.27,(VLOOKUP(VENDAS!C1712,Bairros!$A$2:$B$90,2,0))))</f>
        <v/>
      </c>
      <c r="J1712" s="7" t="str">
        <f t="shared" si="105"/>
        <v/>
      </c>
      <c r="K1712" s="9">
        <f t="shared" ca="1" si="106"/>
        <v>45404.878290162036</v>
      </c>
      <c r="L1712" s="10">
        <f t="shared" ca="1" si="107"/>
        <v>45404.878290046297</v>
      </c>
    </row>
    <row r="1713" spans="6:12" x14ac:dyDescent="0.25">
      <c r="F1713" s="11" t="str">
        <f>IF(ISBLANK(D1713),"",(VLOOKUP(D1713,Cardápio!$A$2:$B$16,2,0))*E1713)</f>
        <v/>
      </c>
      <c r="H1713" s="7" t="str">
        <f t="shared" si="104"/>
        <v/>
      </c>
      <c r="I1713" s="7" t="str">
        <f>IF(AND(ISBLANK(D1713),ISBLANK(C1713)),"",((VLOOKUP(D1713,Cardápio!$A$2:$C$16,3,0))*E1713)+IF(B1713="iFood",F1713*0.27,(VLOOKUP(VENDAS!C1713,Bairros!$A$2:$B$90,2,0))))</f>
        <v/>
      </c>
      <c r="J1713" s="7" t="str">
        <f t="shared" si="105"/>
        <v/>
      </c>
      <c r="K1713" s="9">
        <f t="shared" ca="1" si="106"/>
        <v>45404.878290162036</v>
      </c>
      <c r="L1713" s="10">
        <f t="shared" ca="1" si="107"/>
        <v>45404.878290046297</v>
      </c>
    </row>
    <row r="1714" spans="6:12" x14ac:dyDescent="0.25">
      <c r="F1714" s="11" t="str">
        <f>IF(ISBLANK(D1714),"",(VLOOKUP(D1714,Cardápio!$A$2:$B$16,2,0))*E1714)</f>
        <v/>
      </c>
      <c r="H1714" s="7" t="str">
        <f t="shared" si="104"/>
        <v/>
      </c>
      <c r="I1714" s="7" t="str">
        <f>IF(AND(ISBLANK(D1714),ISBLANK(C1714)),"",((VLOOKUP(D1714,Cardápio!$A$2:$C$16,3,0))*E1714)+IF(B1714="iFood",F1714*0.27,(VLOOKUP(VENDAS!C1714,Bairros!$A$2:$B$90,2,0))))</f>
        <v/>
      </c>
      <c r="J1714" s="7" t="str">
        <f t="shared" si="105"/>
        <v/>
      </c>
      <c r="K1714" s="9">
        <f t="shared" ca="1" si="106"/>
        <v>45404.878290162036</v>
      </c>
      <c r="L1714" s="10">
        <f t="shared" ca="1" si="107"/>
        <v>45404.878290046297</v>
      </c>
    </row>
    <row r="1715" spans="6:12" x14ac:dyDescent="0.25">
      <c r="F1715" s="11" t="str">
        <f>IF(ISBLANK(D1715),"",(VLOOKUP(D1715,Cardápio!$A$2:$B$16,2,0))*E1715)</f>
        <v/>
      </c>
      <c r="H1715" s="7" t="str">
        <f t="shared" si="104"/>
        <v/>
      </c>
      <c r="I1715" s="7" t="str">
        <f>IF(AND(ISBLANK(D1715),ISBLANK(C1715)),"",((VLOOKUP(D1715,Cardápio!$A$2:$C$16,3,0))*E1715)+IF(B1715="iFood",F1715*0.27,(VLOOKUP(VENDAS!C1715,Bairros!$A$2:$B$90,2,0))))</f>
        <v/>
      </c>
      <c r="J1715" s="7" t="str">
        <f t="shared" si="105"/>
        <v/>
      </c>
      <c r="K1715" s="9">
        <f t="shared" ca="1" si="106"/>
        <v>45404.878290162036</v>
      </c>
      <c r="L1715" s="10">
        <f t="shared" ca="1" si="107"/>
        <v>45404.878290046297</v>
      </c>
    </row>
    <row r="1716" spans="6:12" x14ac:dyDescent="0.25">
      <c r="F1716" s="11" t="str">
        <f>IF(ISBLANK(D1716),"",(VLOOKUP(D1716,Cardápio!$A$2:$B$16,2,0))*E1716)</f>
        <v/>
      </c>
      <c r="H1716" s="7" t="str">
        <f t="shared" si="104"/>
        <v/>
      </c>
      <c r="I1716" s="7" t="str">
        <f>IF(AND(ISBLANK(D1716),ISBLANK(C1716)),"",((VLOOKUP(D1716,Cardápio!$A$2:$C$16,3,0))*E1716)+IF(B1716="iFood",F1716*0.27,(VLOOKUP(VENDAS!C1716,Bairros!$A$2:$B$90,2,0))))</f>
        <v/>
      </c>
      <c r="J1716" s="7" t="str">
        <f t="shared" si="105"/>
        <v/>
      </c>
      <c r="K1716" s="9">
        <f t="shared" ca="1" si="106"/>
        <v>45404.878290162036</v>
      </c>
      <c r="L1716" s="10">
        <f t="shared" ca="1" si="107"/>
        <v>45404.878290046297</v>
      </c>
    </row>
    <row r="1717" spans="6:12" x14ac:dyDescent="0.25">
      <c r="F1717" s="11" t="str">
        <f>IF(ISBLANK(D1717),"",(VLOOKUP(D1717,Cardápio!$A$2:$B$16,2,0))*E1717)</f>
        <v/>
      </c>
      <c r="H1717" s="7" t="str">
        <f t="shared" ref="H1717:H1780" si="108">IF(ISBLANK(D1717),"",F1717-G1717)</f>
        <v/>
      </c>
      <c r="I1717" s="7" t="str">
        <f>IF(AND(ISBLANK(D1717),ISBLANK(C1717)),"",((VLOOKUP(D1717,Cardápio!$A$2:$C$16,3,0))*E1717)+IF(B1717="iFood",F1717*0.27,(VLOOKUP(VENDAS!C1717,Bairros!$A$2:$B$90,2,0))))</f>
        <v/>
      </c>
      <c r="J1717" s="7" t="str">
        <f t="shared" ref="J1717:J1780" si="109">IF(OR(AND(ISBLANK(H1717),ISBLANK(I1717)),(AND(H1717="",I1717=""))),"",H1717-I1717)</f>
        <v/>
      </c>
      <c r="K1717" s="9">
        <f t="shared" ref="K1717:K1780" ca="1" si="110">IF(D1717&lt;&gt;"",K1717,NOW())</f>
        <v>45404.878290162036</v>
      </c>
      <c r="L1717" s="10">
        <f t="shared" ref="L1717:L1780" ca="1" si="111">IF(D1717&lt;&gt;"",L1717,NOW())</f>
        <v>45404.878290046297</v>
      </c>
    </row>
    <row r="1718" spans="6:12" x14ac:dyDescent="0.25">
      <c r="F1718" s="11" t="str">
        <f>IF(ISBLANK(D1718),"",(VLOOKUP(D1718,Cardápio!$A$2:$B$16,2,0))*E1718)</f>
        <v/>
      </c>
      <c r="H1718" s="7" t="str">
        <f t="shared" si="108"/>
        <v/>
      </c>
      <c r="I1718" s="7" t="str">
        <f>IF(AND(ISBLANK(D1718),ISBLANK(C1718)),"",((VLOOKUP(D1718,Cardápio!$A$2:$C$16,3,0))*E1718)+IF(B1718="iFood",F1718*0.27,(VLOOKUP(VENDAS!C1718,Bairros!$A$2:$B$90,2,0))))</f>
        <v/>
      </c>
      <c r="J1718" s="7" t="str">
        <f t="shared" si="109"/>
        <v/>
      </c>
      <c r="K1718" s="9">
        <f t="shared" ca="1" si="110"/>
        <v>45404.878290162036</v>
      </c>
      <c r="L1718" s="10">
        <f t="shared" ca="1" si="111"/>
        <v>45404.878290046297</v>
      </c>
    </row>
    <row r="1719" spans="6:12" x14ac:dyDescent="0.25">
      <c r="F1719" s="11" t="str">
        <f>IF(ISBLANK(D1719),"",(VLOOKUP(D1719,Cardápio!$A$2:$B$16,2,0))*E1719)</f>
        <v/>
      </c>
      <c r="H1719" s="7" t="str">
        <f t="shared" si="108"/>
        <v/>
      </c>
      <c r="I1719" s="7" t="str">
        <f>IF(AND(ISBLANK(D1719),ISBLANK(C1719)),"",((VLOOKUP(D1719,Cardápio!$A$2:$C$16,3,0))*E1719)+IF(B1719="iFood",F1719*0.27,(VLOOKUP(VENDAS!C1719,Bairros!$A$2:$B$90,2,0))))</f>
        <v/>
      </c>
      <c r="J1719" s="7" t="str">
        <f t="shared" si="109"/>
        <v/>
      </c>
      <c r="K1719" s="9">
        <f t="shared" ca="1" si="110"/>
        <v>45404.878290162036</v>
      </c>
      <c r="L1719" s="10">
        <f t="shared" ca="1" si="111"/>
        <v>45404.878290046297</v>
      </c>
    </row>
    <row r="1720" spans="6:12" x14ac:dyDescent="0.25">
      <c r="F1720" s="11" t="str">
        <f>IF(ISBLANK(D1720),"",(VLOOKUP(D1720,Cardápio!$A$2:$B$16,2,0))*E1720)</f>
        <v/>
      </c>
      <c r="H1720" s="7" t="str">
        <f t="shared" si="108"/>
        <v/>
      </c>
      <c r="I1720" s="7" t="str">
        <f>IF(AND(ISBLANK(D1720),ISBLANK(C1720)),"",((VLOOKUP(D1720,Cardápio!$A$2:$C$16,3,0))*E1720)+IF(B1720="iFood",F1720*0.27,(VLOOKUP(VENDAS!C1720,Bairros!$A$2:$B$90,2,0))))</f>
        <v/>
      </c>
      <c r="J1720" s="7" t="str">
        <f t="shared" si="109"/>
        <v/>
      </c>
      <c r="K1720" s="9">
        <f t="shared" ca="1" si="110"/>
        <v>45404.878290162036</v>
      </c>
      <c r="L1720" s="10">
        <f t="shared" ca="1" si="111"/>
        <v>45404.878290046297</v>
      </c>
    </row>
    <row r="1721" spans="6:12" x14ac:dyDescent="0.25">
      <c r="F1721" s="11" t="str">
        <f>IF(ISBLANK(D1721),"",(VLOOKUP(D1721,Cardápio!$A$2:$B$16,2,0))*E1721)</f>
        <v/>
      </c>
      <c r="H1721" s="7" t="str">
        <f t="shared" si="108"/>
        <v/>
      </c>
      <c r="I1721" s="7" t="str">
        <f>IF(AND(ISBLANK(D1721),ISBLANK(C1721)),"",((VLOOKUP(D1721,Cardápio!$A$2:$C$16,3,0))*E1721)+IF(B1721="iFood",F1721*0.27,(VLOOKUP(VENDAS!C1721,Bairros!$A$2:$B$90,2,0))))</f>
        <v/>
      </c>
      <c r="J1721" s="7" t="str">
        <f t="shared" si="109"/>
        <v/>
      </c>
      <c r="K1721" s="9">
        <f t="shared" ca="1" si="110"/>
        <v>45404.878290162036</v>
      </c>
      <c r="L1721" s="10">
        <f t="shared" ca="1" si="111"/>
        <v>45404.878290046297</v>
      </c>
    </row>
    <row r="1722" spans="6:12" x14ac:dyDescent="0.25">
      <c r="F1722" s="11" t="str">
        <f>IF(ISBLANK(D1722),"",(VLOOKUP(D1722,Cardápio!$A$2:$B$16,2,0))*E1722)</f>
        <v/>
      </c>
      <c r="H1722" s="7" t="str">
        <f t="shared" si="108"/>
        <v/>
      </c>
      <c r="I1722" s="7" t="str">
        <f>IF(AND(ISBLANK(D1722),ISBLANK(C1722)),"",((VLOOKUP(D1722,Cardápio!$A$2:$C$16,3,0))*E1722)+IF(B1722="iFood",F1722*0.27,(VLOOKUP(VENDAS!C1722,Bairros!$A$2:$B$90,2,0))))</f>
        <v/>
      </c>
      <c r="J1722" s="7" t="str">
        <f t="shared" si="109"/>
        <v/>
      </c>
      <c r="K1722" s="9">
        <f t="shared" ca="1" si="110"/>
        <v>45404.878290162036</v>
      </c>
      <c r="L1722" s="10">
        <f t="shared" ca="1" si="111"/>
        <v>45404.878290046297</v>
      </c>
    </row>
    <row r="1723" spans="6:12" x14ac:dyDescent="0.25">
      <c r="F1723" s="11" t="str">
        <f>IF(ISBLANK(D1723),"",(VLOOKUP(D1723,Cardápio!$A$2:$B$16,2,0))*E1723)</f>
        <v/>
      </c>
      <c r="H1723" s="7" t="str">
        <f t="shared" si="108"/>
        <v/>
      </c>
      <c r="I1723" s="7" t="str">
        <f>IF(AND(ISBLANK(D1723),ISBLANK(C1723)),"",((VLOOKUP(D1723,Cardápio!$A$2:$C$16,3,0))*E1723)+IF(B1723="iFood",F1723*0.27,(VLOOKUP(VENDAS!C1723,Bairros!$A$2:$B$90,2,0))))</f>
        <v/>
      </c>
      <c r="J1723" s="7" t="str">
        <f t="shared" si="109"/>
        <v/>
      </c>
      <c r="K1723" s="9">
        <f t="shared" ca="1" si="110"/>
        <v>45404.878290162036</v>
      </c>
      <c r="L1723" s="10">
        <f t="shared" ca="1" si="111"/>
        <v>45404.878290046297</v>
      </c>
    </row>
    <row r="1724" spans="6:12" x14ac:dyDescent="0.25">
      <c r="F1724" s="11" t="str">
        <f>IF(ISBLANK(D1724),"",(VLOOKUP(D1724,Cardápio!$A$2:$B$16,2,0))*E1724)</f>
        <v/>
      </c>
      <c r="H1724" s="7" t="str">
        <f t="shared" si="108"/>
        <v/>
      </c>
      <c r="I1724" s="7" t="str">
        <f>IF(AND(ISBLANK(D1724),ISBLANK(C1724)),"",((VLOOKUP(D1724,Cardápio!$A$2:$C$16,3,0))*E1724)+IF(B1724="iFood",F1724*0.27,(VLOOKUP(VENDAS!C1724,Bairros!$A$2:$B$90,2,0))))</f>
        <v/>
      </c>
      <c r="J1724" s="7" t="str">
        <f t="shared" si="109"/>
        <v/>
      </c>
      <c r="K1724" s="9">
        <f t="shared" ca="1" si="110"/>
        <v>45404.878290162036</v>
      </c>
      <c r="L1724" s="10">
        <f t="shared" ca="1" si="111"/>
        <v>45404.878290046297</v>
      </c>
    </row>
    <row r="1725" spans="6:12" x14ac:dyDescent="0.25">
      <c r="F1725" s="11" t="str">
        <f>IF(ISBLANK(D1725),"",(VLOOKUP(D1725,Cardápio!$A$2:$B$16,2,0))*E1725)</f>
        <v/>
      </c>
      <c r="H1725" s="7" t="str">
        <f t="shared" si="108"/>
        <v/>
      </c>
      <c r="I1725" s="7" t="str">
        <f>IF(AND(ISBLANK(D1725),ISBLANK(C1725)),"",((VLOOKUP(D1725,Cardápio!$A$2:$C$16,3,0))*E1725)+IF(B1725="iFood",F1725*0.27,(VLOOKUP(VENDAS!C1725,Bairros!$A$2:$B$90,2,0))))</f>
        <v/>
      </c>
      <c r="J1725" s="7" t="str">
        <f t="shared" si="109"/>
        <v/>
      </c>
      <c r="K1725" s="9">
        <f t="shared" ca="1" si="110"/>
        <v>45404.878290162036</v>
      </c>
      <c r="L1725" s="10">
        <f t="shared" ca="1" si="111"/>
        <v>45404.878290046297</v>
      </c>
    </row>
    <row r="1726" spans="6:12" x14ac:dyDescent="0.25">
      <c r="F1726" s="11" t="str">
        <f>IF(ISBLANK(D1726),"",(VLOOKUP(D1726,Cardápio!$A$2:$B$16,2,0))*E1726)</f>
        <v/>
      </c>
      <c r="H1726" s="7" t="str">
        <f t="shared" si="108"/>
        <v/>
      </c>
      <c r="I1726" s="7" t="str">
        <f>IF(AND(ISBLANK(D1726),ISBLANK(C1726)),"",((VLOOKUP(D1726,Cardápio!$A$2:$C$16,3,0))*E1726)+IF(B1726="iFood",F1726*0.27,(VLOOKUP(VENDAS!C1726,Bairros!$A$2:$B$90,2,0))))</f>
        <v/>
      </c>
      <c r="J1726" s="7" t="str">
        <f t="shared" si="109"/>
        <v/>
      </c>
      <c r="K1726" s="9">
        <f t="shared" ca="1" si="110"/>
        <v>45404.878290162036</v>
      </c>
      <c r="L1726" s="10">
        <f t="shared" ca="1" si="111"/>
        <v>45404.878290046297</v>
      </c>
    </row>
    <row r="1727" spans="6:12" x14ac:dyDescent="0.25">
      <c r="F1727" s="11" t="str">
        <f>IF(ISBLANK(D1727),"",(VLOOKUP(D1727,Cardápio!$A$2:$B$16,2,0))*E1727)</f>
        <v/>
      </c>
      <c r="H1727" s="7" t="str">
        <f t="shared" si="108"/>
        <v/>
      </c>
      <c r="I1727" s="7" t="str">
        <f>IF(AND(ISBLANK(D1727),ISBLANK(C1727)),"",((VLOOKUP(D1727,Cardápio!$A$2:$C$16,3,0))*E1727)+IF(B1727="iFood",F1727*0.27,(VLOOKUP(VENDAS!C1727,Bairros!$A$2:$B$90,2,0))))</f>
        <v/>
      </c>
      <c r="J1727" s="7" t="str">
        <f t="shared" si="109"/>
        <v/>
      </c>
      <c r="K1727" s="9">
        <f t="shared" ca="1" si="110"/>
        <v>45404.878290162036</v>
      </c>
      <c r="L1727" s="10">
        <f t="shared" ca="1" si="111"/>
        <v>45404.878290046297</v>
      </c>
    </row>
    <row r="1728" spans="6:12" x14ac:dyDescent="0.25">
      <c r="F1728" s="11" t="str">
        <f>IF(ISBLANK(D1728),"",(VLOOKUP(D1728,Cardápio!$A$2:$B$16,2,0))*E1728)</f>
        <v/>
      </c>
      <c r="H1728" s="7" t="str">
        <f t="shared" si="108"/>
        <v/>
      </c>
      <c r="I1728" s="7" t="str">
        <f>IF(AND(ISBLANK(D1728),ISBLANK(C1728)),"",((VLOOKUP(D1728,Cardápio!$A$2:$C$16,3,0))*E1728)+IF(B1728="iFood",F1728*0.27,(VLOOKUP(VENDAS!C1728,Bairros!$A$2:$B$90,2,0))))</f>
        <v/>
      </c>
      <c r="J1728" s="7" t="str">
        <f t="shared" si="109"/>
        <v/>
      </c>
      <c r="K1728" s="9">
        <f t="shared" ca="1" si="110"/>
        <v>45404.878290162036</v>
      </c>
      <c r="L1728" s="10">
        <f t="shared" ca="1" si="111"/>
        <v>45404.878290046297</v>
      </c>
    </row>
    <row r="1729" spans="6:12" x14ac:dyDescent="0.25">
      <c r="F1729" s="11" t="str">
        <f>IF(ISBLANK(D1729),"",(VLOOKUP(D1729,Cardápio!$A$2:$B$16,2,0))*E1729)</f>
        <v/>
      </c>
      <c r="H1729" s="7" t="str">
        <f t="shared" si="108"/>
        <v/>
      </c>
      <c r="I1729" s="7" t="str">
        <f>IF(AND(ISBLANK(D1729),ISBLANK(C1729)),"",((VLOOKUP(D1729,Cardápio!$A$2:$C$16,3,0))*E1729)+IF(B1729="iFood",F1729*0.27,(VLOOKUP(VENDAS!C1729,Bairros!$A$2:$B$90,2,0))))</f>
        <v/>
      </c>
      <c r="J1729" s="7" t="str">
        <f t="shared" si="109"/>
        <v/>
      </c>
      <c r="K1729" s="9">
        <f t="shared" ca="1" si="110"/>
        <v>45404.878290162036</v>
      </c>
      <c r="L1729" s="10">
        <f t="shared" ca="1" si="111"/>
        <v>45404.878290046297</v>
      </c>
    </row>
    <row r="1730" spans="6:12" x14ac:dyDescent="0.25">
      <c r="F1730" s="11" t="str">
        <f>IF(ISBLANK(D1730),"",(VLOOKUP(D1730,Cardápio!$A$2:$B$16,2,0))*E1730)</f>
        <v/>
      </c>
      <c r="H1730" s="7" t="str">
        <f t="shared" si="108"/>
        <v/>
      </c>
      <c r="I1730" s="7" t="str">
        <f>IF(AND(ISBLANK(D1730),ISBLANK(C1730)),"",((VLOOKUP(D1730,Cardápio!$A$2:$C$16,3,0))*E1730)+IF(B1730="iFood",F1730*0.27,(VLOOKUP(VENDAS!C1730,Bairros!$A$2:$B$90,2,0))))</f>
        <v/>
      </c>
      <c r="J1730" s="7" t="str">
        <f t="shared" si="109"/>
        <v/>
      </c>
      <c r="K1730" s="9">
        <f t="shared" ca="1" si="110"/>
        <v>45404.878290162036</v>
      </c>
      <c r="L1730" s="10">
        <f t="shared" ca="1" si="111"/>
        <v>45404.878290046297</v>
      </c>
    </row>
    <row r="1731" spans="6:12" x14ac:dyDescent="0.25">
      <c r="F1731" s="11" t="str">
        <f>IF(ISBLANK(D1731),"",(VLOOKUP(D1731,Cardápio!$A$2:$B$16,2,0))*E1731)</f>
        <v/>
      </c>
      <c r="H1731" s="7" t="str">
        <f t="shared" si="108"/>
        <v/>
      </c>
      <c r="I1731" s="7" t="str">
        <f>IF(AND(ISBLANK(D1731),ISBLANK(C1731)),"",((VLOOKUP(D1731,Cardápio!$A$2:$C$16,3,0))*E1731)+IF(B1731="iFood",F1731*0.27,(VLOOKUP(VENDAS!C1731,Bairros!$A$2:$B$90,2,0))))</f>
        <v/>
      </c>
      <c r="J1731" s="7" t="str">
        <f t="shared" si="109"/>
        <v/>
      </c>
      <c r="K1731" s="9">
        <f t="shared" ca="1" si="110"/>
        <v>45404.878290162036</v>
      </c>
      <c r="L1731" s="10">
        <f t="shared" ca="1" si="111"/>
        <v>45404.878290046297</v>
      </c>
    </row>
    <row r="1732" spans="6:12" x14ac:dyDescent="0.25">
      <c r="F1732" s="11" t="str">
        <f>IF(ISBLANK(D1732),"",(VLOOKUP(D1732,Cardápio!$A$2:$B$16,2,0))*E1732)</f>
        <v/>
      </c>
      <c r="H1732" s="7" t="str">
        <f t="shared" si="108"/>
        <v/>
      </c>
      <c r="I1732" s="7" t="str">
        <f>IF(AND(ISBLANK(D1732),ISBLANK(C1732)),"",((VLOOKUP(D1732,Cardápio!$A$2:$C$16,3,0))*E1732)+IF(B1732="iFood",F1732*0.27,(VLOOKUP(VENDAS!C1732,Bairros!$A$2:$B$90,2,0))))</f>
        <v/>
      </c>
      <c r="J1732" s="7" t="str">
        <f t="shared" si="109"/>
        <v/>
      </c>
      <c r="K1732" s="9">
        <f t="shared" ca="1" si="110"/>
        <v>45404.878290162036</v>
      </c>
      <c r="L1732" s="10">
        <f t="shared" ca="1" si="111"/>
        <v>45404.878290046297</v>
      </c>
    </row>
    <row r="1733" spans="6:12" x14ac:dyDescent="0.25">
      <c r="F1733" s="11" t="str">
        <f>IF(ISBLANK(D1733),"",(VLOOKUP(D1733,Cardápio!$A$2:$B$16,2,0))*E1733)</f>
        <v/>
      </c>
      <c r="H1733" s="7" t="str">
        <f t="shared" si="108"/>
        <v/>
      </c>
      <c r="I1733" s="7" t="str">
        <f>IF(AND(ISBLANK(D1733),ISBLANK(C1733)),"",((VLOOKUP(D1733,Cardápio!$A$2:$C$16,3,0))*E1733)+IF(B1733="iFood",F1733*0.27,(VLOOKUP(VENDAS!C1733,Bairros!$A$2:$B$90,2,0))))</f>
        <v/>
      </c>
      <c r="J1733" s="7" t="str">
        <f t="shared" si="109"/>
        <v/>
      </c>
      <c r="K1733" s="9">
        <f t="shared" ca="1" si="110"/>
        <v>45404.878290162036</v>
      </c>
      <c r="L1733" s="10">
        <f t="shared" ca="1" si="111"/>
        <v>45404.878290046297</v>
      </c>
    </row>
    <row r="1734" spans="6:12" x14ac:dyDescent="0.25">
      <c r="F1734" s="11" t="str">
        <f>IF(ISBLANK(D1734),"",(VLOOKUP(D1734,Cardápio!$A$2:$B$16,2,0))*E1734)</f>
        <v/>
      </c>
      <c r="H1734" s="7" t="str">
        <f t="shared" si="108"/>
        <v/>
      </c>
      <c r="I1734" s="7" t="str">
        <f>IF(AND(ISBLANK(D1734),ISBLANK(C1734)),"",((VLOOKUP(D1734,Cardápio!$A$2:$C$16,3,0))*E1734)+IF(B1734="iFood",F1734*0.27,(VLOOKUP(VENDAS!C1734,Bairros!$A$2:$B$90,2,0))))</f>
        <v/>
      </c>
      <c r="J1734" s="7" t="str">
        <f t="shared" si="109"/>
        <v/>
      </c>
      <c r="K1734" s="9">
        <f t="shared" ca="1" si="110"/>
        <v>45404.878290162036</v>
      </c>
      <c r="L1734" s="10">
        <f t="shared" ca="1" si="111"/>
        <v>45404.878290046297</v>
      </c>
    </row>
    <row r="1735" spans="6:12" x14ac:dyDescent="0.25">
      <c r="F1735" s="11" t="str">
        <f>IF(ISBLANK(D1735),"",(VLOOKUP(D1735,Cardápio!$A$2:$B$16,2,0))*E1735)</f>
        <v/>
      </c>
      <c r="H1735" s="7" t="str">
        <f t="shared" si="108"/>
        <v/>
      </c>
      <c r="I1735" s="7" t="str">
        <f>IF(AND(ISBLANK(D1735),ISBLANK(C1735)),"",((VLOOKUP(D1735,Cardápio!$A$2:$C$16,3,0))*E1735)+IF(B1735="iFood",F1735*0.27,(VLOOKUP(VENDAS!C1735,Bairros!$A$2:$B$90,2,0))))</f>
        <v/>
      </c>
      <c r="J1735" s="7" t="str">
        <f t="shared" si="109"/>
        <v/>
      </c>
      <c r="K1735" s="9">
        <f t="shared" ca="1" si="110"/>
        <v>45404.878290162036</v>
      </c>
      <c r="L1735" s="10">
        <f t="shared" ca="1" si="111"/>
        <v>45404.878290046297</v>
      </c>
    </row>
    <row r="1736" spans="6:12" x14ac:dyDescent="0.25">
      <c r="F1736" s="11" t="str">
        <f>IF(ISBLANK(D1736),"",(VLOOKUP(D1736,Cardápio!$A$2:$B$16,2,0))*E1736)</f>
        <v/>
      </c>
      <c r="H1736" s="7" t="str">
        <f t="shared" si="108"/>
        <v/>
      </c>
      <c r="I1736" s="7" t="str">
        <f>IF(AND(ISBLANK(D1736),ISBLANK(C1736)),"",((VLOOKUP(D1736,Cardápio!$A$2:$C$16,3,0))*E1736)+IF(B1736="iFood",F1736*0.27,(VLOOKUP(VENDAS!C1736,Bairros!$A$2:$B$90,2,0))))</f>
        <v/>
      </c>
      <c r="J1736" s="7" t="str">
        <f t="shared" si="109"/>
        <v/>
      </c>
      <c r="K1736" s="9">
        <f t="shared" ca="1" si="110"/>
        <v>45404.878290162036</v>
      </c>
      <c r="L1736" s="10">
        <f t="shared" ca="1" si="111"/>
        <v>45404.878290046297</v>
      </c>
    </row>
    <row r="1737" spans="6:12" x14ac:dyDescent="0.25">
      <c r="F1737" s="11" t="str">
        <f>IF(ISBLANK(D1737),"",(VLOOKUP(D1737,Cardápio!$A$2:$B$16,2,0))*E1737)</f>
        <v/>
      </c>
      <c r="H1737" s="7" t="str">
        <f t="shared" si="108"/>
        <v/>
      </c>
      <c r="I1737" s="7" t="str">
        <f>IF(AND(ISBLANK(D1737),ISBLANK(C1737)),"",((VLOOKUP(D1737,Cardápio!$A$2:$C$16,3,0))*E1737)+IF(B1737="iFood",F1737*0.27,(VLOOKUP(VENDAS!C1737,Bairros!$A$2:$B$90,2,0))))</f>
        <v/>
      </c>
      <c r="J1737" s="7" t="str">
        <f t="shared" si="109"/>
        <v/>
      </c>
      <c r="K1737" s="9">
        <f t="shared" ca="1" si="110"/>
        <v>45404.878290162036</v>
      </c>
      <c r="L1737" s="10">
        <f t="shared" ca="1" si="111"/>
        <v>45404.878290046297</v>
      </c>
    </row>
    <row r="1738" spans="6:12" x14ac:dyDescent="0.25">
      <c r="F1738" s="11" t="str">
        <f>IF(ISBLANK(D1738),"",(VLOOKUP(D1738,Cardápio!$A$2:$B$16,2,0))*E1738)</f>
        <v/>
      </c>
      <c r="H1738" s="7" t="str">
        <f t="shared" si="108"/>
        <v/>
      </c>
      <c r="I1738" s="7" t="str">
        <f>IF(AND(ISBLANK(D1738),ISBLANK(C1738)),"",((VLOOKUP(D1738,Cardápio!$A$2:$C$16,3,0))*E1738)+IF(B1738="iFood",F1738*0.27,(VLOOKUP(VENDAS!C1738,Bairros!$A$2:$B$90,2,0))))</f>
        <v/>
      </c>
      <c r="J1738" s="7" t="str">
        <f t="shared" si="109"/>
        <v/>
      </c>
      <c r="K1738" s="9">
        <f t="shared" ca="1" si="110"/>
        <v>45404.878290162036</v>
      </c>
      <c r="L1738" s="10">
        <f t="shared" ca="1" si="111"/>
        <v>45404.878290046297</v>
      </c>
    </row>
    <row r="1739" spans="6:12" x14ac:dyDescent="0.25">
      <c r="F1739" s="11" t="str">
        <f>IF(ISBLANK(D1739),"",(VLOOKUP(D1739,Cardápio!$A$2:$B$16,2,0))*E1739)</f>
        <v/>
      </c>
      <c r="H1739" s="7" t="str">
        <f t="shared" si="108"/>
        <v/>
      </c>
      <c r="I1739" s="7" t="str">
        <f>IF(AND(ISBLANK(D1739),ISBLANK(C1739)),"",((VLOOKUP(D1739,Cardápio!$A$2:$C$16,3,0))*E1739)+IF(B1739="iFood",F1739*0.27,(VLOOKUP(VENDAS!C1739,Bairros!$A$2:$B$90,2,0))))</f>
        <v/>
      </c>
      <c r="J1739" s="7" t="str">
        <f t="shared" si="109"/>
        <v/>
      </c>
      <c r="K1739" s="9">
        <f t="shared" ca="1" si="110"/>
        <v>45404.878290162036</v>
      </c>
      <c r="L1739" s="10">
        <f t="shared" ca="1" si="111"/>
        <v>45404.878290046297</v>
      </c>
    </row>
    <row r="1740" spans="6:12" x14ac:dyDescent="0.25">
      <c r="F1740" s="11" t="str">
        <f>IF(ISBLANK(D1740),"",(VLOOKUP(D1740,Cardápio!$A$2:$B$16,2,0))*E1740)</f>
        <v/>
      </c>
      <c r="H1740" s="7" t="str">
        <f t="shared" si="108"/>
        <v/>
      </c>
      <c r="I1740" s="7" t="str">
        <f>IF(AND(ISBLANK(D1740),ISBLANK(C1740)),"",((VLOOKUP(D1740,Cardápio!$A$2:$C$16,3,0))*E1740)+IF(B1740="iFood",F1740*0.27,(VLOOKUP(VENDAS!C1740,Bairros!$A$2:$B$90,2,0))))</f>
        <v/>
      </c>
      <c r="J1740" s="7" t="str">
        <f t="shared" si="109"/>
        <v/>
      </c>
      <c r="K1740" s="9">
        <f t="shared" ca="1" si="110"/>
        <v>45404.878290162036</v>
      </c>
      <c r="L1740" s="10">
        <f t="shared" ca="1" si="111"/>
        <v>45404.878290046297</v>
      </c>
    </row>
    <row r="1741" spans="6:12" x14ac:dyDescent="0.25">
      <c r="F1741" s="11" t="str">
        <f>IF(ISBLANK(D1741),"",(VLOOKUP(D1741,Cardápio!$A$2:$B$16,2,0))*E1741)</f>
        <v/>
      </c>
      <c r="H1741" s="7" t="str">
        <f t="shared" si="108"/>
        <v/>
      </c>
      <c r="I1741" s="7" t="str">
        <f>IF(AND(ISBLANK(D1741),ISBLANK(C1741)),"",((VLOOKUP(D1741,Cardápio!$A$2:$C$16,3,0))*E1741)+IF(B1741="iFood",F1741*0.27,(VLOOKUP(VENDAS!C1741,Bairros!$A$2:$B$90,2,0))))</f>
        <v/>
      </c>
      <c r="J1741" s="7" t="str">
        <f t="shared" si="109"/>
        <v/>
      </c>
      <c r="K1741" s="9">
        <f t="shared" ca="1" si="110"/>
        <v>45404.878290162036</v>
      </c>
      <c r="L1741" s="10">
        <f t="shared" ca="1" si="111"/>
        <v>45404.878290046297</v>
      </c>
    </row>
    <row r="1742" spans="6:12" x14ac:dyDescent="0.25">
      <c r="F1742" s="11" t="str">
        <f>IF(ISBLANK(D1742),"",(VLOOKUP(D1742,Cardápio!$A$2:$B$16,2,0))*E1742)</f>
        <v/>
      </c>
      <c r="H1742" s="7" t="str">
        <f t="shared" si="108"/>
        <v/>
      </c>
      <c r="I1742" s="7" t="str">
        <f>IF(AND(ISBLANK(D1742),ISBLANK(C1742)),"",((VLOOKUP(D1742,Cardápio!$A$2:$C$16,3,0))*E1742)+IF(B1742="iFood",F1742*0.27,(VLOOKUP(VENDAS!C1742,Bairros!$A$2:$B$90,2,0))))</f>
        <v/>
      </c>
      <c r="J1742" s="7" t="str">
        <f t="shared" si="109"/>
        <v/>
      </c>
      <c r="K1742" s="9">
        <f t="shared" ca="1" si="110"/>
        <v>45404.878290162036</v>
      </c>
      <c r="L1742" s="10">
        <f t="shared" ca="1" si="111"/>
        <v>45404.878290046297</v>
      </c>
    </row>
    <row r="1743" spans="6:12" x14ac:dyDescent="0.25">
      <c r="F1743" s="11" t="str">
        <f>IF(ISBLANK(D1743),"",(VLOOKUP(D1743,Cardápio!$A$2:$B$16,2,0))*E1743)</f>
        <v/>
      </c>
      <c r="H1743" s="7" t="str">
        <f t="shared" si="108"/>
        <v/>
      </c>
      <c r="I1743" s="7" t="str">
        <f>IF(AND(ISBLANK(D1743),ISBLANK(C1743)),"",((VLOOKUP(D1743,Cardápio!$A$2:$C$16,3,0))*E1743)+IF(B1743="iFood",F1743*0.27,(VLOOKUP(VENDAS!C1743,Bairros!$A$2:$B$90,2,0))))</f>
        <v/>
      </c>
      <c r="J1743" s="7" t="str">
        <f t="shared" si="109"/>
        <v/>
      </c>
      <c r="K1743" s="9">
        <f t="shared" ca="1" si="110"/>
        <v>45404.878290162036</v>
      </c>
      <c r="L1743" s="10">
        <f t="shared" ca="1" si="111"/>
        <v>45404.878290046297</v>
      </c>
    </row>
    <row r="1744" spans="6:12" x14ac:dyDescent="0.25">
      <c r="F1744" s="11" t="str">
        <f>IF(ISBLANK(D1744),"",(VLOOKUP(D1744,Cardápio!$A$2:$B$16,2,0))*E1744)</f>
        <v/>
      </c>
      <c r="H1744" s="7" t="str">
        <f t="shared" si="108"/>
        <v/>
      </c>
      <c r="I1744" s="7" t="str">
        <f>IF(AND(ISBLANK(D1744),ISBLANK(C1744)),"",((VLOOKUP(D1744,Cardápio!$A$2:$C$16,3,0))*E1744)+IF(B1744="iFood",F1744*0.27,(VLOOKUP(VENDAS!C1744,Bairros!$A$2:$B$90,2,0))))</f>
        <v/>
      </c>
      <c r="J1744" s="7" t="str">
        <f t="shared" si="109"/>
        <v/>
      </c>
      <c r="K1744" s="9">
        <f t="shared" ca="1" si="110"/>
        <v>45404.878290162036</v>
      </c>
      <c r="L1744" s="10">
        <f t="shared" ca="1" si="111"/>
        <v>45404.878290046297</v>
      </c>
    </row>
    <row r="1745" spans="6:12" x14ac:dyDescent="0.25">
      <c r="F1745" s="11" t="str">
        <f>IF(ISBLANK(D1745),"",(VLOOKUP(D1745,Cardápio!$A$2:$B$16,2,0))*E1745)</f>
        <v/>
      </c>
      <c r="H1745" s="7" t="str">
        <f t="shared" si="108"/>
        <v/>
      </c>
      <c r="I1745" s="7" t="str">
        <f>IF(AND(ISBLANK(D1745),ISBLANK(C1745)),"",((VLOOKUP(D1745,Cardápio!$A$2:$C$16,3,0))*E1745)+IF(B1745="iFood",F1745*0.27,(VLOOKUP(VENDAS!C1745,Bairros!$A$2:$B$90,2,0))))</f>
        <v/>
      </c>
      <c r="J1745" s="7" t="str">
        <f t="shared" si="109"/>
        <v/>
      </c>
      <c r="K1745" s="9">
        <f t="shared" ca="1" si="110"/>
        <v>45404.878290162036</v>
      </c>
      <c r="L1745" s="10">
        <f t="shared" ca="1" si="111"/>
        <v>45404.878290046297</v>
      </c>
    </row>
    <row r="1746" spans="6:12" x14ac:dyDescent="0.25">
      <c r="F1746" s="11" t="str">
        <f>IF(ISBLANK(D1746),"",(VLOOKUP(D1746,Cardápio!$A$2:$B$16,2,0))*E1746)</f>
        <v/>
      </c>
      <c r="H1746" s="7" t="str">
        <f t="shared" si="108"/>
        <v/>
      </c>
      <c r="I1746" s="7" t="str">
        <f>IF(AND(ISBLANK(D1746),ISBLANK(C1746)),"",((VLOOKUP(D1746,Cardápio!$A$2:$C$16,3,0))*E1746)+IF(B1746="iFood",F1746*0.27,(VLOOKUP(VENDAS!C1746,Bairros!$A$2:$B$90,2,0))))</f>
        <v/>
      </c>
      <c r="J1746" s="7" t="str">
        <f t="shared" si="109"/>
        <v/>
      </c>
      <c r="K1746" s="9">
        <f t="shared" ca="1" si="110"/>
        <v>45404.878290162036</v>
      </c>
      <c r="L1746" s="10">
        <f t="shared" ca="1" si="111"/>
        <v>45404.878290046297</v>
      </c>
    </row>
    <row r="1747" spans="6:12" x14ac:dyDescent="0.25">
      <c r="F1747" s="11" t="str">
        <f>IF(ISBLANK(D1747),"",(VLOOKUP(D1747,Cardápio!$A$2:$B$16,2,0))*E1747)</f>
        <v/>
      </c>
      <c r="H1747" s="7" t="str">
        <f t="shared" si="108"/>
        <v/>
      </c>
      <c r="I1747" s="7" t="str">
        <f>IF(AND(ISBLANK(D1747),ISBLANK(C1747)),"",((VLOOKUP(D1747,Cardápio!$A$2:$C$16,3,0))*E1747)+IF(B1747="iFood",F1747*0.27,(VLOOKUP(VENDAS!C1747,Bairros!$A$2:$B$90,2,0))))</f>
        <v/>
      </c>
      <c r="J1747" s="7" t="str">
        <f t="shared" si="109"/>
        <v/>
      </c>
      <c r="K1747" s="9">
        <f t="shared" ca="1" si="110"/>
        <v>45404.878290162036</v>
      </c>
      <c r="L1747" s="10">
        <f t="shared" ca="1" si="111"/>
        <v>45404.878290046297</v>
      </c>
    </row>
    <row r="1748" spans="6:12" x14ac:dyDescent="0.25">
      <c r="F1748" s="11" t="str">
        <f>IF(ISBLANK(D1748),"",(VLOOKUP(D1748,Cardápio!$A$2:$B$16,2,0))*E1748)</f>
        <v/>
      </c>
      <c r="H1748" s="7" t="str">
        <f t="shared" si="108"/>
        <v/>
      </c>
      <c r="I1748" s="7" t="str">
        <f>IF(AND(ISBLANK(D1748),ISBLANK(C1748)),"",((VLOOKUP(D1748,Cardápio!$A$2:$C$16,3,0))*E1748)+IF(B1748="iFood",F1748*0.27,(VLOOKUP(VENDAS!C1748,Bairros!$A$2:$B$90,2,0))))</f>
        <v/>
      </c>
      <c r="J1748" s="7" t="str">
        <f t="shared" si="109"/>
        <v/>
      </c>
      <c r="K1748" s="9">
        <f t="shared" ca="1" si="110"/>
        <v>45404.878290162036</v>
      </c>
      <c r="L1748" s="10">
        <f t="shared" ca="1" si="111"/>
        <v>45404.878290046297</v>
      </c>
    </row>
    <row r="1749" spans="6:12" x14ac:dyDescent="0.25">
      <c r="F1749" s="11" t="str">
        <f>IF(ISBLANK(D1749),"",(VLOOKUP(D1749,Cardápio!$A$2:$B$16,2,0))*E1749)</f>
        <v/>
      </c>
      <c r="H1749" s="7" t="str">
        <f t="shared" si="108"/>
        <v/>
      </c>
      <c r="I1749" s="7" t="str">
        <f>IF(AND(ISBLANK(D1749),ISBLANK(C1749)),"",((VLOOKUP(D1749,Cardápio!$A$2:$C$16,3,0))*E1749)+IF(B1749="iFood",F1749*0.27,(VLOOKUP(VENDAS!C1749,Bairros!$A$2:$B$90,2,0))))</f>
        <v/>
      </c>
      <c r="J1749" s="7" t="str">
        <f t="shared" si="109"/>
        <v/>
      </c>
      <c r="K1749" s="9">
        <f t="shared" ca="1" si="110"/>
        <v>45404.878290162036</v>
      </c>
      <c r="L1749" s="10">
        <f t="shared" ca="1" si="111"/>
        <v>45404.878290046297</v>
      </c>
    </row>
    <row r="1750" spans="6:12" x14ac:dyDescent="0.25">
      <c r="F1750" s="11" t="str">
        <f>IF(ISBLANK(D1750),"",(VLOOKUP(D1750,Cardápio!$A$2:$B$16,2,0))*E1750)</f>
        <v/>
      </c>
      <c r="H1750" s="7" t="str">
        <f t="shared" si="108"/>
        <v/>
      </c>
      <c r="I1750" s="7" t="str">
        <f>IF(AND(ISBLANK(D1750),ISBLANK(C1750)),"",((VLOOKUP(D1750,Cardápio!$A$2:$C$16,3,0))*E1750)+IF(B1750="iFood",F1750*0.27,(VLOOKUP(VENDAS!C1750,Bairros!$A$2:$B$90,2,0))))</f>
        <v/>
      </c>
      <c r="J1750" s="7" t="str">
        <f t="shared" si="109"/>
        <v/>
      </c>
      <c r="K1750" s="9">
        <f t="shared" ca="1" si="110"/>
        <v>45404.878290162036</v>
      </c>
      <c r="L1750" s="10">
        <f t="shared" ca="1" si="111"/>
        <v>45404.878290046297</v>
      </c>
    </row>
    <row r="1751" spans="6:12" x14ac:dyDescent="0.25">
      <c r="F1751" s="11" t="str">
        <f>IF(ISBLANK(D1751),"",(VLOOKUP(D1751,Cardápio!$A$2:$B$16,2,0))*E1751)</f>
        <v/>
      </c>
      <c r="H1751" s="7" t="str">
        <f t="shared" si="108"/>
        <v/>
      </c>
      <c r="I1751" s="7" t="str">
        <f>IF(AND(ISBLANK(D1751),ISBLANK(C1751)),"",((VLOOKUP(D1751,Cardápio!$A$2:$C$16,3,0))*E1751)+IF(B1751="iFood",F1751*0.27,(VLOOKUP(VENDAS!C1751,Bairros!$A$2:$B$90,2,0))))</f>
        <v/>
      </c>
      <c r="J1751" s="7" t="str">
        <f t="shared" si="109"/>
        <v/>
      </c>
      <c r="K1751" s="9">
        <f t="shared" ca="1" si="110"/>
        <v>45404.878290162036</v>
      </c>
      <c r="L1751" s="10">
        <f t="shared" ca="1" si="111"/>
        <v>45404.878290046297</v>
      </c>
    </row>
    <row r="1752" spans="6:12" x14ac:dyDescent="0.25">
      <c r="F1752" s="11" t="str">
        <f>IF(ISBLANK(D1752),"",(VLOOKUP(D1752,Cardápio!$A$2:$B$16,2,0))*E1752)</f>
        <v/>
      </c>
      <c r="H1752" s="7" t="str">
        <f t="shared" si="108"/>
        <v/>
      </c>
      <c r="I1752" s="7" t="str">
        <f>IF(AND(ISBLANK(D1752),ISBLANK(C1752)),"",((VLOOKUP(D1752,Cardápio!$A$2:$C$16,3,0))*E1752)+IF(B1752="iFood",F1752*0.27,(VLOOKUP(VENDAS!C1752,Bairros!$A$2:$B$90,2,0))))</f>
        <v/>
      </c>
      <c r="J1752" s="7" t="str">
        <f t="shared" si="109"/>
        <v/>
      </c>
      <c r="K1752" s="9">
        <f t="shared" ca="1" si="110"/>
        <v>45404.878290162036</v>
      </c>
      <c r="L1752" s="10">
        <f t="shared" ca="1" si="111"/>
        <v>45404.878290046297</v>
      </c>
    </row>
    <row r="1753" spans="6:12" x14ac:dyDescent="0.25">
      <c r="F1753" s="11" t="str">
        <f>IF(ISBLANK(D1753),"",(VLOOKUP(D1753,Cardápio!$A$2:$B$16,2,0))*E1753)</f>
        <v/>
      </c>
      <c r="H1753" s="7" t="str">
        <f t="shared" si="108"/>
        <v/>
      </c>
      <c r="I1753" s="7" t="str">
        <f>IF(AND(ISBLANK(D1753),ISBLANK(C1753)),"",((VLOOKUP(D1753,Cardápio!$A$2:$C$16,3,0))*E1753)+IF(B1753="iFood",F1753*0.27,(VLOOKUP(VENDAS!C1753,Bairros!$A$2:$B$90,2,0))))</f>
        <v/>
      </c>
      <c r="J1753" s="7" t="str">
        <f t="shared" si="109"/>
        <v/>
      </c>
      <c r="K1753" s="9">
        <f t="shared" ca="1" si="110"/>
        <v>45404.878290162036</v>
      </c>
      <c r="L1753" s="10">
        <f t="shared" ca="1" si="111"/>
        <v>45404.878290046297</v>
      </c>
    </row>
    <row r="1754" spans="6:12" x14ac:dyDescent="0.25">
      <c r="F1754" s="11" t="str">
        <f>IF(ISBLANK(D1754),"",(VLOOKUP(D1754,Cardápio!$A$2:$B$16,2,0))*E1754)</f>
        <v/>
      </c>
      <c r="H1754" s="7" t="str">
        <f t="shared" si="108"/>
        <v/>
      </c>
      <c r="I1754" s="7" t="str">
        <f>IF(AND(ISBLANK(D1754),ISBLANK(C1754)),"",((VLOOKUP(D1754,Cardápio!$A$2:$C$16,3,0))*E1754)+IF(B1754="iFood",F1754*0.27,(VLOOKUP(VENDAS!C1754,Bairros!$A$2:$B$90,2,0))))</f>
        <v/>
      </c>
      <c r="J1754" s="7" t="str">
        <f t="shared" si="109"/>
        <v/>
      </c>
      <c r="K1754" s="9">
        <f t="shared" ca="1" si="110"/>
        <v>45404.878290162036</v>
      </c>
      <c r="L1754" s="10">
        <f t="shared" ca="1" si="111"/>
        <v>45404.878290046297</v>
      </c>
    </row>
    <row r="1755" spans="6:12" x14ac:dyDescent="0.25">
      <c r="F1755" s="11" t="str">
        <f>IF(ISBLANK(D1755),"",(VLOOKUP(D1755,Cardápio!$A$2:$B$16,2,0))*E1755)</f>
        <v/>
      </c>
      <c r="H1755" s="7" t="str">
        <f t="shared" si="108"/>
        <v/>
      </c>
      <c r="I1755" s="7" t="str">
        <f>IF(AND(ISBLANK(D1755),ISBLANK(C1755)),"",((VLOOKUP(D1755,Cardápio!$A$2:$C$16,3,0))*E1755)+IF(B1755="iFood",F1755*0.27,(VLOOKUP(VENDAS!C1755,Bairros!$A$2:$B$90,2,0))))</f>
        <v/>
      </c>
      <c r="J1755" s="7" t="str">
        <f t="shared" si="109"/>
        <v/>
      </c>
      <c r="K1755" s="9">
        <f t="shared" ca="1" si="110"/>
        <v>45404.878290162036</v>
      </c>
      <c r="L1755" s="10">
        <f t="shared" ca="1" si="111"/>
        <v>45404.878290046297</v>
      </c>
    </row>
    <row r="1756" spans="6:12" x14ac:dyDescent="0.25">
      <c r="F1756" s="11" t="str">
        <f>IF(ISBLANK(D1756),"",(VLOOKUP(D1756,Cardápio!$A$2:$B$16,2,0))*E1756)</f>
        <v/>
      </c>
      <c r="H1756" s="7" t="str">
        <f t="shared" si="108"/>
        <v/>
      </c>
      <c r="I1756" s="7" t="str">
        <f>IF(AND(ISBLANK(D1756),ISBLANK(C1756)),"",((VLOOKUP(D1756,Cardápio!$A$2:$C$16,3,0))*E1756)+IF(B1756="iFood",F1756*0.27,(VLOOKUP(VENDAS!C1756,Bairros!$A$2:$B$90,2,0))))</f>
        <v/>
      </c>
      <c r="J1756" s="7" t="str">
        <f t="shared" si="109"/>
        <v/>
      </c>
      <c r="K1756" s="9">
        <f t="shared" ca="1" si="110"/>
        <v>45404.878290162036</v>
      </c>
      <c r="L1756" s="10">
        <f t="shared" ca="1" si="111"/>
        <v>45404.878290046297</v>
      </c>
    </row>
    <row r="1757" spans="6:12" x14ac:dyDescent="0.25">
      <c r="F1757" s="11" t="str">
        <f>IF(ISBLANK(D1757),"",(VLOOKUP(D1757,Cardápio!$A$2:$B$16,2,0))*E1757)</f>
        <v/>
      </c>
      <c r="H1757" s="7" t="str">
        <f t="shared" si="108"/>
        <v/>
      </c>
      <c r="I1757" s="7" t="str">
        <f>IF(AND(ISBLANK(D1757),ISBLANK(C1757)),"",((VLOOKUP(D1757,Cardápio!$A$2:$C$16,3,0))*E1757)+IF(B1757="iFood",F1757*0.27,(VLOOKUP(VENDAS!C1757,Bairros!$A$2:$B$90,2,0))))</f>
        <v/>
      </c>
      <c r="J1757" s="7" t="str">
        <f t="shared" si="109"/>
        <v/>
      </c>
      <c r="K1757" s="9">
        <f t="shared" ca="1" si="110"/>
        <v>45404.878290162036</v>
      </c>
      <c r="L1757" s="10">
        <f t="shared" ca="1" si="111"/>
        <v>45404.878290046297</v>
      </c>
    </row>
    <row r="1758" spans="6:12" x14ac:dyDescent="0.25">
      <c r="F1758" s="11" t="str">
        <f>IF(ISBLANK(D1758),"",(VLOOKUP(D1758,Cardápio!$A$2:$B$16,2,0))*E1758)</f>
        <v/>
      </c>
      <c r="H1758" s="7" t="str">
        <f t="shared" si="108"/>
        <v/>
      </c>
      <c r="I1758" s="7" t="str">
        <f>IF(AND(ISBLANK(D1758),ISBLANK(C1758)),"",((VLOOKUP(D1758,Cardápio!$A$2:$C$16,3,0))*E1758)+IF(B1758="iFood",F1758*0.27,(VLOOKUP(VENDAS!C1758,Bairros!$A$2:$B$90,2,0))))</f>
        <v/>
      </c>
      <c r="J1758" s="7" t="str">
        <f t="shared" si="109"/>
        <v/>
      </c>
      <c r="K1758" s="9">
        <f t="shared" ca="1" si="110"/>
        <v>45404.878290162036</v>
      </c>
      <c r="L1758" s="10">
        <f t="shared" ca="1" si="111"/>
        <v>45404.878290046297</v>
      </c>
    </row>
    <row r="1759" spans="6:12" x14ac:dyDescent="0.25">
      <c r="F1759" s="11" t="str">
        <f>IF(ISBLANK(D1759),"",(VLOOKUP(D1759,Cardápio!$A$2:$B$16,2,0))*E1759)</f>
        <v/>
      </c>
      <c r="H1759" s="7" t="str">
        <f t="shared" si="108"/>
        <v/>
      </c>
      <c r="I1759" s="7" t="str">
        <f>IF(AND(ISBLANK(D1759),ISBLANK(C1759)),"",((VLOOKUP(D1759,Cardápio!$A$2:$C$16,3,0))*E1759)+IF(B1759="iFood",F1759*0.27,(VLOOKUP(VENDAS!C1759,Bairros!$A$2:$B$90,2,0))))</f>
        <v/>
      </c>
      <c r="J1759" s="7" t="str">
        <f t="shared" si="109"/>
        <v/>
      </c>
      <c r="K1759" s="9">
        <f t="shared" ca="1" si="110"/>
        <v>45404.878290162036</v>
      </c>
      <c r="L1759" s="10">
        <f t="shared" ca="1" si="111"/>
        <v>45404.878290046297</v>
      </c>
    </row>
    <row r="1760" spans="6:12" x14ac:dyDescent="0.25">
      <c r="F1760" s="11" t="str">
        <f>IF(ISBLANK(D1760),"",(VLOOKUP(D1760,Cardápio!$A$2:$B$16,2,0))*E1760)</f>
        <v/>
      </c>
      <c r="H1760" s="7" t="str">
        <f t="shared" si="108"/>
        <v/>
      </c>
      <c r="I1760" s="7" t="str">
        <f>IF(AND(ISBLANK(D1760),ISBLANK(C1760)),"",((VLOOKUP(D1760,Cardápio!$A$2:$C$16,3,0))*E1760)+IF(B1760="iFood",F1760*0.27,(VLOOKUP(VENDAS!C1760,Bairros!$A$2:$B$90,2,0))))</f>
        <v/>
      </c>
      <c r="J1760" s="7" t="str">
        <f t="shared" si="109"/>
        <v/>
      </c>
      <c r="K1760" s="9">
        <f t="shared" ca="1" si="110"/>
        <v>45404.878290162036</v>
      </c>
      <c r="L1760" s="10">
        <f t="shared" ca="1" si="111"/>
        <v>45404.878290046297</v>
      </c>
    </row>
    <row r="1761" spans="6:12" x14ac:dyDescent="0.25">
      <c r="F1761" s="11" t="str">
        <f>IF(ISBLANK(D1761),"",(VLOOKUP(D1761,Cardápio!$A$2:$B$16,2,0))*E1761)</f>
        <v/>
      </c>
      <c r="H1761" s="7" t="str">
        <f t="shared" si="108"/>
        <v/>
      </c>
      <c r="I1761" s="7" t="str">
        <f>IF(AND(ISBLANK(D1761),ISBLANK(C1761)),"",((VLOOKUP(D1761,Cardápio!$A$2:$C$16,3,0))*E1761)+IF(B1761="iFood",F1761*0.27,(VLOOKUP(VENDAS!C1761,Bairros!$A$2:$B$90,2,0))))</f>
        <v/>
      </c>
      <c r="J1761" s="7" t="str">
        <f t="shared" si="109"/>
        <v/>
      </c>
      <c r="K1761" s="9">
        <f t="shared" ca="1" si="110"/>
        <v>45404.878290162036</v>
      </c>
      <c r="L1761" s="10">
        <f t="shared" ca="1" si="111"/>
        <v>45404.878290046297</v>
      </c>
    </row>
    <row r="1762" spans="6:12" x14ac:dyDescent="0.25">
      <c r="F1762" s="11" t="str">
        <f>IF(ISBLANK(D1762),"",(VLOOKUP(D1762,Cardápio!$A$2:$B$16,2,0))*E1762)</f>
        <v/>
      </c>
      <c r="H1762" s="7" t="str">
        <f t="shared" si="108"/>
        <v/>
      </c>
      <c r="I1762" s="7" t="str">
        <f>IF(AND(ISBLANK(D1762),ISBLANK(C1762)),"",((VLOOKUP(D1762,Cardápio!$A$2:$C$16,3,0))*E1762)+IF(B1762="iFood",F1762*0.27,(VLOOKUP(VENDAS!C1762,Bairros!$A$2:$B$90,2,0))))</f>
        <v/>
      </c>
      <c r="J1762" s="7" t="str">
        <f t="shared" si="109"/>
        <v/>
      </c>
      <c r="K1762" s="9">
        <f t="shared" ca="1" si="110"/>
        <v>45404.878290162036</v>
      </c>
      <c r="L1762" s="10">
        <f t="shared" ca="1" si="111"/>
        <v>45404.878290046297</v>
      </c>
    </row>
    <row r="1763" spans="6:12" x14ac:dyDescent="0.25">
      <c r="F1763" s="11" t="str">
        <f>IF(ISBLANK(D1763),"",(VLOOKUP(D1763,Cardápio!$A$2:$B$16,2,0))*E1763)</f>
        <v/>
      </c>
      <c r="H1763" s="7" t="str">
        <f t="shared" si="108"/>
        <v/>
      </c>
      <c r="I1763" s="7" t="str">
        <f>IF(AND(ISBLANK(D1763),ISBLANK(C1763)),"",((VLOOKUP(D1763,Cardápio!$A$2:$C$16,3,0))*E1763)+IF(B1763="iFood",F1763*0.27,(VLOOKUP(VENDAS!C1763,Bairros!$A$2:$B$90,2,0))))</f>
        <v/>
      </c>
      <c r="J1763" s="7" t="str">
        <f t="shared" si="109"/>
        <v/>
      </c>
      <c r="K1763" s="9">
        <f t="shared" ca="1" si="110"/>
        <v>45404.878290162036</v>
      </c>
      <c r="L1763" s="10">
        <f t="shared" ca="1" si="111"/>
        <v>45404.878290046297</v>
      </c>
    </row>
    <row r="1764" spans="6:12" x14ac:dyDescent="0.25">
      <c r="F1764" s="11" t="str">
        <f>IF(ISBLANK(D1764),"",(VLOOKUP(D1764,Cardápio!$A$2:$B$16,2,0))*E1764)</f>
        <v/>
      </c>
      <c r="H1764" s="7" t="str">
        <f t="shared" si="108"/>
        <v/>
      </c>
      <c r="I1764" s="7" t="str">
        <f>IF(AND(ISBLANK(D1764),ISBLANK(C1764)),"",((VLOOKUP(D1764,Cardápio!$A$2:$C$16,3,0))*E1764)+IF(B1764="iFood",F1764*0.27,(VLOOKUP(VENDAS!C1764,Bairros!$A$2:$B$90,2,0))))</f>
        <v/>
      </c>
      <c r="J1764" s="7" t="str">
        <f t="shared" si="109"/>
        <v/>
      </c>
      <c r="K1764" s="9">
        <f t="shared" ca="1" si="110"/>
        <v>45404.878290162036</v>
      </c>
      <c r="L1764" s="10">
        <f t="shared" ca="1" si="111"/>
        <v>45404.878290046297</v>
      </c>
    </row>
    <row r="1765" spans="6:12" x14ac:dyDescent="0.25">
      <c r="F1765" s="11" t="str">
        <f>IF(ISBLANK(D1765),"",(VLOOKUP(D1765,Cardápio!$A$2:$B$16,2,0))*E1765)</f>
        <v/>
      </c>
      <c r="H1765" s="7" t="str">
        <f t="shared" si="108"/>
        <v/>
      </c>
      <c r="I1765" s="7" t="str">
        <f>IF(AND(ISBLANK(D1765),ISBLANK(C1765)),"",((VLOOKUP(D1765,Cardápio!$A$2:$C$16,3,0))*E1765)+IF(B1765="iFood",F1765*0.27,(VLOOKUP(VENDAS!C1765,Bairros!$A$2:$B$90,2,0))))</f>
        <v/>
      </c>
      <c r="J1765" s="7" t="str">
        <f t="shared" si="109"/>
        <v/>
      </c>
      <c r="K1765" s="9">
        <f t="shared" ca="1" si="110"/>
        <v>45404.878290162036</v>
      </c>
      <c r="L1765" s="10">
        <f t="shared" ca="1" si="111"/>
        <v>45404.878290046297</v>
      </c>
    </row>
    <row r="1766" spans="6:12" x14ac:dyDescent="0.25">
      <c r="F1766" s="11" t="str">
        <f>IF(ISBLANK(D1766),"",(VLOOKUP(D1766,Cardápio!$A$2:$B$16,2,0))*E1766)</f>
        <v/>
      </c>
      <c r="H1766" s="7" t="str">
        <f t="shared" si="108"/>
        <v/>
      </c>
      <c r="I1766" s="7" t="str">
        <f>IF(AND(ISBLANK(D1766),ISBLANK(C1766)),"",((VLOOKUP(D1766,Cardápio!$A$2:$C$16,3,0))*E1766)+IF(B1766="iFood",F1766*0.27,(VLOOKUP(VENDAS!C1766,Bairros!$A$2:$B$90,2,0))))</f>
        <v/>
      </c>
      <c r="J1766" s="7" t="str">
        <f t="shared" si="109"/>
        <v/>
      </c>
      <c r="K1766" s="9">
        <f t="shared" ca="1" si="110"/>
        <v>45404.878290162036</v>
      </c>
      <c r="L1766" s="10">
        <f t="shared" ca="1" si="111"/>
        <v>45404.878290046297</v>
      </c>
    </row>
    <row r="1767" spans="6:12" x14ac:dyDescent="0.25">
      <c r="F1767" s="11" t="str">
        <f>IF(ISBLANK(D1767),"",(VLOOKUP(D1767,Cardápio!$A$2:$B$16,2,0))*E1767)</f>
        <v/>
      </c>
      <c r="H1767" s="7" t="str">
        <f t="shared" si="108"/>
        <v/>
      </c>
      <c r="I1767" s="7" t="str">
        <f>IF(AND(ISBLANK(D1767),ISBLANK(C1767)),"",((VLOOKUP(D1767,Cardápio!$A$2:$C$16,3,0))*E1767)+IF(B1767="iFood",F1767*0.27,(VLOOKUP(VENDAS!C1767,Bairros!$A$2:$B$90,2,0))))</f>
        <v/>
      </c>
      <c r="J1767" s="7" t="str">
        <f t="shared" si="109"/>
        <v/>
      </c>
      <c r="K1767" s="9">
        <f t="shared" ca="1" si="110"/>
        <v>45404.878290162036</v>
      </c>
      <c r="L1767" s="10">
        <f t="shared" ca="1" si="111"/>
        <v>45404.878290046297</v>
      </c>
    </row>
    <row r="1768" spans="6:12" x14ac:dyDescent="0.25">
      <c r="F1768" s="11" t="str">
        <f>IF(ISBLANK(D1768),"",(VLOOKUP(D1768,Cardápio!$A$2:$B$16,2,0))*E1768)</f>
        <v/>
      </c>
      <c r="H1768" s="7" t="str">
        <f t="shared" si="108"/>
        <v/>
      </c>
      <c r="I1768" s="7" t="str">
        <f>IF(AND(ISBLANK(D1768),ISBLANK(C1768)),"",((VLOOKUP(D1768,Cardápio!$A$2:$C$16,3,0))*E1768)+IF(B1768="iFood",F1768*0.27,(VLOOKUP(VENDAS!C1768,Bairros!$A$2:$B$90,2,0))))</f>
        <v/>
      </c>
      <c r="J1768" s="7" t="str">
        <f t="shared" si="109"/>
        <v/>
      </c>
      <c r="K1768" s="9">
        <f t="shared" ca="1" si="110"/>
        <v>45404.878290162036</v>
      </c>
      <c r="L1768" s="10">
        <f t="shared" ca="1" si="111"/>
        <v>45404.878290046297</v>
      </c>
    </row>
    <row r="1769" spans="6:12" x14ac:dyDescent="0.25">
      <c r="F1769" s="11" t="str">
        <f>IF(ISBLANK(D1769),"",(VLOOKUP(D1769,Cardápio!$A$2:$B$16,2,0))*E1769)</f>
        <v/>
      </c>
      <c r="H1769" s="7" t="str">
        <f t="shared" si="108"/>
        <v/>
      </c>
      <c r="I1769" s="7" t="str">
        <f>IF(AND(ISBLANK(D1769),ISBLANK(C1769)),"",((VLOOKUP(D1769,Cardápio!$A$2:$C$16,3,0))*E1769)+IF(B1769="iFood",F1769*0.27,(VLOOKUP(VENDAS!C1769,Bairros!$A$2:$B$90,2,0))))</f>
        <v/>
      </c>
      <c r="J1769" s="7" t="str">
        <f t="shared" si="109"/>
        <v/>
      </c>
      <c r="K1769" s="9">
        <f t="shared" ca="1" si="110"/>
        <v>45404.878290162036</v>
      </c>
      <c r="L1769" s="10">
        <f t="shared" ca="1" si="111"/>
        <v>45404.878290046297</v>
      </c>
    </row>
    <row r="1770" spans="6:12" x14ac:dyDescent="0.25">
      <c r="F1770" s="11" t="str">
        <f>IF(ISBLANK(D1770),"",(VLOOKUP(D1770,Cardápio!$A$2:$B$16,2,0))*E1770)</f>
        <v/>
      </c>
      <c r="H1770" s="7" t="str">
        <f t="shared" si="108"/>
        <v/>
      </c>
      <c r="I1770" s="7" t="str">
        <f>IF(AND(ISBLANK(D1770),ISBLANK(C1770)),"",((VLOOKUP(D1770,Cardápio!$A$2:$C$16,3,0))*E1770)+IF(B1770="iFood",F1770*0.27,(VLOOKUP(VENDAS!C1770,Bairros!$A$2:$B$90,2,0))))</f>
        <v/>
      </c>
      <c r="J1770" s="7" t="str">
        <f t="shared" si="109"/>
        <v/>
      </c>
      <c r="K1770" s="9">
        <f t="shared" ca="1" si="110"/>
        <v>45404.878290162036</v>
      </c>
      <c r="L1770" s="10">
        <f t="shared" ca="1" si="111"/>
        <v>45404.878290046297</v>
      </c>
    </row>
    <row r="1771" spans="6:12" x14ac:dyDescent="0.25">
      <c r="F1771" s="11" t="str">
        <f>IF(ISBLANK(D1771),"",(VLOOKUP(D1771,Cardápio!$A$2:$B$16,2,0))*E1771)</f>
        <v/>
      </c>
      <c r="H1771" s="7" t="str">
        <f t="shared" si="108"/>
        <v/>
      </c>
      <c r="I1771" s="7" t="str">
        <f>IF(AND(ISBLANK(D1771),ISBLANK(C1771)),"",((VLOOKUP(D1771,Cardápio!$A$2:$C$16,3,0))*E1771)+IF(B1771="iFood",F1771*0.27,(VLOOKUP(VENDAS!C1771,Bairros!$A$2:$B$90,2,0))))</f>
        <v/>
      </c>
      <c r="J1771" s="7" t="str">
        <f t="shared" si="109"/>
        <v/>
      </c>
      <c r="K1771" s="9">
        <f t="shared" ca="1" si="110"/>
        <v>45404.878290162036</v>
      </c>
      <c r="L1771" s="10">
        <f t="shared" ca="1" si="111"/>
        <v>45404.878290046297</v>
      </c>
    </row>
    <row r="1772" spans="6:12" x14ac:dyDescent="0.25">
      <c r="F1772" s="11" t="str">
        <f>IF(ISBLANK(D1772),"",(VLOOKUP(D1772,Cardápio!$A$2:$B$16,2,0))*E1772)</f>
        <v/>
      </c>
      <c r="H1772" s="7" t="str">
        <f t="shared" si="108"/>
        <v/>
      </c>
      <c r="I1772" s="7" t="str">
        <f>IF(AND(ISBLANK(D1772),ISBLANK(C1772)),"",((VLOOKUP(D1772,Cardápio!$A$2:$C$16,3,0))*E1772)+IF(B1772="iFood",F1772*0.27,(VLOOKUP(VENDAS!C1772,Bairros!$A$2:$B$90,2,0))))</f>
        <v/>
      </c>
      <c r="J1772" s="7" t="str">
        <f t="shared" si="109"/>
        <v/>
      </c>
      <c r="K1772" s="9">
        <f t="shared" ca="1" si="110"/>
        <v>45404.878290162036</v>
      </c>
      <c r="L1772" s="10">
        <f t="shared" ca="1" si="111"/>
        <v>45404.878290046297</v>
      </c>
    </row>
    <row r="1773" spans="6:12" x14ac:dyDescent="0.25">
      <c r="F1773" s="11" t="str">
        <f>IF(ISBLANK(D1773),"",(VLOOKUP(D1773,Cardápio!$A$2:$B$16,2,0))*E1773)</f>
        <v/>
      </c>
      <c r="H1773" s="7" t="str">
        <f t="shared" si="108"/>
        <v/>
      </c>
      <c r="I1773" s="7" t="str">
        <f>IF(AND(ISBLANK(D1773),ISBLANK(C1773)),"",((VLOOKUP(D1773,Cardápio!$A$2:$C$16,3,0))*E1773)+IF(B1773="iFood",F1773*0.27,(VLOOKUP(VENDAS!C1773,Bairros!$A$2:$B$90,2,0))))</f>
        <v/>
      </c>
      <c r="J1773" s="7" t="str">
        <f t="shared" si="109"/>
        <v/>
      </c>
      <c r="K1773" s="9">
        <f t="shared" ca="1" si="110"/>
        <v>45404.878290162036</v>
      </c>
      <c r="L1773" s="10">
        <f t="shared" ca="1" si="111"/>
        <v>45404.878290046297</v>
      </c>
    </row>
    <row r="1774" spans="6:12" x14ac:dyDescent="0.25">
      <c r="F1774" s="11" t="str">
        <f>IF(ISBLANK(D1774),"",(VLOOKUP(D1774,Cardápio!$A$2:$B$16,2,0))*E1774)</f>
        <v/>
      </c>
      <c r="H1774" s="7" t="str">
        <f t="shared" si="108"/>
        <v/>
      </c>
      <c r="I1774" s="7" t="str">
        <f>IF(AND(ISBLANK(D1774),ISBLANK(C1774)),"",((VLOOKUP(D1774,Cardápio!$A$2:$C$16,3,0))*E1774)+IF(B1774="iFood",F1774*0.27,(VLOOKUP(VENDAS!C1774,Bairros!$A$2:$B$90,2,0))))</f>
        <v/>
      </c>
      <c r="J1774" s="7" t="str">
        <f t="shared" si="109"/>
        <v/>
      </c>
      <c r="K1774" s="9">
        <f t="shared" ca="1" si="110"/>
        <v>45404.878290162036</v>
      </c>
      <c r="L1774" s="10">
        <f t="shared" ca="1" si="111"/>
        <v>45404.878290046297</v>
      </c>
    </row>
    <row r="1775" spans="6:12" x14ac:dyDescent="0.25">
      <c r="F1775" s="11" t="str">
        <f>IF(ISBLANK(D1775),"",(VLOOKUP(D1775,Cardápio!$A$2:$B$16,2,0))*E1775)</f>
        <v/>
      </c>
      <c r="H1775" s="7" t="str">
        <f t="shared" si="108"/>
        <v/>
      </c>
      <c r="I1775" s="7" t="str">
        <f>IF(AND(ISBLANK(D1775),ISBLANK(C1775)),"",((VLOOKUP(D1775,Cardápio!$A$2:$C$16,3,0))*E1775)+IF(B1775="iFood",F1775*0.27,(VLOOKUP(VENDAS!C1775,Bairros!$A$2:$B$90,2,0))))</f>
        <v/>
      </c>
      <c r="J1775" s="7" t="str">
        <f t="shared" si="109"/>
        <v/>
      </c>
      <c r="K1775" s="9">
        <f t="shared" ca="1" si="110"/>
        <v>45404.878290162036</v>
      </c>
      <c r="L1775" s="10">
        <f t="shared" ca="1" si="111"/>
        <v>45404.878290046297</v>
      </c>
    </row>
    <row r="1776" spans="6:12" x14ac:dyDescent="0.25">
      <c r="F1776" s="11" t="str">
        <f>IF(ISBLANK(D1776),"",(VLOOKUP(D1776,Cardápio!$A$2:$B$16,2,0))*E1776)</f>
        <v/>
      </c>
      <c r="H1776" s="7" t="str">
        <f t="shared" si="108"/>
        <v/>
      </c>
      <c r="I1776" s="7" t="str">
        <f>IF(AND(ISBLANK(D1776),ISBLANK(C1776)),"",((VLOOKUP(D1776,Cardápio!$A$2:$C$16,3,0))*E1776)+IF(B1776="iFood",F1776*0.27,(VLOOKUP(VENDAS!C1776,Bairros!$A$2:$B$90,2,0))))</f>
        <v/>
      </c>
      <c r="J1776" s="7" t="str">
        <f t="shared" si="109"/>
        <v/>
      </c>
      <c r="K1776" s="9">
        <f t="shared" ca="1" si="110"/>
        <v>45404.878290162036</v>
      </c>
      <c r="L1776" s="10">
        <f t="shared" ca="1" si="111"/>
        <v>45404.878290046297</v>
      </c>
    </row>
    <row r="1777" spans="6:12" x14ac:dyDescent="0.25">
      <c r="F1777" s="11" t="str">
        <f>IF(ISBLANK(D1777),"",(VLOOKUP(D1777,Cardápio!$A$2:$B$16,2,0))*E1777)</f>
        <v/>
      </c>
      <c r="H1777" s="7" t="str">
        <f t="shared" si="108"/>
        <v/>
      </c>
      <c r="I1777" s="7" t="str">
        <f>IF(AND(ISBLANK(D1777),ISBLANK(C1777)),"",((VLOOKUP(D1777,Cardápio!$A$2:$C$16,3,0))*E1777)+IF(B1777="iFood",F1777*0.27,(VLOOKUP(VENDAS!C1777,Bairros!$A$2:$B$90,2,0))))</f>
        <v/>
      </c>
      <c r="J1777" s="7" t="str">
        <f t="shared" si="109"/>
        <v/>
      </c>
      <c r="K1777" s="9">
        <f t="shared" ca="1" si="110"/>
        <v>45404.878290162036</v>
      </c>
      <c r="L1777" s="10">
        <f t="shared" ca="1" si="111"/>
        <v>45404.878290046297</v>
      </c>
    </row>
    <row r="1778" spans="6:12" x14ac:dyDescent="0.25">
      <c r="F1778" s="11" t="str">
        <f>IF(ISBLANK(D1778),"",(VLOOKUP(D1778,Cardápio!$A$2:$B$16,2,0))*E1778)</f>
        <v/>
      </c>
      <c r="H1778" s="7" t="str">
        <f t="shared" si="108"/>
        <v/>
      </c>
      <c r="I1778" s="7" t="str">
        <f>IF(AND(ISBLANK(D1778),ISBLANK(C1778)),"",((VLOOKUP(D1778,Cardápio!$A$2:$C$16,3,0))*E1778)+IF(B1778="iFood",F1778*0.27,(VLOOKUP(VENDAS!C1778,Bairros!$A$2:$B$90,2,0))))</f>
        <v/>
      </c>
      <c r="J1778" s="7" t="str">
        <f t="shared" si="109"/>
        <v/>
      </c>
      <c r="K1778" s="9">
        <f t="shared" ca="1" si="110"/>
        <v>45404.878290162036</v>
      </c>
      <c r="L1778" s="10">
        <f t="shared" ca="1" si="111"/>
        <v>45404.878290046297</v>
      </c>
    </row>
    <row r="1779" spans="6:12" x14ac:dyDescent="0.25">
      <c r="F1779" s="11" t="str">
        <f>IF(ISBLANK(D1779),"",(VLOOKUP(D1779,Cardápio!$A$2:$B$16,2,0))*E1779)</f>
        <v/>
      </c>
      <c r="H1779" s="7" t="str">
        <f t="shared" si="108"/>
        <v/>
      </c>
      <c r="I1779" s="7" t="str">
        <f>IF(AND(ISBLANK(D1779),ISBLANK(C1779)),"",((VLOOKUP(D1779,Cardápio!$A$2:$C$16,3,0))*E1779)+IF(B1779="iFood",F1779*0.27,(VLOOKUP(VENDAS!C1779,Bairros!$A$2:$B$90,2,0))))</f>
        <v/>
      </c>
      <c r="J1779" s="7" t="str">
        <f t="shared" si="109"/>
        <v/>
      </c>
      <c r="K1779" s="9">
        <f t="shared" ca="1" si="110"/>
        <v>45404.878290162036</v>
      </c>
      <c r="L1779" s="10">
        <f t="shared" ca="1" si="111"/>
        <v>45404.878290046297</v>
      </c>
    </row>
    <row r="1780" spans="6:12" x14ac:dyDescent="0.25">
      <c r="F1780" s="11" t="str">
        <f>IF(ISBLANK(D1780),"",(VLOOKUP(D1780,Cardápio!$A$2:$B$16,2,0))*E1780)</f>
        <v/>
      </c>
      <c r="H1780" s="7" t="str">
        <f t="shared" si="108"/>
        <v/>
      </c>
      <c r="I1780" s="7" t="str">
        <f>IF(AND(ISBLANK(D1780),ISBLANK(C1780)),"",((VLOOKUP(D1780,Cardápio!$A$2:$C$16,3,0))*E1780)+IF(B1780="iFood",F1780*0.27,(VLOOKUP(VENDAS!C1780,Bairros!$A$2:$B$90,2,0))))</f>
        <v/>
      </c>
      <c r="J1780" s="7" t="str">
        <f t="shared" si="109"/>
        <v/>
      </c>
      <c r="K1780" s="9">
        <f t="shared" ca="1" si="110"/>
        <v>45404.878290162036</v>
      </c>
      <c r="L1780" s="10">
        <f t="shared" ca="1" si="111"/>
        <v>45404.878290046297</v>
      </c>
    </row>
    <row r="1781" spans="6:12" x14ac:dyDescent="0.25">
      <c r="F1781" s="11" t="str">
        <f>IF(ISBLANK(D1781),"",(VLOOKUP(D1781,Cardápio!$A$2:$B$16,2,0))*E1781)</f>
        <v/>
      </c>
      <c r="H1781" s="7" t="str">
        <f t="shared" ref="H1781:H1844" si="112">IF(ISBLANK(D1781),"",F1781-G1781)</f>
        <v/>
      </c>
      <c r="I1781" s="7" t="str">
        <f>IF(AND(ISBLANK(D1781),ISBLANK(C1781)),"",((VLOOKUP(D1781,Cardápio!$A$2:$C$16,3,0))*E1781)+IF(B1781="iFood",F1781*0.27,(VLOOKUP(VENDAS!C1781,Bairros!$A$2:$B$90,2,0))))</f>
        <v/>
      </c>
      <c r="J1781" s="7" t="str">
        <f t="shared" ref="J1781:J1844" si="113">IF(OR(AND(ISBLANK(H1781),ISBLANK(I1781)),(AND(H1781="",I1781=""))),"",H1781-I1781)</f>
        <v/>
      </c>
      <c r="K1781" s="9">
        <f t="shared" ref="K1781:K1844" ca="1" si="114">IF(D1781&lt;&gt;"",K1781,NOW())</f>
        <v>45404.878290162036</v>
      </c>
      <c r="L1781" s="10">
        <f t="shared" ref="L1781:L1844" ca="1" si="115">IF(D1781&lt;&gt;"",L1781,NOW())</f>
        <v>45404.878290046297</v>
      </c>
    </row>
    <row r="1782" spans="6:12" x14ac:dyDescent="0.25">
      <c r="F1782" s="11" t="str">
        <f>IF(ISBLANK(D1782),"",(VLOOKUP(D1782,Cardápio!$A$2:$B$16,2,0))*E1782)</f>
        <v/>
      </c>
      <c r="H1782" s="7" t="str">
        <f t="shared" si="112"/>
        <v/>
      </c>
      <c r="I1782" s="7" t="str">
        <f>IF(AND(ISBLANK(D1782),ISBLANK(C1782)),"",((VLOOKUP(D1782,Cardápio!$A$2:$C$16,3,0))*E1782)+IF(B1782="iFood",F1782*0.27,(VLOOKUP(VENDAS!C1782,Bairros!$A$2:$B$90,2,0))))</f>
        <v/>
      </c>
      <c r="J1782" s="7" t="str">
        <f t="shared" si="113"/>
        <v/>
      </c>
      <c r="K1782" s="9">
        <f t="shared" ca="1" si="114"/>
        <v>45404.878290162036</v>
      </c>
      <c r="L1782" s="10">
        <f t="shared" ca="1" si="115"/>
        <v>45404.878290046297</v>
      </c>
    </row>
    <row r="1783" spans="6:12" x14ac:dyDescent="0.25">
      <c r="F1783" s="11" t="str">
        <f>IF(ISBLANK(D1783),"",(VLOOKUP(D1783,Cardápio!$A$2:$B$16,2,0))*E1783)</f>
        <v/>
      </c>
      <c r="H1783" s="7" t="str">
        <f t="shared" si="112"/>
        <v/>
      </c>
      <c r="I1783" s="7" t="str">
        <f>IF(AND(ISBLANK(D1783),ISBLANK(C1783)),"",((VLOOKUP(D1783,Cardápio!$A$2:$C$16,3,0))*E1783)+IF(B1783="iFood",F1783*0.27,(VLOOKUP(VENDAS!C1783,Bairros!$A$2:$B$90,2,0))))</f>
        <v/>
      </c>
      <c r="J1783" s="7" t="str">
        <f t="shared" si="113"/>
        <v/>
      </c>
      <c r="K1783" s="9">
        <f t="shared" ca="1" si="114"/>
        <v>45404.878290162036</v>
      </c>
      <c r="L1783" s="10">
        <f t="shared" ca="1" si="115"/>
        <v>45404.878290046297</v>
      </c>
    </row>
    <row r="1784" spans="6:12" x14ac:dyDescent="0.25">
      <c r="F1784" s="11" t="str">
        <f>IF(ISBLANK(D1784),"",(VLOOKUP(D1784,Cardápio!$A$2:$B$16,2,0))*E1784)</f>
        <v/>
      </c>
      <c r="H1784" s="7" t="str">
        <f t="shared" si="112"/>
        <v/>
      </c>
      <c r="I1784" s="7" t="str">
        <f>IF(AND(ISBLANK(D1784),ISBLANK(C1784)),"",((VLOOKUP(D1784,Cardápio!$A$2:$C$16,3,0))*E1784)+IF(B1784="iFood",F1784*0.27,(VLOOKUP(VENDAS!C1784,Bairros!$A$2:$B$90,2,0))))</f>
        <v/>
      </c>
      <c r="J1784" s="7" t="str">
        <f t="shared" si="113"/>
        <v/>
      </c>
      <c r="K1784" s="9">
        <f t="shared" ca="1" si="114"/>
        <v>45404.878290162036</v>
      </c>
      <c r="L1784" s="10">
        <f t="shared" ca="1" si="115"/>
        <v>45404.878290046297</v>
      </c>
    </row>
    <row r="1785" spans="6:12" x14ac:dyDescent="0.25">
      <c r="F1785" s="11" t="str">
        <f>IF(ISBLANK(D1785),"",(VLOOKUP(D1785,Cardápio!$A$2:$B$16,2,0))*E1785)</f>
        <v/>
      </c>
      <c r="H1785" s="7" t="str">
        <f t="shared" si="112"/>
        <v/>
      </c>
      <c r="I1785" s="7" t="str">
        <f>IF(AND(ISBLANK(D1785),ISBLANK(C1785)),"",((VLOOKUP(D1785,Cardápio!$A$2:$C$16,3,0))*E1785)+IF(B1785="iFood",F1785*0.27,(VLOOKUP(VENDAS!C1785,Bairros!$A$2:$B$90,2,0))))</f>
        <v/>
      </c>
      <c r="J1785" s="7" t="str">
        <f t="shared" si="113"/>
        <v/>
      </c>
      <c r="K1785" s="9">
        <f t="shared" ca="1" si="114"/>
        <v>45404.878290162036</v>
      </c>
      <c r="L1785" s="10">
        <f t="shared" ca="1" si="115"/>
        <v>45404.878290046297</v>
      </c>
    </row>
    <row r="1786" spans="6:12" x14ac:dyDescent="0.25">
      <c r="F1786" s="11" t="str">
        <f>IF(ISBLANK(D1786),"",(VLOOKUP(D1786,Cardápio!$A$2:$B$16,2,0))*E1786)</f>
        <v/>
      </c>
      <c r="H1786" s="7" t="str">
        <f t="shared" si="112"/>
        <v/>
      </c>
      <c r="I1786" s="7" t="str">
        <f>IF(AND(ISBLANK(D1786),ISBLANK(C1786)),"",((VLOOKUP(D1786,Cardápio!$A$2:$C$16,3,0))*E1786)+IF(B1786="iFood",F1786*0.27,(VLOOKUP(VENDAS!C1786,Bairros!$A$2:$B$90,2,0))))</f>
        <v/>
      </c>
      <c r="J1786" s="7" t="str">
        <f t="shared" si="113"/>
        <v/>
      </c>
      <c r="K1786" s="9">
        <f t="shared" ca="1" si="114"/>
        <v>45404.878290162036</v>
      </c>
      <c r="L1786" s="10">
        <f t="shared" ca="1" si="115"/>
        <v>45404.878290046297</v>
      </c>
    </row>
    <row r="1787" spans="6:12" x14ac:dyDescent="0.25">
      <c r="F1787" s="11" t="str">
        <f>IF(ISBLANK(D1787),"",(VLOOKUP(D1787,Cardápio!$A$2:$B$16,2,0))*E1787)</f>
        <v/>
      </c>
      <c r="H1787" s="7" t="str">
        <f t="shared" si="112"/>
        <v/>
      </c>
      <c r="I1787" s="7" t="str">
        <f>IF(AND(ISBLANK(D1787),ISBLANK(C1787)),"",((VLOOKUP(D1787,Cardápio!$A$2:$C$16,3,0))*E1787)+IF(B1787="iFood",F1787*0.27,(VLOOKUP(VENDAS!C1787,Bairros!$A$2:$B$90,2,0))))</f>
        <v/>
      </c>
      <c r="J1787" s="7" t="str">
        <f t="shared" si="113"/>
        <v/>
      </c>
      <c r="K1787" s="9">
        <f t="shared" ca="1" si="114"/>
        <v>45404.878290162036</v>
      </c>
      <c r="L1787" s="10">
        <f t="shared" ca="1" si="115"/>
        <v>45404.878290046297</v>
      </c>
    </row>
    <row r="1788" spans="6:12" x14ac:dyDescent="0.25">
      <c r="F1788" s="11" t="str">
        <f>IF(ISBLANK(D1788),"",(VLOOKUP(D1788,Cardápio!$A$2:$B$16,2,0))*E1788)</f>
        <v/>
      </c>
      <c r="H1788" s="7" t="str">
        <f t="shared" si="112"/>
        <v/>
      </c>
      <c r="I1788" s="7" t="str">
        <f>IF(AND(ISBLANK(D1788),ISBLANK(C1788)),"",((VLOOKUP(D1788,Cardápio!$A$2:$C$16,3,0))*E1788)+IF(B1788="iFood",F1788*0.27,(VLOOKUP(VENDAS!C1788,Bairros!$A$2:$B$90,2,0))))</f>
        <v/>
      </c>
      <c r="J1788" s="7" t="str">
        <f t="shared" si="113"/>
        <v/>
      </c>
      <c r="K1788" s="9">
        <f t="shared" ca="1" si="114"/>
        <v>45404.878290162036</v>
      </c>
      <c r="L1788" s="10">
        <f t="shared" ca="1" si="115"/>
        <v>45404.878290046297</v>
      </c>
    </row>
    <row r="1789" spans="6:12" x14ac:dyDescent="0.25">
      <c r="F1789" s="11" t="str">
        <f>IF(ISBLANK(D1789),"",(VLOOKUP(D1789,Cardápio!$A$2:$B$16,2,0))*E1789)</f>
        <v/>
      </c>
      <c r="H1789" s="7" t="str">
        <f t="shared" si="112"/>
        <v/>
      </c>
      <c r="I1789" s="7" t="str">
        <f>IF(AND(ISBLANK(D1789),ISBLANK(C1789)),"",((VLOOKUP(D1789,Cardápio!$A$2:$C$16,3,0))*E1789)+IF(B1789="iFood",F1789*0.27,(VLOOKUP(VENDAS!C1789,Bairros!$A$2:$B$90,2,0))))</f>
        <v/>
      </c>
      <c r="J1789" s="7" t="str">
        <f t="shared" si="113"/>
        <v/>
      </c>
      <c r="K1789" s="9">
        <f t="shared" ca="1" si="114"/>
        <v>45404.878290162036</v>
      </c>
      <c r="L1789" s="10">
        <f t="shared" ca="1" si="115"/>
        <v>45404.878290046297</v>
      </c>
    </row>
    <row r="1790" spans="6:12" x14ac:dyDescent="0.25">
      <c r="F1790" s="11" t="str">
        <f>IF(ISBLANK(D1790),"",(VLOOKUP(D1790,Cardápio!$A$2:$B$16,2,0))*E1790)</f>
        <v/>
      </c>
      <c r="H1790" s="7" t="str">
        <f t="shared" si="112"/>
        <v/>
      </c>
      <c r="I1790" s="7" t="str">
        <f>IF(AND(ISBLANK(D1790),ISBLANK(C1790)),"",((VLOOKUP(D1790,Cardápio!$A$2:$C$16,3,0))*E1790)+IF(B1790="iFood",F1790*0.27,(VLOOKUP(VENDAS!C1790,Bairros!$A$2:$B$90,2,0))))</f>
        <v/>
      </c>
      <c r="J1790" s="7" t="str">
        <f t="shared" si="113"/>
        <v/>
      </c>
      <c r="K1790" s="9">
        <f t="shared" ca="1" si="114"/>
        <v>45404.878290162036</v>
      </c>
      <c r="L1790" s="10">
        <f t="shared" ca="1" si="115"/>
        <v>45404.878290046297</v>
      </c>
    </row>
    <row r="1791" spans="6:12" x14ac:dyDescent="0.25">
      <c r="F1791" s="11" t="str">
        <f>IF(ISBLANK(D1791),"",(VLOOKUP(D1791,Cardápio!$A$2:$B$16,2,0))*E1791)</f>
        <v/>
      </c>
      <c r="H1791" s="7" t="str">
        <f t="shared" si="112"/>
        <v/>
      </c>
      <c r="I1791" s="7" t="str">
        <f>IF(AND(ISBLANK(D1791),ISBLANK(C1791)),"",((VLOOKUP(D1791,Cardápio!$A$2:$C$16,3,0))*E1791)+IF(B1791="iFood",F1791*0.27,(VLOOKUP(VENDAS!C1791,Bairros!$A$2:$B$90,2,0))))</f>
        <v/>
      </c>
      <c r="J1791" s="7" t="str">
        <f t="shared" si="113"/>
        <v/>
      </c>
      <c r="K1791" s="9">
        <f t="shared" ca="1" si="114"/>
        <v>45404.878290162036</v>
      </c>
      <c r="L1791" s="10">
        <f t="shared" ca="1" si="115"/>
        <v>45404.878290046297</v>
      </c>
    </row>
    <row r="1792" spans="6:12" x14ac:dyDescent="0.25">
      <c r="F1792" s="11" t="str">
        <f>IF(ISBLANK(D1792),"",(VLOOKUP(D1792,Cardápio!$A$2:$B$16,2,0))*E1792)</f>
        <v/>
      </c>
      <c r="H1792" s="7" t="str">
        <f t="shared" si="112"/>
        <v/>
      </c>
      <c r="I1792" s="7" t="str">
        <f>IF(AND(ISBLANK(D1792),ISBLANK(C1792)),"",((VLOOKUP(D1792,Cardápio!$A$2:$C$16,3,0))*E1792)+IF(B1792="iFood",F1792*0.27,(VLOOKUP(VENDAS!C1792,Bairros!$A$2:$B$90,2,0))))</f>
        <v/>
      </c>
      <c r="J1792" s="7" t="str">
        <f t="shared" si="113"/>
        <v/>
      </c>
      <c r="K1792" s="9">
        <f t="shared" ca="1" si="114"/>
        <v>45404.878290162036</v>
      </c>
      <c r="L1792" s="10">
        <f t="shared" ca="1" si="115"/>
        <v>45404.878290046297</v>
      </c>
    </row>
    <row r="1793" spans="6:12" x14ac:dyDescent="0.25">
      <c r="F1793" s="11" t="str">
        <f>IF(ISBLANK(D1793),"",(VLOOKUP(D1793,Cardápio!$A$2:$B$16,2,0))*E1793)</f>
        <v/>
      </c>
      <c r="H1793" s="7" t="str">
        <f t="shared" si="112"/>
        <v/>
      </c>
      <c r="I1793" s="7" t="str">
        <f>IF(AND(ISBLANK(D1793),ISBLANK(C1793)),"",((VLOOKUP(D1793,Cardápio!$A$2:$C$16,3,0))*E1793)+IF(B1793="iFood",F1793*0.27,(VLOOKUP(VENDAS!C1793,Bairros!$A$2:$B$90,2,0))))</f>
        <v/>
      </c>
      <c r="J1793" s="7" t="str">
        <f t="shared" si="113"/>
        <v/>
      </c>
      <c r="K1793" s="9">
        <f t="shared" ca="1" si="114"/>
        <v>45404.878290162036</v>
      </c>
      <c r="L1793" s="10">
        <f t="shared" ca="1" si="115"/>
        <v>45404.878290046297</v>
      </c>
    </row>
    <row r="1794" spans="6:12" x14ac:dyDescent="0.25">
      <c r="F1794" s="11" t="str">
        <f>IF(ISBLANK(D1794),"",(VLOOKUP(D1794,Cardápio!$A$2:$B$16,2,0))*E1794)</f>
        <v/>
      </c>
      <c r="H1794" s="7" t="str">
        <f t="shared" si="112"/>
        <v/>
      </c>
      <c r="I1794" s="7" t="str">
        <f>IF(AND(ISBLANK(D1794),ISBLANK(C1794)),"",((VLOOKUP(D1794,Cardápio!$A$2:$C$16,3,0))*E1794)+IF(B1794="iFood",F1794*0.27,(VLOOKUP(VENDAS!C1794,Bairros!$A$2:$B$90,2,0))))</f>
        <v/>
      </c>
      <c r="J1794" s="7" t="str">
        <f t="shared" si="113"/>
        <v/>
      </c>
      <c r="K1794" s="9">
        <f t="shared" ca="1" si="114"/>
        <v>45404.878290162036</v>
      </c>
      <c r="L1794" s="10">
        <f t="shared" ca="1" si="115"/>
        <v>45404.878290046297</v>
      </c>
    </row>
    <row r="1795" spans="6:12" x14ac:dyDescent="0.25">
      <c r="F1795" s="11" t="str">
        <f>IF(ISBLANK(D1795),"",(VLOOKUP(D1795,Cardápio!$A$2:$B$16,2,0))*E1795)</f>
        <v/>
      </c>
      <c r="H1795" s="7" t="str">
        <f t="shared" si="112"/>
        <v/>
      </c>
      <c r="I1795" s="7" t="str">
        <f>IF(AND(ISBLANK(D1795),ISBLANK(C1795)),"",((VLOOKUP(D1795,Cardápio!$A$2:$C$16,3,0))*E1795)+IF(B1795="iFood",F1795*0.27,(VLOOKUP(VENDAS!C1795,Bairros!$A$2:$B$90,2,0))))</f>
        <v/>
      </c>
      <c r="J1795" s="7" t="str">
        <f t="shared" si="113"/>
        <v/>
      </c>
      <c r="K1795" s="9">
        <f t="shared" ca="1" si="114"/>
        <v>45404.878290162036</v>
      </c>
      <c r="L1795" s="10">
        <f t="shared" ca="1" si="115"/>
        <v>45404.878290046297</v>
      </c>
    </row>
    <row r="1796" spans="6:12" x14ac:dyDescent="0.25">
      <c r="F1796" s="11" t="str">
        <f>IF(ISBLANK(D1796),"",(VLOOKUP(D1796,Cardápio!$A$2:$B$16,2,0))*E1796)</f>
        <v/>
      </c>
      <c r="H1796" s="7" t="str">
        <f t="shared" si="112"/>
        <v/>
      </c>
      <c r="I1796" s="7" t="str">
        <f>IF(AND(ISBLANK(D1796),ISBLANK(C1796)),"",((VLOOKUP(D1796,Cardápio!$A$2:$C$16,3,0))*E1796)+IF(B1796="iFood",F1796*0.27,(VLOOKUP(VENDAS!C1796,Bairros!$A$2:$B$90,2,0))))</f>
        <v/>
      </c>
      <c r="J1796" s="7" t="str">
        <f t="shared" si="113"/>
        <v/>
      </c>
      <c r="K1796" s="9">
        <f t="shared" ca="1" si="114"/>
        <v>45404.878290162036</v>
      </c>
      <c r="L1796" s="10">
        <f t="shared" ca="1" si="115"/>
        <v>45404.878290046297</v>
      </c>
    </row>
    <row r="1797" spans="6:12" x14ac:dyDescent="0.25">
      <c r="F1797" s="11" t="str">
        <f>IF(ISBLANK(D1797),"",(VLOOKUP(D1797,Cardápio!$A$2:$B$16,2,0))*E1797)</f>
        <v/>
      </c>
      <c r="H1797" s="7" t="str">
        <f t="shared" si="112"/>
        <v/>
      </c>
      <c r="I1797" s="7" t="str">
        <f>IF(AND(ISBLANK(D1797),ISBLANK(C1797)),"",((VLOOKUP(D1797,Cardápio!$A$2:$C$16,3,0))*E1797)+IF(B1797="iFood",F1797*0.27,(VLOOKUP(VENDAS!C1797,Bairros!$A$2:$B$90,2,0))))</f>
        <v/>
      </c>
      <c r="J1797" s="7" t="str">
        <f t="shared" si="113"/>
        <v/>
      </c>
      <c r="K1797" s="9">
        <f t="shared" ca="1" si="114"/>
        <v>45404.878290162036</v>
      </c>
      <c r="L1797" s="10">
        <f t="shared" ca="1" si="115"/>
        <v>45404.878290046297</v>
      </c>
    </row>
    <row r="1798" spans="6:12" x14ac:dyDescent="0.25">
      <c r="F1798" s="11" t="str">
        <f>IF(ISBLANK(D1798),"",(VLOOKUP(D1798,Cardápio!$A$2:$B$16,2,0))*E1798)</f>
        <v/>
      </c>
      <c r="H1798" s="7" t="str">
        <f t="shared" si="112"/>
        <v/>
      </c>
      <c r="I1798" s="7" t="str">
        <f>IF(AND(ISBLANK(D1798),ISBLANK(C1798)),"",((VLOOKUP(D1798,Cardápio!$A$2:$C$16,3,0))*E1798)+IF(B1798="iFood",F1798*0.27,(VLOOKUP(VENDAS!C1798,Bairros!$A$2:$B$90,2,0))))</f>
        <v/>
      </c>
      <c r="J1798" s="7" t="str">
        <f t="shared" si="113"/>
        <v/>
      </c>
      <c r="K1798" s="9">
        <f t="shared" ca="1" si="114"/>
        <v>45404.878290162036</v>
      </c>
      <c r="L1798" s="10">
        <f t="shared" ca="1" si="115"/>
        <v>45404.878290046297</v>
      </c>
    </row>
    <row r="1799" spans="6:12" x14ac:dyDescent="0.25">
      <c r="F1799" s="11" t="str">
        <f>IF(ISBLANK(D1799),"",(VLOOKUP(D1799,Cardápio!$A$2:$B$16,2,0))*E1799)</f>
        <v/>
      </c>
      <c r="H1799" s="7" t="str">
        <f t="shared" si="112"/>
        <v/>
      </c>
      <c r="I1799" s="7" t="str">
        <f>IF(AND(ISBLANK(D1799),ISBLANK(C1799)),"",((VLOOKUP(D1799,Cardápio!$A$2:$C$16,3,0))*E1799)+IF(B1799="iFood",F1799*0.27,(VLOOKUP(VENDAS!C1799,Bairros!$A$2:$B$90,2,0))))</f>
        <v/>
      </c>
      <c r="J1799" s="7" t="str">
        <f t="shared" si="113"/>
        <v/>
      </c>
      <c r="K1799" s="9">
        <f t="shared" ca="1" si="114"/>
        <v>45404.878290162036</v>
      </c>
      <c r="L1799" s="10">
        <f t="shared" ca="1" si="115"/>
        <v>45404.878290046297</v>
      </c>
    </row>
    <row r="1800" spans="6:12" x14ac:dyDescent="0.25">
      <c r="F1800" s="11" t="str">
        <f>IF(ISBLANK(D1800),"",(VLOOKUP(D1800,Cardápio!$A$2:$B$16,2,0))*E1800)</f>
        <v/>
      </c>
      <c r="H1800" s="7" t="str">
        <f t="shared" si="112"/>
        <v/>
      </c>
      <c r="I1800" s="7" t="str">
        <f>IF(AND(ISBLANK(D1800),ISBLANK(C1800)),"",((VLOOKUP(D1800,Cardápio!$A$2:$C$16,3,0))*E1800)+IF(B1800="iFood",F1800*0.27,(VLOOKUP(VENDAS!C1800,Bairros!$A$2:$B$90,2,0))))</f>
        <v/>
      </c>
      <c r="J1800" s="7" t="str">
        <f t="shared" si="113"/>
        <v/>
      </c>
      <c r="K1800" s="9">
        <f t="shared" ca="1" si="114"/>
        <v>45404.878290162036</v>
      </c>
      <c r="L1800" s="10">
        <f t="shared" ca="1" si="115"/>
        <v>45404.878290046297</v>
      </c>
    </row>
    <row r="1801" spans="6:12" x14ac:dyDescent="0.25">
      <c r="F1801" s="11" t="str">
        <f>IF(ISBLANK(D1801),"",(VLOOKUP(D1801,Cardápio!$A$2:$B$16,2,0))*E1801)</f>
        <v/>
      </c>
      <c r="H1801" s="7" t="str">
        <f t="shared" si="112"/>
        <v/>
      </c>
      <c r="I1801" s="7" t="str">
        <f>IF(AND(ISBLANK(D1801),ISBLANK(C1801)),"",((VLOOKUP(D1801,Cardápio!$A$2:$C$16,3,0))*E1801)+IF(B1801="iFood",F1801*0.27,(VLOOKUP(VENDAS!C1801,Bairros!$A$2:$B$90,2,0))))</f>
        <v/>
      </c>
      <c r="J1801" s="7" t="str">
        <f t="shared" si="113"/>
        <v/>
      </c>
      <c r="K1801" s="9">
        <f t="shared" ca="1" si="114"/>
        <v>45404.878290162036</v>
      </c>
      <c r="L1801" s="10">
        <f t="shared" ca="1" si="115"/>
        <v>45404.878290046297</v>
      </c>
    </row>
    <row r="1802" spans="6:12" x14ac:dyDescent="0.25">
      <c r="F1802" s="11" t="str">
        <f>IF(ISBLANK(D1802),"",(VLOOKUP(D1802,Cardápio!$A$2:$B$16,2,0))*E1802)</f>
        <v/>
      </c>
      <c r="H1802" s="7" t="str">
        <f t="shared" si="112"/>
        <v/>
      </c>
      <c r="I1802" s="7" t="str">
        <f>IF(AND(ISBLANK(D1802),ISBLANK(C1802)),"",((VLOOKUP(D1802,Cardápio!$A$2:$C$16,3,0))*E1802)+IF(B1802="iFood",F1802*0.27,(VLOOKUP(VENDAS!C1802,Bairros!$A$2:$B$90,2,0))))</f>
        <v/>
      </c>
      <c r="J1802" s="7" t="str">
        <f t="shared" si="113"/>
        <v/>
      </c>
      <c r="K1802" s="9">
        <f t="shared" ca="1" si="114"/>
        <v>45404.878290162036</v>
      </c>
      <c r="L1802" s="10">
        <f t="shared" ca="1" si="115"/>
        <v>45404.878290046297</v>
      </c>
    </row>
    <row r="1803" spans="6:12" x14ac:dyDescent="0.25">
      <c r="F1803" s="11" t="str">
        <f>IF(ISBLANK(D1803),"",(VLOOKUP(D1803,Cardápio!$A$2:$B$16,2,0))*E1803)</f>
        <v/>
      </c>
      <c r="H1803" s="7" t="str">
        <f t="shared" si="112"/>
        <v/>
      </c>
      <c r="I1803" s="7" t="str">
        <f>IF(AND(ISBLANK(D1803),ISBLANK(C1803)),"",((VLOOKUP(D1803,Cardápio!$A$2:$C$16,3,0))*E1803)+IF(B1803="iFood",F1803*0.27,(VLOOKUP(VENDAS!C1803,Bairros!$A$2:$B$90,2,0))))</f>
        <v/>
      </c>
      <c r="J1803" s="7" t="str">
        <f t="shared" si="113"/>
        <v/>
      </c>
      <c r="K1803" s="9">
        <f t="shared" ca="1" si="114"/>
        <v>45404.878290162036</v>
      </c>
      <c r="L1803" s="10">
        <f t="shared" ca="1" si="115"/>
        <v>45404.878290046297</v>
      </c>
    </row>
    <row r="1804" spans="6:12" x14ac:dyDescent="0.25">
      <c r="F1804" s="11" t="str">
        <f>IF(ISBLANK(D1804),"",(VLOOKUP(D1804,Cardápio!$A$2:$B$16,2,0))*E1804)</f>
        <v/>
      </c>
      <c r="H1804" s="7" t="str">
        <f t="shared" si="112"/>
        <v/>
      </c>
      <c r="I1804" s="7" t="str">
        <f>IF(AND(ISBLANK(D1804),ISBLANK(C1804)),"",((VLOOKUP(D1804,Cardápio!$A$2:$C$16,3,0))*E1804)+IF(B1804="iFood",F1804*0.27,(VLOOKUP(VENDAS!C1804,Bairros!$A$2:$B$90,2,0))))</f>
        <v/>
      </c>
      <c r="J1804" s="7" t="str">
        <f t="shared" si="113"/>
        <v/>
      </c>
      <c r="K1804" s="9">
        <f t="shared" ca="1" si="114"/>
        <v>45404.878290162036</v>
      </c>
      <c r="L1804" s="10">
        <f t="shared" ca="1" si="115"/>
        <v>45404.878290046297</v>
      </c>
    </row>
    <row r="1805" spans="6:12" x14ac:dyDescent="0.25">
      <c r="F1805" s="11" t="str">
        <f>IF(ISBLANK(D1805),"",(VLOOKUP(D1805,Cardápio!$A$2:$B$16,2,0))*E1805)</f>
        <v/>
      </c>
      <c r="H1805" s="7" t="str">
        <f t="shared" si="112"/>
        <v/>
      </c>
      <c r="I1805" s="7" t="str">
        <f>IF(AND(ISBLANK(D1805),ISBLANK(C1805)),"",((VLOOKUP(D1805,Cardápio!$A$2:$C$16,3,0))*E1805)+IF(B1805="iFood",F1805*0.27,(VLOOKUP(VENDAS!C1805,Bairros!$A$2:$B$90,2,0))))</f>
        <v/>
      </c>
      <c r="J1805" s="7" t="str">
        <f t="shared" si="113"/>
        <v/>
      </c>
      <c r="K1805" s="9">
        <f t="shared" ca="1" si="114"/>
        <v>45404.878290162036</v>
      </c>
      <c r="L1805" s="10">
        <f t="shared" ca="1" si="115"/>
        <v>45404.878290046297</v>
      </c>
    </row>
    <row r="1806" spans="6:12" x14ac:dyDescent="0.25">
      <c r="F1806" s="11" t="str">
        <f>IF(ISBLANK(D1806),"",(VLOOKUP(D1806,Cardápio!$A$2:$B$16,2,0))*E1806)</f>
        <v/>
      </c>
      <c r="H1806" s="7" t="str">
        <f t="shared" si="112"/>
        <v/>
      </c>
      <c r="I1806" s="7" t="str">
        <f>IF(AND(ISBLANK(D1806),ISBLANK(C1806)),"",((VLOOKUP(D1806,Cardápio!$A$2:$C$16,3,0))*E1806)+IF(B1806="iFood",F1806*0.27,(VLOOKUP(VENDAS!C1806,Bairros!$A$2:$B$90,2,0))))</f>
        <v/>
      </c>
      <c r="J1806" s="7" t="str">
        <f t="shared" si="113"/>
        <v/>
      </c>
      <c r="K1806" s="9">
        <f t="shared" ca="1" si="114"/>
        <v>45404.878290162036</v>
      </c>
      <c r="L1806" s="10">
        <f t="shared" ca="1" si="115"/>
        <v>45404.878290046297</v>
      </c>
    </row>
    <row r="1807" spans="6:12" x14ac:dyDescent="0.25">
      <c r="F1807" s="11" t="str">
        <f>IF(ISBLANK(D1807),"",(VLOOKUP(D1807,Cardápio!$A$2:$B$16,2,0))*E1807)</f>
        <v/>
      </c>
      <c r="H1807" s="7" t="str">
        <f t="shared" si="112"/>
        <v/>
      </c>
      <c r="I1807" s="7" t="str">
        <f>IF(AND(ISBLANK(D1807),ISBLANK(C1807)),"",((VLOOKUP(D1807,Cardápio!$A$2:$C$16,3,0))*E1807)+IF(B1807="iFood",F1807*0.27,(VLOOKUP(VENDAS!C1807,Bairros!$A$2:$B$90,2,0))))</f>
        <v/>
      </c>
      <c r="J1807" s="7" t="str">
        <f t="shared" si="113"/>
        <v/>
      </c>
      <c r="K1807" s="9">
        <f t="shared" ca="1" si="114"/>
        <v>45404.878290162036</v>
      </c>
      <c r="L1807" s="10">
        <f t="shared" ca="1" si="115"/>
        <v>45404.878290046297</v>
      </c>
    </row>
    <row r="1808" spans="6:12" x14ac:dyDescent="0.25">
      <c r="F1808" s="11" t="str">
        <f>IF(ISBLANK(D1808),"",(VLOOKUP(D1808,Cardápio!$A$2:$B$16,2,0))*E1808)</f>
        <v/>
      </c>
      <c r="H1808" s="7" t="str">
        <f t="shared" si="112"/>
        <v/>
      </c>
      <c r="I1808" s="7" t="str">
        <f>IF(AND(ISBLANK(D1808),ISBLANK(C1808)),"",((VLOOKUP(D1808,Cardápio!$A$2:$C$16,3,0))*E1808)+IF(B1808="iFood",F1808*0.27,(VLOOKUP(VENDAS!C1808,Bairros!$A$2:$B$90,2,0))))</f>
        <v/>
      </c>
      <c r="J1808" s="7" t="str">
        <f t="shared" si="113"/>
        <v/>
      </c>
      <c r="K1808" s="9">
        <f t="shared" ca="1" si="114"/>
        <v>45404.878290162036</v>
      </c>
      <c r="L1808" s="10">
        <f t="shared" ca="1" si="115"/>
        <v>45404.878290046297</v>
      </c>
    </row>
    <row r="1809" spans="6:12" x14ac:dyDescent="0.25">
      <c r="F1809" s="11" t="str">
        <f>IF(ISBLANK(D1809),"",(VLOOKUP(D1809,Cardápio!$A$2:$B$16,2,0))*E1809)</f>
        <v/>
      </c>
      <c r="H1809" s="7" t="str">
        <f t="shared" si="112"/>
        <v/>
      </c>
      <c r="I1809" s="7" t="str">
        <f>IF(AND(ISBLANK(D1809),ISBLANK(C1809)),"",((VLOOKUP(D1809,Cardápio!$A$2:$C$16,3,0))*E1809)+IF(B1809="iFood",F1809*0.27,(VLOOKUP(VENDAS!C1809,Bairros!$A$2:$B$90,2,0))))</f>
        <v/>
      </c>
      <c r="J1809" s="7" t="str">
        <f t="shared" si="113"/>
        <v/>
      </c>
      <c r="K1809" s="9">
        <f t="shared" ca="1" si="114"/>
        <v>45404.878290162036</v>
      </c>
      <c r="L1809" s="10">
        <f t="shared" ca="1" si="115"/>
        <v>45404.878290046297</v>
      </c>
    </row>
    <row r="1810" spans="6:12" x14ac:dyDescent="0.25">
      <c r="F1810" s="11" t="str">
        <f>IF(ISBLANK(D1810),"",(VLOOKUP(D1810,Cardápio!$A$2:$B$16,2,0))*E1810)</f>
        <v/>
      </c>
      <c r="H1810" s="7" t="str">
        <f t="shared" si="112"/>
        <v/>
      </c>
      <c r="I1810" s="7" t="str">
        <f>IF(AND(ISBLANK(D1810),ISBLANK(C1810)),"",((VLOOKUP(D1810,Cardápio!$A$2:$C$16,3,0))*E1810)+IF(B1810="iFood",F1810*0.27,(VLOOKUP(VENDAS!C1810,Bairros!$A$2:$B$90,2,0))))</f>
        <v/>
      </c>
      <c r="J1810" s="7" t="str">
        <f t="shared" si="113"/>
        <v/>
      </c>
      <c r="K1810" s="9">
        <f t="shared" ca="1" si="114"/>
        <v>45404.878290162036</v>
      </c>
      <c r="L1810" s="10">
        <f t="shared" ca="1" si="115"/>
        <v>45404.878290046297</v>
      </c>
    </row>
    <row r="1811" spans="6:12" x14ac:dyDescent="0.25">
      <c r="F1811" s="11" t="str">
        <f>IF(ISBLANK(D1811),"",(VLOOKUP(D1811,Cardápio!$A$2:$B$16,2,0))*E1811)</f>
        <v/>
      </c>
      <c r="H1811" s="7" t="str">
        <f t="shared" si="112"/>
        <v/>
      </c>
      <c r="I1811" s="7" t="str">
        <f>IF(AND(ISBLANK(D1811),ISBLANK(C1811)),"",((VLOOKUP(D1811,Cardápio!$A$2:$C$16,3,0))*E1811)+IF(B1811="iFood",F1811*0.27,(VLOOKUP(VENDAS!C1811,Bairros!$A$2:$B$90,2,0))))</f>
        <v/>
      </c>
      <c r="J1811" s="7" t="str">
        <f t="shared" si="113"/>
        <v/>
      </c>
      <c r="K1811" s="9">
        <f t="shared" ca="1" si="114"/>
        <v>45404.878290162036</v>
      </c>
      <c r="L1811" s="10">
        <f t="shared" ca="1" si="115"/>
        <v>45404.878290046297</v>
      </c>
    </row>
    <row r="1812" spans="6:12" x14ac:dyDescent="0.25">
      <c r="F1812" s="11" t="str">
        <f>IF(ISBLANK(D1812),"",(VLOOKUP(D1812,Cardápio!$A$2:$B$16,2,0))*E1812)</f>
        <v/>
      </c>
      <c r="H1812" s="7" t="str">
        <f t="shared" si="112"/>
        <v/>
      </c>
      <c r="I1812" s="7" t="str">
        <f>IF(AND(ISBLANK(D1812),ISBLANK(C1812)),"",((VLOOKUP(D1812,Cardápio!$A$2:$C$16,3,0))*E1812)+IF(B1812="iFood",F1812*0.27,(VLOOKUP(VENDAS!C1812,Bairros!$A$2:$B$90,2,0))))</f>
        <v/>
      </c>
      <c r="J1812" s="7" t="str">
        <f t="shared" si="113"/>
        <v/>
      </c>
      <c r="K1812" s="9">
        <f t="shared" ca="1" si="114"/>
        <v>45404.878290162036</v>
      </c>
      <c r="L1812" s="10">
        <f t="shared" ca="1" si="115"/>
        <v>45404.878290046297</v>
      </c>
    </row>
    <row r="1813" spans="6:12" x14ac:dyDescent="0.25">
      <c r="F1813" s="11" t="str">
        <f>IF(ISBLANK(D1813),"",(VLOOKUP(D1813,Cardápio!$A$2:$B$16,2,0))*E1813)</f>
        <v/>
      </c>
      <c r="H1813" s="7" t="str">
        <f t="shared" si="112"/>
        <v/>
      </c>
      <c r="I1813" s="7" t="str">
        <f>IF(AND(ISBLANK(D1813),ISBLANK(C1813)),"",((VLOOKUP(D1813,Cardápio!$A$2:$C$16,3,0))*E1813)+IF(B1813="iFood",F1813*0.27,(VLOOKUP(VENDAS!C1813,Bairros!$A$2:$B$90,2,0))))</f>
        <v/>
      </c>
      <c r="J1813" s="7" t="str">
        <f t="shared" si="113"/>
        <v/>
      </c>
      <c r="K1813" s="9">
        <f t="shared" ca="1" si="114"/>
        <v>45404.878290162036</v>
      </c>
      <c r="L1813" s="10">
        <f t="shared" ca="1" si="115"/>
        <v>45404.878290046297</v>
      </c>
    </row>
    <row r="1814" spans="6:12" x14ac:dyDescent="0.25">
      <c r="F1814" s="11" t="str">
        <f>IF(ISBLANK(D1814),"",(VLOOKUP(D1814,Cardápio!$A$2:$B$16,2,0))*E1814)</f>
        <v/>
      </c>
      <c r="H1814" s="7" t="str">
        <f t="shared" si="112"/>
        <v/>
      </c>
      <c r="I1814" s="7" t="str">
        <f>IF(AND(ISBLANK(D1814),ISBLANK(C1814)),"",((VLOOKUP(D1814,Cardápio!$A$2:$C$16,3,0))*E1814)+IF(B1814="iFood",F1814*0.27,(VLOOKUP(VENDAS!C1814,Bairros!$A$2:$B$90,2,0))))</f>
        <v/>
      </c>
      <c r="J1814" s="7" t="str">
        <f t="shared" si="113"/>
        <v/>
      </c>
      <c r="K1814" s="9">
        <f t="shared" ca="1" si="114"/>
        <v>45404.878290162036</v>
      </c>
      <c r="L1814" s="10">
        <f t="shared" ca="1" si="115"/>
        <v>45404.878290046297</v>
      </c>
    </row>
    <row r="1815" spans="6:12" x14ac:dyDescent="0.25">
      <c r="F1815" s="11" t="str">
        <f>IF(ISBLANK(D1815),"",(VLOOKUP(D1815,Cardápio!$A$2:$B$16,2,0))*E1815)</f>
        <v/>
      </c>
      <c r="H1815" s="7" t="str">
        <f t="shared" si="112"/>
        <v/>
      </c>
      <c r="I1815" s="7" t="str">
        <f>IF(AND(ISBLANK(D1815),ISBLANK(C1815)),"",((VLOOKUP(D1815,Cardápio!$A$2:$C$16,3,0))*E1815)+IF(B1815="iFood",F1815*0.27,(VLOOKUP(VENDAS!C1815,Bairros!$A$2:$B$90,2,0))))</f>
        <v/>
      </c>
      <c r="J1815" s="7" t="str">
        <f t="shared" si="113"/>
        <v/>
      </c>
      <c r="K1815" s="9">
        <f t="shared" ca="1" si="114"/>
        <v>45404.878290162036</v>
      </c>
      <c r="L1815" s="10">
        <f t="shared" ca="1" si="115"/>
        <v>45404.878290046297</v>
      </c>
    </row>
    <row r="1816" spans="6:12" x14ac:dyDescent="0.25">
      <c r="F1816" s="11" t="str">
        <f>IF(ISBLANK(D1816),"",(VLOOKUP(D1816,Cardápio!$A$2:$B$16,2,0))*E1816)</f>
        <v/>
      </c>
      <c r="H1816" s="7" t="str">
        <f t="shared" si="112"/>
        <v/>
      </c>
      <c r="I1816" s="7" t="str">
        <f>IF(AND(ISBLANK(D1816),ISBLANK(C1816)),"",((VLOOKUP(D1816,Cardápio!$A$2:$C$16,3,0))*E1816)+IF(B1816="iFood",F1816*0.27,(VLOOKUP(VENDAS!C1816,Bairros!$A$2:$B$90,2,0))))</f>
        <v/>
      </c>
      <c r="J1816" s="7" t="str">
        <f t="shared" si="113"/>
        <v/>
      </c>
      <c r="K1816" s="9">
        <f t="shared" ca="1" si="114"/>
        <v>45404.878290162036</v>
      </c>
      <c r="L1816" s="10">
        <f t="shared" ca="1" si="115"/>
        <v>45404.878290046297</v>
      </c>
    </row>
    <row r="1817" spans="6:12" x14ac:dyDescent="0.25">
      <c r="F1817" s="11" t="str">
        <f>IF(ISBLANK(D1817),"",(VLOOKUP(D1817,Cardápio!$A$2:$B$16,2,0))*E1817)</f>
        <v/>
      </c>
      <c r="H1817" s="7" t="str">
        <f t="shared" si="112"/>
        <v/>
      </c>
      <c r="I1817" s="7" t="str">
        <f>IF(AND(ISBLANK(D1817),ISBLANK(C1817)),"",((VLOOKUP(D1817,Cardápio!$A$2:$C$16,3,0))*E1817)+IF(B1817="iFood",F1817*0.27,(VLOOKUP(VENDAS!C1817,Bairros!$A$2:$B$90,2,0))))</f>
        <v/>
      </c>
      <c r="J1817" s="7" t="str">
        <f t="shared" si="113"/>
        <v/>
      </c>
      <c r="K1817" s="9">
        <f t="shared" ca="1" si="114"/>
        <v>45404.878290162036</v>
      </c>
      <c r="L1817" s="10">
        <f t="shared" ca="1" si="115"/>
        <v>45404.878290046297</v>
      </c>
    </row>
    <row r="1818" spans="6:12" x14ac:dyDescent="0.25">
      <c r="F1818" s="11" t="str">
        <f>IF(ISBLANK(D1818),"",(VLOOKUP(D1818,Cardápio!$A$2:$B$16,2,0))*E1818)</f>
        <v/>
      </c>
      <c r="H1818" s="7" t="str">
        <f t="shared" si="112"/>
        <v/>
      </c>
      <c r="I1818" s="7" t="str">
        <f>IF(AND(ISBLANK(D1818),ISBLANK(C1818)),"",((VLOOKUP(D1818,Cardápio!$A$2:$C$16,3,0))*E1818)+IF(B1818="iFood",F1818*0.27,(VLOOKUP(VENDAS!C1818,Bairros!$A$2:$B$90,2,0))))</f>
        <v/>
      </c>
      <c r="J1818" s="7" t="str">
        <f t="shared" si="113"/>
        <v/>
      </c>
      <c r="K1818" s="9">
        <f t="shared" ca="1" si="114"/>
        <v>45404.878290162036</v>
      </c>
      <c r="L1818" s="10">
        <f t="shared" ca="1" si="115"/>
        <v>45404.878290046297</v>
      </c>
    </row>
    <row r="1819" spans="6:12" x14ac:dyDescent="0.25">
      <c r="F1819" s="11" t="str">
        <f>IF(ISBLANK(D1819),"",(VLOOKUP(D1819,Cardápio!$A$2:$B$16,2,0))*E1819)</f>
        <v/>
      </c>
      <c r="H1819" s="7" t="str">
        <f t="shared" si="112"/>
        <v/>
      </c>
      <c r="I1819" s="7" t="str">
        <f>IF(AND(ISBLANK(D1819),ISBLANK(C1819)),"",((VLOOKUP(D1819,Cardápio!$A$2:$C$16,3,0))*E1819)+IF(B1819="iFood",F1819*0.27,(VLOOKUP(VENDAS!C1819,Bairros!$A$2:$B$90,2,0))))</f>
        <v/>
      </c>
      <c r="J1819" s="7" t="str">
        <f t="shared" si="113"/>
        <v/>
      </c>
      <c r="K1819" s="9">
        <f t="shared" ca="1" si="114"/>
        <v>45404.878290162036</v>
      </c>
      <c r="L1819" s="10">
        <f t="shared" ca="1" si="115"/>
        <v>45404.878290046297</v>
      </c>
    </row>
    <row r="1820" spans="6:12" x14ac:dyDescent="0.25">
      <c r="F1820" s="11" t="str">
        <f>IF(ISBLANK(D1820),"",(VLOOKUP(D1820,Cardápio!$A$2:$B$16,2,0))*E1820)</f>
        <v/>
      </c>
      <c r="H1820" s="7" t="str">
        <f t="shared" si="112"/>
        <v/>
      </c>
      <c r="I1820" s="7" t="str">
        <f>IF(AND(ISBLANK(D1820),ISBLANK(C1820)),"",((VLOOKUP(D1820,Cardápio!$A$2:$C$16,3,0))*E1820)+IF(B1820="iFood",F1820*0.27,(VLOOKUP(VENDAS!C1820,Bairros!$A$2:$B$90,2,0))))</f>
        <v/>
      </c>
      <c r="J1820" s="7" t="str">
        <f t="shared" si="113"/>
        <v/>
      </c>
      <c r="K1820" s="9">
        <f t="shared" ca="1" si="114"/>
        <v>45404.878290162036</v>
      </c>
      <c r="L1820" s="10">
        <f t="shared" ca="1" si="115"/>
        <v>45404.878290046297</v>
      </c>
    </row>
    <row r="1821" spans="6:12" x14ac:dyDescent="0.25">
      <c r="F1821" s="11" t="str">
        <f>IF(ISBLANK(D1821),"",(VLOOKUP(D1821,Cardápio!$A$2:$B$16,2,0))*E1821)</f>
        <v/>
      </c>
      <c r="H1821" s="7" t="str">
        <f t="shared" si="112"/>
        <v/>
      </c>
      <c r="I1821" s="7" t="str">
        <f>IF(AND(ISBLANK(D1821),ISBLANK(C1821)),"",((VLOOKUP(D1821,Cardápio!$A$2:$C$16,3,0))*E1821)+IF(B1821="iFood",F1821*0.27,(VLOOKUP(VENDAS!C1821,Bairros!$A$2:$B$90,2,0))))</f>
        <v/>
      </c>
      <c r="J1821" s="7" t="str">
        <f t="shared" si="113"/>
        <v/>
      </c>
      <c r="K1821" s="9">
        <f t="shared" ca="1" si="114"/>
        <v>45404.878290277775</v>
      </c>
      <c r="L1821" s="10">
        <f t="shared" ca="1" si="115"/>
        <v>45404.878290046297</v>
      </c>
    </row>
    <row r="1822" spans="6:12" x14ac:dyDescent="0.25">
      <c r="F1822" s="11" t="str">
        <f>IF(ISBLANK(D1822),"",(VLOOKUP(D1822,Cardápio!$A$2:$B$16,2,0))*E1822)</f>
        <v/>
      </c>
      <c r="H1822" s="7" t="str">
        <f t="shared" si="112"/>
        <v/>
      </c>
      <c r="I1822" s="7" t="str">
        <f>IF(AND(ISBLANK(D1822),ISBLANK(C1822)),"",((VLOOKUP(D1822,Cardápio!$A$2:$C$16,3,0))*E1822)+IF(B1822="iFood",F1822*0.27,(VLOOKUP(VENDAS!C1822,Bairros!$A$2:$B$90,2,0))))</f>
        <v/>
      </c>
      <c r="J1822" s="7" t="str">
        <f t="shared" si="113"/>
        <v/>
      </c>
      <c r="K1822" s="9">
        <f t="shared" ca="1" si="114"/>
        <v>45404.878290162036</v>
      </c>
      <c r="L1822" s="10">
        <f t="shared" ca="1" si="115"/>
        <v>45404.878290046297</v>
      </c>
    </row>
    <row r="1823" spans="6:12" x14ac:dyDescent="0.25">
      <c r="F1823" s="11" t="str">
        <f>IF(ISBLANK(D1823),"",(VLOOKUP(D1823,Cardápio!$A$2:$B$16,2,0))*E1823)</f>
        <v/>
      </c>
      <c r="H1823" s="7" t="str">
        <f t="shared" si="112"/>
        <v/>
      </c>
      <c r="I1823" s="7" t="str">
        <f>IF(AND(ISBLANK(D1823),ISBLANK(C1823)),"",((VLOOKUP(D1823,Cardápio!$A$2:$C$16,3,0))*E1823)+IF(B1823="iFood",F1823*0.27,(VLOOKUP(VENDAS!C1823,Bairros!$A$2:$B$90,2,0))))</f>
        <v/>
      </c>
      <c r="J1823" s="7" t="str">
        <f t="shared" si="113"/>
        <v/>
      </c>
      <c r="K1823" s="9">
        <f t="shared" ca="1" si="114"/>
        <v>45404.878290162036</v>
      </c>
      <c r="L1823" s="10">
        <f t="shared" ca="1" si="115"/>
        <v>45404.878290046297</v>
      </c>
    </row>
    <row r="1824" spans="6:12" x14ac:dyDescent="0.25">
      <c r="F1824" s="11" t="str">
        <f>IF(ISBLANK(D1824),"",(VLOOKUP(D1824,Cardápio!$A$2:$B$16,2,0))*E1824)</f>
        <v/>
      </c>
      <c r="H1824" s="7" t="str">
        <f t="shared" si="112"/>
        <v/>
      </c>
      <c r="I1824" s="7" t="str">
        <f>IF(AND(ISBLANK(D1824),ISBLANK(C1824)),"",((VLOOKUP(D1824,Cardápio!$A$2:$C$16,3,0))*E1824)+IF(B1824="iFood",F1824*0.27,(VLOOKUP(VENDAS!C1824,Bairros!$A$2:$B$90,2,0))))</f>
        <v/>
      </c>
      <c r="J1824" s="7" t="str">
        <f t="shared" si="113"/>
        <v/>
      </c>
      <c r="K1824" s="9">
        <f t="shared" ca="1" si="114"/>
        <v>45404.878290162036</v>
      </c>
      <c r="L1824" s="10">
        <f t="shared" ca="1" si="115"/>
        <v>45404.878290046297</v>
      </c>
    </row>
    <row r="1825" spans="6:12" x14ac:dyDescent="0.25">
      <c r="F1825" s="11" t="str">
        <f>IF(ISBLANK(D1825),"",(VLOOKUP(D1825,Cardápio!$A$2:$B$16,2,0))*E1825)</f>
        <v/>
      </c>
      <c r="H1825" s="7" t="str">
        <f t="shared" si="112"/>
        <v/>
      </c>
      <c r="I1825" s="7" t="str">
        <f>IF(AND(ISBLANK(D1825),ISBLANK(C1825)),"",((VLOOKUP(D1825,Cardápio!$A$2:$C$16,3,0))*E1825)+IF(B1825="iFood",F1825*0.27,(VLOOKUP(VENDAS!C1825,Bairros!$A$2:$B$90,2,0))))</f>
        <v/>
      </c>
      <c r="J1825" s="7" t="str">
        <f t="shared" si="113"/>
        <v/>
      </c>
      <c r="K1825" s="9">
        <f t="shared" ca="1" si="114"/>
        <v>45404.878290162036</v>
      </c>
      <c r="L1825" s="10">
        <f t="shared" ca="1" si="115"/>
        <v>45404.878290046297</v>
      </c>
    </row>
    <row r="1826" spans="6:12" x14ac:dyDescent="0.25">
      <c r="F1826" s="11" t="str">
        <f>IF(ISBLANK(D1826),"",(VLOOKUP(D1826,Cardápio!$A$2:$B$16,2,0))*E1826)</f>
        <v/>
      </c>
      <c r="H1826" s="7" t="str">
        <f t="shared" si="112"/>
        <v/>
      </c>
      <c r="I1826" s="7" t="str">
        <f>IF(AND(ISBLANK(D1826),ISBLANK(C1826)),"",((VLOOKUP(D1826,Cardápio!$A$2:$C$16,3,0))*E1826)+IF(B1826="iFood",F1826*0.27,(VLOOKUP(VENDAS!C1826,Bairros!$A$2:$B$90,2,0))))</f>
        <v/>
      </c>
      <c r="J1826" s="7" t="str">
        <f t="shared" si="113"/>
        <v/>
      </c>
      <c r="K1826" s="9">
        <f t="shared" ca="1" si="114"/>
        <v>45404.878290162036</v>
      </c>
      <c r="L1826" s="10">
        <f t="shared" ca="1" si="115"/>
        <v>45404.878290046297</v>
      </c>
    </row>
    <row r="1827" spans="6:12" x14ac:dyDescent="0.25">
      <c r="F1827" s="11" t="str">
        <f>IF(ISBLANK(D1827),"",(VLOOKUP(D1827,Cardápio!$A$2:$B$16,2,0))*E1827)</f>
        <v/>
      </c>
      <c r="H1827" s="7" t="str">
        <f t="shared" si="112"/>
        <v/>
      </c>
      <c r="I1827" s="7" t="str">
        <f>IF(AND(ISBLANK(D1827),ISBLANK(C1827)),"",((VLOOKUP(D1827,Cardápio!$A$2:$C$16,3,0))*E1827)+IF(B1827="iFood",F1827*0.27,(VLOOKUP(VENDAS!C1827,Bairros!$A$2:$B$90,2,0))))</f>
        <v/>
      </c>
      <c r="J1827" s="7" t="str">
        <f t="shared" si="113"/>
        <v/>
      </c>
      <c r="K1827" s="9">
        <f t="shared" ca="1" si="114"/>
        <v>45404.878290162036</v>
      </c>
      <c r="L1827" s="10">
        <f t="shared" ca="1" si="115"/>
        <v>45404.878290046297</v>
      </c>
    </row>
    <row r="1828" spans="6:12" x14ac:dyDescent="0.25">
      <c r="F1828" s="11" t="str">
        <f>IF(ISBLANK(D1828),"",(VLOOKUP(D1828,Cardápio!$A$2:$B$16,2,0))*E1828)</f>
        <v/>
      </c>
      <c r="H1828" s="7" t="str">
        <f t="shared" si="112"/>
        <v/>
      </c>
      <c r="I1828" s="7" t="str">
        <f>IF(AND(ISBLANK(D1828),ISBLANK(C1828)),"",((VLOOKUP(D1828,Cardápio!$A$2:$C$16,3,0))*E1828)+IF(B1828="iFood",F1828*0.27,(VLOOKUP(VENDAS!C1828,Bairros!$A$2:$B$90,2,0))))</f>
        <v/>
      </c>
      <c r="J1828" s="7" t="str">
        <f t="shared" si="113"/>
        <v/>
      </c>
      <c r="K1828" s="9">
        <f t="shared" ca="1" si="114"/>
        <v>45404.878290162036</v>
      </c>
      <c r="L1828" s="10">
        <f t="shared" ca="1" si="115"/>
        <v>45404.878290046297</v>
      </c>
    </row>
    <row r="1829" spans="6:12" x14ac:dyDescent="0.25">
      <c r="F1829" s="11" t="str">
        <f>IF(ISBLANK(D1829),"",(VLOOKUP(D1829,Cardápio!$A$2:$B$16,2,0))*E1829)</f>
        <v/>
      </c>
      <c r="H1829" s="7" t="str">
        <f t="shared" si="112"/>
        <v/>
      </c>
      <c r="I1829" s="7" t="str">
        <f>IF(AND(ISBLANK(D1829),ISBLANK(C1829)),"",((VLOOKUP(D1829,Cardápio!$A$2:$C$16,3,0))*E1829)+IF(B1829="iFood",F1829*0.27,(VLOOKUP(VENDAS!C1829,Bairros!$A$2:$B$90,2,0))))</f>
        <v/>
      </c>
      <c r="J1829" s="7" t="str">
        <f t="shared" si="113"/>
        <v/>
      </c>
      <c r="K1829" s="9">
        <f t="shared" ca="1" si="114"/>
        <v>45404.878290162036</v>
      </c>
      <c r="L1829" s="10">
        <f t="shared" ca="1" si="115"/>
        <v>45404.878290046297</v>
      </c>
    </row>
    <row r="1830" spans="6:12" x14ac:dyDescent="0.25">
      <c r="F1830" s="11" t="str">
        <f>IF(ISBLANK(D1830),"",(VLOOKUP(D1830,Cardápio!$A$2:$B$16,2,0))*E1830)</f>
        <v/>
      </c>
      <c r="H1830" s="7" t="str">
        <f t="shared" si="112"/>
        <v/>
      </c>
      <c r="I1830" s="7" t="str">
        <f>IF(AND(ISBLANK(D1830),ISBLANK(C1830)),"",((VLOOKUP(D1830,Cardápio!$A$2:$C$16,3,0))*E1830)+IF(B1830="iFood",F1830*0.27,(VLOOKUP(VENDAS!C1830,Bairros!$A$2:$B$90,2,0))))</f>
        <v/>
      </c>
      <c r="J1830" s="7" t="str">
        <f t="shared" si="113"/>
        <v/>
      </c>
      <c r="K1830" s="9">
        <f t="shared" ca="1" si="114"/>
        <v>45404.878290162036</v>
      </c>
      <c r="L1830" s="10">
        <f t="shared" ca="1" si="115"/>
        <v>45404.878290046297</v>
      </c>
    </row>
    <row r="1831" spans="6:12" x14ac:dyDescent="0.25">
      <c r="F1831" s="11" t="str">
        <f>IF(ISBLANK(D1831),"",(VLOOKUP(D1831,Cardápio!$A$2:$B$16,2,0))*E1831)</f>
        <v/>
      </c>
      <c r="H1831" s="7" t="str">
        <f t="shared" si="112"/>
        <v/>
      </c>
      <c r="I1831" s="7" t="str">
        <f>IF(AND(ISBLANK(D1831),ISBLANK(C1831)),"",((VLOOKUP(D1831,Cardápio!$A$2:$C$16,3,0))*E1831)+IF(B1831="iFood",F1831*0.27,(VLOOKUP(VENDAS!C1831,Bairros!$A$2:$B$90,2,0))))</f>
        <v/>
      </c>
      <c r="J1831" s="7" t="str">
        <f t="shared" si="113"/>
        <v/>
      </c>
      <c r="K1831" s="9">
        <f t="shared" ca="1" si="114"/>
        <v>45404.878290162036</v>
      </c>
      <c r="L1831" s="10">
        <f t="shared" ca="1" si="115"/>
        <v>45404.878290046297</v>
      </c>
    </row>
    <row r="1832" spans="6:12" x14ac:dyDescent="0.25">
      <c r="F1832" s="11" t="str">
        <f>IF(ISBLANK(D1832),"",(VLOOKUP(D1832,Cardápio!$A$2:$B$16,2,0))*E1832)</f>
        <v/>
      </c>
      <c r="H1832" s="7" t="str">
        <f t="shared" si="112"/>
        <v/>
      </c>
      <c r="I1832" s="7" t="str">
        <f>IF(AND(ISBLANK(D1832),ISBLANK(C1832)),"",((VLOOKUP(D1832,Cardápio!$A$2:$C$16,3,0))*E1832)+IF(B1832="iFood",F1832*0.27,(VLOOKUP(VENDAS!C1832,Bairros!$A$2:$B$90,2,0))))</f>
        <v/>
      </c>
      <c r="J1832" s="7" t="str">
        <f t="shared" si="113"/>
        <v/>
      </c>
      <c r="K1832" s="9">
        <f t="shared" ca="1" si="114"/>
        <v>45404.878290162036</v>
      </c>
      <c r="L1832" s="10">
        <f t="shared" ca="1" si="115"/>
        <v>45404.878290046297</v>
      </c>
    </row>
    <row r="1833" spans="6:12" x14ac:dyDescent="0.25">
      <c r="F1833" s="11" t="str">
        <f>IF(ISBLANK(D1833),"",(VLOOKUP(D1833,Cardápio!$A$2:$B$16,2,0))*E1833)</f>
        <v/>
      </c>
      <c r="H1833" s="7" t="str">
        <f t="shared" si="112"/>
        <v/>
      </c>
      <c r="I1833" s="7" t="str">
        <f>IF(AND(ISBLANK(D1833),ISBLANK(C1833)),"",((VLOOKUP(D1833,Cardápio!$A$2:$C$16,3,0))*E1833)+IF(B1833="iFood",F1833*0.27,(VLOOKUP(VENDAS!C1833,Bairros!$A$2:$B$90,2,0))))</f>
        <v/>
      </c>
      <c r="J1833" s="7" t="str">
        <f t="shared" si="113"/>
        <v/>
      </c>
      <c r="K1833" s="9">
        <f t="shared" ca="1" si="114"/>
        <v>45404.878290162036</v>
      </c>
      <c r="L1833" s="10">
        <f t="shared" ca="1" si="115"/>
        <v>45404.878290046297</v>
      </c>
    </row>
    <row r="1834" spans="6:12" x14ac:dyDescent="0.25">
      <c r="F1834" s="11" t="str">
        <f>IF(ISBLANK(D1834),"",(VLOOKUP(D1834,Cardápio!$A$2:$B$16,2,0))*E1834)</f>
        <v/>
      </c>
      <c r="H1834" s="7" t="str">
        <f t="shared" si="112"/>
        <v/>
      </c>
      <c r="I1834" s="7" t="str">
        <f>IF(AND(ISBLANK(D1834),ISBLANK(C1834)),"",((VLOOKUP(D1834,Cardápio!$A$2:$C$16,3,0))*E1834)+IF(B1834="iFood",F1834*0.27,(VLOOKUP(VENDAS!C1834,Bairros!$A$2:$B$90,2,0))))</f>
        <v/>
      </c>
      <c r="J1834" s="7" t="str">
        <f t="shared" si="113"/>
        <v/>
      </c>
      <c r="K1834" s="9">
        <f t="shared" ca="1" si="114"/>
        <v>45404.878290162036</v>
      </c>
      <c r="L1834" s="10">
        <f t="shared" ca="1" si="115"/>
        <v>45404.878290046297</v>
      </c>
    </row>
    <row r="1835" spans="6:12" x14ac:dyDescent="0.25">
      <c r="F1835" s="11" t="str">
        <f>IF(ISBLANK(D1835),"",(VLOOKUP(D1835,Cardápio!$A$2:$B$16,2,0))*E1835)</f>
        <v/>
      </c>
      <c r="H1835" s="7" t="str">
        <f t="shared" si="112"/>
        <v/>
      </c>
      <c r="I1835" s="7" t="str">
        <f>IF(AND(ISBLANK(D1835),ISBLANK(C1835)),"",((VLOOKUP(D1835,Cardápio!$A$2:$C$16,3,0))*E1835)+IF(B1835="iFood",F1835*0.27,(VLOOKUP(VENDAS!C1835,Bairros!$A$2:$B$90,2,0))))</f>
        <v/>
      </c>
      <c r="J1835" s="7" t="str">
        <f t="shared" si="113"/>
        <v/>
      </c>
      <c r="K1835" s="9">
        <f t="shared" ca="1" si="114"/>
        <v>45404.878290162036</v>
      </c>
      <c r="L1835" s="10">
        <f t="shared" ca="1" si="115"/>
        <v>45404.878290046297</v>
      </c>
    </row>
    <row r="1836" spans="6:12" x14ac:dyDescent="0.25">
      <c r="F1836" s="11" t="str">
        <f>IF(ISBLANK(D1836),"",(VLOOKUP(D1836,Cardápio!$A$2:$B$16,2,0))*E1836)</f>
        <v/>
      </c>
      <c r="H1836" s="7" t="str">
        <f t="shared" si="112"/>
        <v/>
      </c>
      <c r="I1836" s="7" t="str">
        <f>IF(AND(ISBLANK(D1836),ISBLANK(C1836)),"",((VLOOKUP(D1836,Cardápio!$A$2:$C$16,3,0))*E1836)+IF(B1836="iFood",F1836*0.27,(VLOOKUP(VENDAS!C1836,Bairros!$A$2:$B$90,2,0))))</f>
        <v/>
      </c>
      <c r="J1836" s="7" t="str">
        <f t="shared" si="113"/>
        <v/>
      </c>
      <c r="K1836" s="9">
        <f t="shared" ca="1" si="114"/>
        <v>45404.878290162036</v>
      </c>
      <c r="L1836" s="10">
        <f t="shared" ca="1" si="115"/>
        <v>45404.878290046297</v>
      </c>
    </row>
    <row r="1837" spans="6:12" x14ac:dyDescent="0.25">
      <c r="F1837" s="11" t="str">
        <f>IF(ISBLANK(D1837),"",(VLOOKUP(D1837,Cardápio!$A$2:$B$16,2,0))*E1837)</f>
        <v/>
      </c>
      <c r="H1837" s="7" t="str">
        <f t="shared" si="112"/>
        <v/>
      </c>
      <c r="I1837" s="7" t="str">
        <f>IF(AND(ISBLANK(D1837),ISBLANK(C1837)),"",((VLOOKUP(D1837,Cardápio!$A$2:$C$16,3,0))*E1837)+IF(B1837="iFood",F1837*0.27,(VLOOKUP(VENDAS!C1837,Bairros!$A$2:$B$90,2,0))))</f>
        <v/>
      </c>
      <c r="J1837" s="7" t="str">
        <f t="shared" si="113"/>
        <v/>
      </c>
      <c r="K1837" s="9">
        <f t="shared" ca="1" si="114"/>
        <v>45404.878290162036</v>
      </c>
      <c r="L1837" s="10">
        <f t="shared" ca="1" si="115"/>
        <v>45404.878290046297</v>
      </c>
    </row>
    <row r="1838" spans="6:12" x14ac:dyDescent="0.25">
      <c r="F1838" s="11" t="str">
        <f>IF(ISBLANK(D1838),"",(VLOOKUP(D1838,Cardápio!$A$2:$B$16,2,0))*E1838)</f>
        <v/>
      </c>
      <c r="H1838" s="7" t="str">
        <f t="shared" si="112"/>
        <v/>
      </c>
      <c r="I1838" s="7" t="str">
        <f>IF(AND(ISBLANK(D1838),ISBLANK(C1838)),"",((VLOOKUP(D1838,Cardápio!$A$2:$C$16,3,0))*E1838)+IF(B1838="iFood",F1838*0.27,(VLOOKUP(VENDAS!C1838,Bairros!$A$2:$B$90,2,0))))</f>
        <v/>
      </c>
      <c r="J1838" s="7" t="str">
        <f t="shared" si="113"/>
        <v/>
      </c>
      <c r="K1838" s="9">
        <f t="shared" ca="1" si="114"/>
        <v>45404.878290162036</v>
      </c>
      <c r="L1838" s="10">
        <f t="shared" ca="1" si="115"/>
        <v>45404.878290046297</v>
      </c>
    </row>
    <row r="1839" spans="6:12" x14ac:dyDescent="0.25">
      <c r="F1839" s="11" t="str">
        <f>IF(ISBLANK(D1839),"",(VLOOKUP(D1839,Cardápio!$A$2:$B$16,2,0))*E1839)</f>
        <v/>
      </c>
      <c r="H1839" s="7" t="str">
        <f t="shared" si="112"/>
        <v/>
      </c>
      <c r="I1839" s="7" t="str">
        <f>IF(AND(ISBLANK(D1839),ISBLANK(C1839)),"",((VLOOKUP(D1839,Cardápio!$A$2:$C$16,3,0))*E1839)+IF(B1839="iFood",F1839*0.27,(VLOOKUP(VENDAS!C1839,Bairros!$A$2:$B$90,2,0))))</f>
        <v/>
      </c>
      <c r="J1839" s="7" t="str">
        <f t="shared" si="113"/>
        <v/>
      </c>
      <c r="K1839" s="9">
        <f t="shared" ca="1" si="114"/>
        <v>45404.878290162036</v>
      </c>
      <c r="L1839" s="10">
        <f t="shared" ca="1" si="115"/>
        <v>45404.878290046297</v>
      </c>
    </row>
    <row r="1840" spans="6:12" x14ac:dyDescent="0.25">
      <c r="F1840" s="11" t="str">
        <f>IF(ISBLANK(D1840),"",(VLOOKUP(D1840,Cardápio!$A$2:$B$16,2,0))*E1840)</f>
        <v/>
      </c>
      <c r="H1840" s="7" t="str">
        <f t="shared" si="112"/>
        <v/>
      </c>
      <c r="I1840" s="7" t="str">
        <f>IF(AND(ISBLANK(D1840),ISBLANK(C1840)),"",((VLOOKUP(D1840,Cardápio!$A$2:$C$16,3,0))*E1840)+IF(B1840="iFood",F1840*0.27,(VLOOKUP(VENDAS!C1840,Bairros!$A$2:$B$90,2,0))))</f>
        <v/>
      </c>
      <c r="J1840" s="7" t="str">
        <f t="shared" si="113"/>
        <v/>
      </c>
      <c r="K1840" s="9">
        <f t="shared" ca="1" si="114"/>
        <v>45404.878290162036</v>
      </c>
      <c r="L1840" s="10">
        <f t="shared" ca="1" si="115"/>
        <v>45404.878290046297</v>
      </c>
    </row>
    <row r="1841" spans="6:12" x14ac:dyDescent="0.25">
      <c r="F1841" s="11" t="str">
        <f>IF(ISBLANK(D1841),"",(VLOOKUP(D1841,Cardápio!$A$2:$B$16,2,0))*E1841)</f>
        <v/>
      </c>
      <c r="H1841" s="7" t="str">
        <f t="shared" si="112"/>
        <v/>
      </c>
      <c r="I1841" s="7" t="str">
        <f>IF(AND(ISBLANK(D1841),ISBLANK(C1841)),"",((VLOOKUP(D1841,Cardápio!$A$2:$C$16,3,0))*E1841)+IF(B1841="iFood",F1841*0.27,(VLOOKUP(VENDAS!C1841,Bairros!$A$2:$B$90,2,0))))</f>
        <v/>
      </c>
      <c r="J1841" s="7" t="str">
        <f t="shared" si="113"/>
        <v/>
      </c>
      <c r="K1841" s="9">
        <f t="shared" ca="1" si="114"/>
        <v>45404.878290162036</v>
      </c>
      <c r="L1841" s="10">
        <f t="shared" ca="1" si="115"/>
        <v>45404.878290046297</v>
      </c>
    </row>
    <row r="1842" spans="6:12" x14ac:dyDescent="0.25">
      <c r="F1842" s="11" t="str">
        <f>IF(ISBLANK(D1842),"",(VLOOKUP(D1842,Cardápio!$A$2:$B$16,2,0))*E1842)</f>
        <v/>
      </c>
      <c r="H1842" s="7" t="str">
        <f t="shared" si="112"/>
        <v/>
      </c>
      <c r="I1842" s="7" t="str">
        <f>IF(AND(ISBLANK(D1842),ISBLANK(C1842)),"",((VLOOKUP(D1842,Cardápio!$A$2:$C$16,3,0))*E1842)+IF(B1842="iFood",F1842*0.27,(VLOOKUP(VENDAS!C1842,Bairros!$A$2:$B$90,2,0))))</f>
        <v/>
      </c>
      <c r="J1842" s="7" t="str">
        <f t="shared" si="113"/>
        <v/>
      </c>
      <c r="K1842" s="9">
        <f t="shared" ca="1" si="114"/>
        <v>45404.878290162036</v>
      </c>
      <c r="L1842" s="10">
        <f t="shared" ca="1" si="115"/>
        <v>45404.878290046297</v>
      </c>
    </row>
    <row r="1843" spans="6:12" x14ac:dyDescent="0.25">
      <c r="F1843" s="11" t="str">
        <f>IF(ISBLANK(D1843),"",(VLOOKUP(D1843,Cardápio!$A$2:$B$16,2,0))*E1843)</f>
        <v/>
      </c>
      <c r="H1843" s="7" t="str">
        <f t="shared" si="112"/>
        <v/>
      </c>
      <c r="I1843" s="7" t="str">
        <f>IF(AND(ISBLANK(D1843),ISBLANK(C1843)),"",((VLOOKUP(D1843,Cardápio!$A$2:$C$16,3,0))*E1843)+IF(B1843="iFood",F1843*0.27,(VLOOKUP(VENDAS!C1843,Bairros!$A$2:$B$90,2,0))))</f>
        <v/>
      </c>
      <c r="J1843" s="7" t="str">
        <f t="shared" si="113"/>
        <v/>
      </c>
      <c r="K1843" s="9">
        <f t="shared" ca="1" si="114"/>
        <v>45404.878290162036</v>
      </c>
      <c r="L1843" s="10">
        <f t="shared" ca="1" si="115"/>
        <v>45404.878290046297</v>
      </c>
    </row>
    <row r="1844" spans="6:12" x14ac:dyDescent="0.25">
      <c r="F1844" s="11" t="str">
        <f>IF(ISBLANK(D1844),"",(VLOOKUP(D1844,Cardápio!$A$2:$B$16,2,0))*E1844)</f>
        <v/>
      </c>
      <c r="H1844" s="7" t="str">
        <f t="shared" si="112"/>
        <v/>
      </c>
      <c r="I1844" s="7" t="str">
        <f>IF(AND(ISBLANK(D1844),ISBLANK(C1844)),"",((VLOOKUP(D1844,Cardápio!$A$2:$C$16,3,0))*E1844)+IF(B1844="iFood",F1844*0.27,(VLOOKUP(VENDAS!C1844,Bairros!$A$2:$B$90,2,0))))</f>
        <v/>
      </c>
      <c r="J1844" s="7" t="str">
        <f t="shared" si="113"/>
        <v/>
      </c>
      <c r="K1844" s="9">
        <f t="shared" ca="1" si="114"/>
        <v>45404.878290162036</v>
      </c>
      <c r="L1844" s="10">
        <f t="shared" ca="1" si="115"/>
        <v>45404.878290046297</v>
      </c>
    </row>
    <row r="1845" spans="6:12" x14ac:dyDescent="0.25">
      <c r="F1845" s="11" t="str">
        <f>IF(ISBLANK(D1845),"",(VLOOKUP(D1845,Cardápio!$A$2:$B$16,2,0))*E1845)</f>
        <v/>
      </c>
      <c r="H1845" s="7" t="str">
        <f t="shared" ref="H1845:H1908" si="116">IF(ISBLANK(D1845),"",F1845-G1845)</f>
        <v/>
      </c>
      <c r="I1845" s="7" t="str">
        <f>IF(AND(ISBLANK(D1845),ISBLANK(C1845)),"",((VLOOKUP(D1845,Cardápio!$A$2:$C$16,3,0))*E1845)+IF(B1845="iFood",F1845*0.27,(VLOOKUP(VENDAS!C1845,Bairros!$A$2:$B$90,2,0))))</f>
        <v/>
      </c>
      <c r="J1845" s="7" t="str">
        <f t="shared" ref="J1845:J1908" si="117">IF(OR(AND(ISBLANK(H1845),ISBLANK(I1845)),(AND(H1845="",I1845=""))),"",H1845-I1845)</f>
        <v/>
      </c>
      <c r="K1845" s="9">
        <f t="shared" ref="K1845:K1908" ca="1" si="118">IF(D1845&lt;&gt;"",K1845,NOW())</f>
        <v>45404.878290162036</v>
      </c>
      <c r="L1845" s="10">
        <f t="shared" ref="L1845:L1908" ca="1" si="119">IF(D1845&lt;&gt;"",L1845,NOW())</f>
        <v>45404.878290046297</v>
      </c>
    </row>
    <row r="1846" spans="6:12" x14ac:dyDescent="0.25">
      <c r="F1846" s="11" t="str">
        <f>IF(ISBLANK(D1846),"",(VLOOKUP(D1846,Cardápio!$A$2:$B$16,2,0))*E1846)</f>
        <v/>
      </c>
      <c r="H1846" s="7" t="str">
        <f t="shared" si="116"/>
        <v/>
      </c>
      <c r="I1846" s="7" t="str">
        <f>IF(AND(ISBLANK(D1846),ISBLANK(C1846)),"",((VLOOKUP(D1846,Cardápio!$A$2:$C$16,3,0))*E1846)+IF(B1846="iFood",F1846*0.27,(VLOOKUP(VENDAS!C1846,Bairros!$A$2:$B$90,2,0))))</f>
        <v/>
      </c>
      <c r="J1846" s="7" t="str">
        <f t="shared" si="117"/>
        <v/>
      </c>
      <c r="K1846" s="9">
        <f t="shared" ca="1" si="118"/>
        <v>45404.878290162036</v>
      </c>
      <c r="L1846" s="10">
        <f t="shared" ca="1" si="119"/>
        <v>45404.878290046297</v>
      </c>
    </row>
    <row r="1847" spans="6:12" x14ac:dyDescent="0.25">
      <c r="F1847" s="11" t="str">
        <f>IF(ISBLANK(D1847),"",(VLOOKUP(D1847,Cardápio!$A$2:$B$16,2,0))*E1847)</f>
        <v/>
      </c>
      <c r="H1847" s="7" t="str">
        <f t="shared" si="116"/>
        <v/>
      </c>
      <c r="I1847" s="7" t="str">
        <f>IF(AND(ISBLANK(D1847),ISBLANK(C1847)),"",((VLOOKUP(D1847,Cardápio!$A$2:$C$16,3,0))*E1847)+IF(B1847="iFood",F1847*0.27,(VLOOKUP(VENDAS!C1847,Bairros!$A$2:$B$90,2,0))))</f>
        <v/>
      </c>
      <c r="J1847" s="7" t="str">
        <f t="shared" si="117"/>
        <v/>
      </c>
      <c r="K1847" s="9">
        <f t="shared" ca="1" si="118"/>
        <v>45404.878290162036</v>
      </c>
      <c r="L1847" s="10">
        <f t="shared" ca="1" si="119"/>
        <v>45404.878290046297</v>
      </c>
    </row>
    <row r="1848" spans="6:12" x14ac:dyDescent="0.25">
      <c r="F1848" s="11" t="str">
        <f>IF(ISBLANK(D1848),"",(VLOOKUP(D1848,Cardápio!$A$2:$B$16,2,0))*E1848)</f>
        <v/>
      </c>
      <c r="H1848" s="7" t="str">
        <f t="shared" si="116"/>
        <v/>
      </c>
      <c r="I1848" s="7" t="str">
        <f>IF(AND(ISBLANK(D1848),ISBLANK(C1848)),"",((VLOOKUP(D1848,Cardápio!$A$2:$C$16,3,0))*E1848)+IF(B1848="iFood",F1848*0.27,(VLOOKUP(VENDAS!C1848,Bairros!$A$2:$B$90,2,0))))</f>
        <v/>
      </c>
      <c r="J1848" s="7" t="str">
        <f t="shared" si="117"/>
        <v/>
      </c>
      <c r="K1848" s="9">
        <f t="shared" ca="1" si="118"/>
        <v>45404.878290162036</v>
      </c>
      <c r="L1848" s="10">
        <f t="shared" ca="1" si="119"/>
        <v>45404.878290046297</v>
      </c>
    </row>
    <row r="1849" spans="6:12" x14ac:dyDescent="0.25">
      <c r="F1849" s="11" t="str">
        <f>IF(ISBLANK(D1849),"",(VLOOKUP(D1849,Cardápio!$A$2:$B$16,2,0))*E1849)</f>
        <v/>
      </c>
      <c r="H1849" s="7" t="str">
        <f t="shared" si="116"/>
        <v/>
      </c>
      <c r="I1849" s="7" t="str">
        <f>IF(AND(ISBLANK(D1849),ISBLANK(C1849)),"",((VLOOKUP(D1849,Cardápio!$A$2:$C$16,3,0))*E1849)+IF(B1849="iFood",F1849*0.27,(VLOOKUP(VENDAS!C1849,Bairros!$A$2:$B$90,2,0))))</f>
        <v/>
      </c>
      <c r="J1849" s="7" t="str">
        <f t="shared" si="117"/>
        <v/>
      </c>
      <c r="K1849" s="9">
        <f t="shared" ca="1" si="118"/>
        <v>45404.878290162036</v>
      </c>
      <c r="L1849" s="10">
        <f t="shared" ca="1" si="119"/>
        <v>45404.878290046297</v>
      </c>
    </row>
    <row r="1850" spans="6:12" x14ac:dyDescent="0.25">
      <c r="F1850" s="11" t="str">
        <f>IF(ISBLANK(D1850),"",(VLOOKUP(D1850,Cardápio!$A$2:$B$16,2,0))*E1850)</f>
        <v/>
      </c>
      <c r="H1850" s="7" t="str">
        <f t="shared" si="116"/>
        <v/>
      </c>
      <c r="I1850" s="7" t="str">
        <f>IF(AND(ISBLANK(D1850),ISBLANK(C1850)),"",((VLOOKUP(D1850,Cardápio!$A$2:$C$16,3,0))*E1850)+IF(B1850="iFood",F1850*0.27,(VLOOKUP(VENDAS!C1850,Bairros!$A$2:$B$90,2,0))))</f>
        <v/>
      </c>
      <c r="J1850" s="7" t="str">
        <f t="shared" si="117"/>
        <v/>
      </c>
      <c r="K1850" s="9">
        <f t="shared" ca="1" si="118"/>
        <v>45404.878290162036</v>
      </c>
      <c r="L1850" s="10">
        <f t="shared" ca="1" si="119"/>
        <v>45404.878290046297</v>
      </c>
    </row>
    <row r="1851" spans="6:12" x14ac:dyDescent="0.25">
      <c r="F1851" s="11" t="str">
        <f>IF(ISBLANK(D1851),"",(VLOOKUP(D1851,Cardápio!$A$2:$B$16,2,0))*E1851)</f>
        <v/>
      </c>
      <c r="H1851" s="7" t="str">
        <f t="shared" si="116"/>
        <v/>
      </c>
      <c r="I1851" s="7" t="str">
        <f>IF(AND(ISBLANK(D1851),ISBLANK(C1851)),"",((VLOOKUP(D1851,Cardápio!$A$2:$C$16,3,0))*E1851)+IF(B1851="iFood",F1851*0.27,(VLOOKUP(VENDAS!C1851,Bairros!$A$2:$B$90,2,0))))</f>
        <v/>
      </c>
      <c r="J1851" s="7" t="str">
        <f t="shared" si="117"/>
        <v/>
      </c>
      <c r="K1851" s="9">
        <f t="shared" ca="1" si="118"/>
        <v>45404.878290162036</v>
      </c>
      <c r="L1851" s="10">
        <f t="shared" ca="1" si="119"/>
        <v>45404.878290046297</v>
      </c>
    </row>
    <row r="1852" spans="6:12" x14ac:dyDescent="0.25">
      <c r="F1852" s="11" t="str">
        <f>IF(ISBLANK(D1852),"",(VLOOKUP(D1852,Cardápio!$A$2:$B$16,2,0))*E1852)</f>
        <v/>
      </c>
      <c r="H1852" s="7" t="str">
        <f t="shared" si="116"/>
        <v/>
      </c>
      <c r="I1852" s="7" t="str">
        <f>IF(AND(ISBLANK(D1852),ISBLANK(C1852)),"",((VLOOKUP(D1852,Cardápio!$A$2:$C$16,3,0))*E1852)+IF(B1852="iFood",F1852*0.27,(VLOOKUP(VENDAS!C1852,Bairros!$A$2:$B$90,2,0))))</f>
        <v/>
      </c>
      <c r="J1852" s="7" t="str">
        <f t="shared" si="117"/>
        <v/>
      </c>
      <c r="K1852" s="9">
        <f t="shared" ca="1" si="118"/>
        <v>45404.878290162036</v>
      </c>
      <c r="L1852" s="10">
        <f t="shared" ca="1" si="119"/>
        <v>45404.878290046297</v>
      </c>
    </row>
    <row r="1853" spans="6:12" x14ac:dyDescent="0.25">
      <c r="F1853" s="11" t="str">
        <f>IF(ISBLANK(D1853),"",(VLOOKUP(D1853,Cardápio!$A$2:$B$16,2,0))*E1853)</f>
        <v/>
      </c>
      <c r="H1853" s="7" t="str">
        <f t="shared" si="116"/>
        <v/>
      </c>
      <c r="I1853" s="7" t="str">
        <f>IF(AND(ISBLANK(D1853),ISBLANK(C1853)),"",((VLOOKUP(D1853,Cardápio!$A$2:$C$16,3,0))*E1853)+IF(B1853="iFood",F1853*0.27,(VLOOKUP(VENDAS!C1853,Bairros!$A$2:$B$90,2,0))))</f>
        <v/>
      </c>
      <c r="J1853" s="7" t="str">
        <f t="shared" si="117"/>
        <v/>
      </c>
      <c r="K1853" s="9">
        <f t="shared" ca="1" si="118"/>
        <v>45404.878290162036</v>
      </c>
      <c r="L1853" s="10">
        <f t="shared" ca="1" si="119"/>
        <v>45404.878290046297</v>
      </c>
    </row>
    <row r="1854" spans="6:12" x14ac:dyDescent="0.25">
      <c r="F1854" s="11" t="str">
        <f>IF(ISBLANK(D1854),"",(VLOOKUP(D1854,Cardápio!$A$2:$B$16,2,0))*E1854)</f>
        <v/>
      </c>
      <c r="H1854" s="7" t="str">
        <f t="shared" si="116"/>
        <v/>
      </c>
      <c r="I1854" s="7" t="str">
        <f>IF(AND(ISBLANK(D1854),ISBLANK(C1854)),"",((VLOOKUP(D1854,Cardápio!$A$2:$C$16,3,0))*E1854)+IF(B1854="iFood",F1854*0.27,(VLOOKUP(VENDAS!C1854,Bairros!$A$2:$B$90,2,0))))</f>
        <v/>
      </c>
      <c r="J1854" s="7" t="str">
        <f t="shared" si="117"/>
        <v/>
      </c>
      <c r="K1854" s="9">
        <f t="shared" ca="1" si="118"/>
        <v>45404.878290162036</v>
      </c>
      <c r="L1854" s="10">
        <f t="shared" ca="1" si="119"/>
        <v>45404.878290046297</v>
      </c>
    </row>
    <row r="1855" spans="6:12" x14ac:dyDescent="0.25">
      <c r="F1855" s="11" t="str">
        <f>IF(ISBLANK(D1855),"",(VLOOKUP(D1855,Cardápio!$A$2:$B$16,2,0))*E1855)</f>
        <v/>
      </c>
      <c r="H1855" s="7" t="str">
        <f t="shared" si="116"/>
        <v/>
      </c>
      <c r="I1855" s="7" t="str">
        <f>IF(AND(ISBLANK(D1855),ISBLANK(C1855)),"",((VLOOKUP(D1855,Cardápio!$A$2:$C$16,3,0))*E1855)+IF(B1855="iFood",F1855*0.27,(VLOOKUP(VENDAS!C1855,Bairros!$A$2:$B$90,2,0))))</f>
        <v/>
      </c>
      <c r="J1855" s="7" t="str">
        <f t="shared" si="117"/>
        <v/>
      </c>
      <c r="K1855" s="9">
        <f t="shared" ca="1" si="118"/>
        <v>45404.878290162036</v>
      </c>
      <c r="L1855" s="10">
        <f t="shared" ca="1" si="119"/>
        <v>45404.878290046297</v>
      </c>
    </row>
    <row r="1856" spans="6:12" x14ac:dyDescent="0.25">
      <c r="F1856" s="11" t="str">
        <f>IF(ISBLANK(D1856),"",(VLOOKUP(D1856,Cardápio!$A$2:$B$16,2,0))*E1856)</f>
        <v/>
      </c>
      <c r="H1856" s="7" t="str">
        <f t="shared" si="116"/>
        <v/>
      </c>
      <c r="I1856" s="7" t="str">
        <f>IF(AND(ISBLANK(D1856),ISBLANK(C1856)),"",((VLOOKUP(D1856,Cardápio!$A$2:$C$16,3,0))*E1856)+IF(B1856="iFood",F1856*0.27,(VLOOKUP(VENDAS!C1856,Bairros!$A$2:$B$90,2,0))))</f>
        <v/>
      </c>
      <c r="J1856" s="7" t="str">
        <f t="shared" si="117"/>
        <v/>
      </c>
      <c r="K1856" s="9">
        <f t="shared" ca="1" si="118"/>
        <v>45404.878290162036</v>
      </c>
      <c r="L1856" s="10">
        <f t="shared" ca="1" si="119"/>
        <v>45404.878290046297</v>
      </c>
    </row>
    <row r="1857" spans="6:12" x14ac:dyDescent="0.25">
      <c r="F1857" s="11" t="str">
        <f>IF(ISBLANK(D1857),"",(VLOOKUP(D1857,Cardápio!$A$2:$B$16,2,0))*E1857)</f>
        <v/>
      </c>
      <c r="H1857" s="7" t="str">
        <f t="shared" si="116"/>
        <v/>
      </c>
      <c r="I1857" s="7" t="str">
        <f>IF(AND(ISBLANK(D1857),ISBLANK(C1857)),"",((VLOOKUP(D1857,Cardápio!$A$2:$C$16,3,0))*E1857)+IF(B1857="iFood",F1857*0.27,(VLOOKUP(VENDAS!C1857,Bairros!$A$2:$B$90,2,0))))</f>
        <v/>
      </c>
      <c r="J1857" s="7" t="str">
        <f t="shared" si="117"/>
        <v/>
      </c>
      <c r="K1857" s="9">
        <f t="shared" ca="1" si="118"/>
        <v>45404.878290162036</v>
      </c>
      <c r="L1857" s="10">
        <f t="shared" ca="1" si="119"/>
        <v>45404.878290046297</v>
      </c>
    </row>
    <row r="1858" spans="6:12" x14ac:dyDescent="0.25">
      <c r="F1858" s="11" t="str">
        <f>IF(ISBLANK(D1858),"",(VLOOKUP(D1858,Cardápio!$A$2:$B$16,2,0))*E1858)</f>
        <v/>
      </c>
      <c r="H1858" s="7" t="str">
        <f t="shared" si="116"/>
        <v/>
      </c>
      <c r="I1858" s="7" t="str">
        <f>IF(AND(ISBLANK(D1858),ISBLANK(C1858)),"",((VLOOKUP(D1858,Cardápio!$A$2:$C$16,3,0))*E1858)+IF(B1858="iFood",F1858*0.27,(VLOOKUP(VENDAS!C1858,Bairros!$A$2:$B$90,2,0))))</f>
        <v/>
      </c>
      <c r="J1858" s="7" t="str">
        <f t="shared" si="117"/>
        <v/>
      </c>
      <c r="K1858" s="9">
        <f t="shared" ca="1" si="118"/>
        <v>45404.878290162036</v>
      </c>
      <c r="L1858" s="10">
        <f t="shared" ca="1" si="119"/>
        <v>45404.878290046297</v>
      </c>
    </row>
    <row r="1859" spans="6:12" x14ac:dyDescent="0.25">
      <c r="F1859" s="11" t="str">
        <f>IF(ISBLANK(D1859),"",(VLOOKUP(D1859,Cardápio!$A$2:$B$16,2,0))*E1859)</f>
        <v/>
      </c>
      <c r="H1859" s="7" t="str">
        <f t="shared" si="116"/>
        <v/>
      </c>
      <c r="I1859" s="7" t="str">
        <f>IF(AND(ISBLANK(D1859),ISBLANK(C1859)),"",((VLOOKUP(D1859,Cardápio!$A$2:$C$16,3,0))*E1859)+IF(B1859="iFood",F1859*0.27,(VLOOKUP(VENDAS!C1859,Bairros!$A$2:$B$90,2,0))))</f>
        <v/>
      </c>
      <c r="J1859" s="7" t="str">
        <f t="shared" si="117"/>
        <v/>
      </c>
      <c r="K1859" s="9">
        <f t="shared" ca="1" si="118"/>
        <v>45404.878290162036</v>
      </c>
      <c r="L1859" s="10">
        <f t="shared" ca="1" si="119"/>
        <v>45404.878290046297</v>
      </c>
    </row>
    <row r="1860" spans="6:12" x14ac:dyDescent="0.25">
      <c r="F1860" s="11" t="str">
        <f>IF(ISBLANK(D1860),"",(VLOOKUP(D1860,Cardápio!$A$2:$B$16,2,0))*E1860)</f>
        <v/>
      </c>
      <c r="H1860" s="7" t="str">
        <f t="shared" si="116"/>
        <v/>
      </c>
      <c r="I1860" s="7" t="str">
        <f>IF(AND(ISBLANK(D1860),ISBLANK(C1860)),"",((VLOOKUP(D1860,Cardápio!$A$2:$C$16,3,0))*E1860)+IF(B1860="iFood",F1860*0.27,(VLOOKUP(VENDAS!C1860,Bairros!$A$2:$B$90,2,0))))</f>
        <v/>
      </c>
      <c r="J1860" s="7" t="str">
        <f t="shared" si="117"/>
        <v/>
      </c>
      <c r="K1860" s="9">
        <f t="shared" ca="1" si="118"/>
        <v>45404.878290162036</v>
      </c>
      <c r="L1860" s="10">
        <f t="shared" ca="1" si="119"/>
        <v>45404.878290046297</v>
      </c>
    </row>
    <row r="1861" spans="6:12" x14ac:dyDescent="0.25">
      <c r="F1861" s="11" t="str">
        <f>IF(ISBLANK(D1861),"",(VLOOKUP(D1861,Cardápio!$A$2:$B$16,2,0))*E1861)</f>
        <v/>
      </c>
      <c r="H1861" s="7" t="str">
        <f t="shared" si="116"/>
        <v/>
      </c>
      <c r="I1861" s="7" t="str">
        <f>IF(AND(ISBLANK(D1861),ISBLANK(C1861)),"",((VLOOKUP(D1861,Cardápio!$A$2:$C$16,3,0))*E1861)+IF(B1861="iFood",F1861*0.27,(VLOOKUP(VENDAS!C1861,Bairros!$A$2:$B$90,2,0))))</f>
        <v/>
      </c>
      <c r="J1861" s="7" t="str">
        <f t="shared" si="117"/>
        <v/>
      </c>
      <c r="K1861" s="9">
        <f t="shared" ca="1" si="118"/>
        <v>45404.878290162036</v>
      </c>
      <c r="L1861" s="10">
        <f t="shared" ca="1" si="119"/>
        <v>45404.878290046297</v>
      </c>
    </row>
    <row r="1862" spans="6:12" x14ac:dyDescent="0.25">
      <c r="F1862" s="11" t="str">
        <f>IF(ISBLANK(D1862),"",(VLOOKUP(D1862,Cardápio!$A$2:$B$16,2,0))*E1862)</f>
        <v/>
      </c>
      <c r="H1862" s="7" t="str">
        <f t="shared" si="116"/>
        <v/>
      </c>
      <c r="I1862" s="7" t="str">
        <f>IF(AND(ISBLANK(D1862),ISBLANK(C1862)),"",((VLOOKUP(D1862,Cardápio!$A$2:$C$16,3,0))*E1862)+IF(B1862="iFood",F1862*0.27,(VLOOKUP(VENDAS!C1862,Bairros!$A$2:$B$90,2,0))))</f>
        <v/>
      </c>
      <c r="J1862" s="7" t="str">
        <f t="shared" si="117"/>
        <v/>
      </c>
      <c r="K1862" s="9">
        <f t="shared" ca="1" si="118"/>
        <v>45404.878290162036</v>
      </c>
      <c r="L1862" s="10">
        <f t="shared" ca="1" si="119"/>
        <v>45404.878290046297</v>
      </c>
    </row>
    <row r="1863" spans="6:12" x14ac:dyDescent="0.25">
      <c r="F1863" s="11" t="str">
        <f>IF(ISBLANK(D1863),"",(VLOOKUP(D1863,Cardápio!$A$2:$B$16,2,0))*E1863)</f>
        <v/>
      </c>
      <c r="H1863" s="7" t="str">
        <f t="shared" si="116"/>
        <v/>
      </c>
      <c r="I1863" s="7" t="str">
        <f>IF(AND(ISBLANK(D1863),ISBLANK(C1863)),"",((VLOOKUP(D1863,Cardápio!$A$2:$C$16,3,0))*E1863)+IF(B1863="iFood",F1863*0.27,(VLOOKUP(VENDAS!C1863,Bairros!$A$2:$B$90,2,0))))</f>
        <v/>
      </c>
      <c r="J1863" s="7" t="str">
        <f t="shared" si="117"/>
        <v/>
      </c>
      <c r="K1863" s="9">
        <f t="shared" ca="1" si="118"/>
        <v>45404.878290162036</v>
      </c>
      <c r="L1863" s="10">
        <f t="shared" ca="1" si="119"/>
        <v>45404.878290046297</v>
      </c>
    </row>
    <row r="1864" spans="6:12" x14ac:dyDescent="0.25">
      <c r="F1864" s="11" t="str">
        <f>IF(ISBLANK(D1864),"",(VLOOKUP(D1864,Cardápio!$A$2:$B$16,2,0))*E1864)</f>
        <v/>
      </c>
      <c r="H1864" s="7" t="str">
        <f t="shared" si="116"/>
        <v/>
      </c>
      <c r="I1864" s="7" t="str">
        <f>IF(AND(ISBLANK(D1864),ISBLANK(C1864)),"",((VLOOKUP(D1864,Cardápio!$A$2:$C$16,3,0))*E1864)+IF(B1864="iFood",F1864*0.27,(VLOOKUP(VENDAS!C1864,Bairros!$A$2:$B$90,2,0))))</f>
        <v/>
      </c>
      <c r="J1864" s="7" t="str">
        <f t="shared" si="117"/>
        <v/>
      </c>
      <c r="K1864" s="9">
        <f t="shared" ca="1" si="118"/>
        <v>45404.878290162036</v>
      </c>
      <c r="L1864" s="10">
        <f t="shared" ca="1" si="119"/>
        <v>45404.878290046297</v>
      </c>
    </row>
    <row r="1865" spans="6:12" x14ac:dyDescent="0.25">
      <c r="F1865" s="11" t="str">
        <f>IF(ISBLANK(D1865),"",(VLOOKUP(D1865,Cardápio!$A$2:$B$16,2,0))*E1865)</f>
        <v/>
      </c>
      <c r="H1865" s="7" t="str">
        <f t="shared" si="116"/>
        <v/>
      </c>
      <c r="I1865" s="7" t="str">
        <f>IF(AND(ISBLANK(D1865),ISBLANK(C1865)),"",((VLOOKUP(D1865,Cardápio!$A$2:$C$16,3,0))*E1865)+IF(B1865="iFood",F1865*0.27,(VLOOKUP(VENDAS!C1865,Bairros!$A$2:$B$90,2,0))))</f>
        <v/>
      </c>
      <c r="J1865" s="7" t="str">
        <f t="shared" si="117"/>
        <v/>
      </c>
      <c r="K1865" s="9">
        <f t="shared" ca="1" si="118"/>
        <v>45404.878290162036</v>
      </c>
      <c r="L1865" s="10">
        <f t="shared" ca="1" si="119"/>
        <v>45404.878290046297</v>
      </c>
    </row>
    <row r="1866" spans="6:12" x14ac:dyDescent="0.25">
      <c r="F1866" s="11" t="str">
        <f>IF(ISBLANK(D1866),"",(VLOOKUP(D1866,Cardápio!$A$2:$B$16,2,0))*E1866)</f>
        <v/>
      </c>
      <c r="H1866" s="7" t="str">
        <f t="shared" si="116"/>
        <v/>
      </c>
      <c r="I1866" s="7" t="str">
        <f>IF(AND(ISBLANK(D1866),ISBLANK(C1866)),"",((VLOOKUP(D1866,Cardápio!$A$2:$C$16,3,0))*E1866)+IF(B1866="iFood",F1866*0.27,(VLOOKUP(VENDAS!C1866,Bairros!$A$2:$B$90,2,0))))</f>
        <v/>
      </c>
      <c r="J1866" s="7" t="str">
        <f t="shared" si="117"/>
        <v/>
      </c>
      <c r="K1866" s="9">
        <f t="shared" ca="1" si="118"/>
        <v>45404.878290162036</v>
      </c>
      <c r="L1866" s="10">
        <f t="shared" ca="1" si="119"/>
        <v>45404.878290046297</v>
      </c>
    </row>
    <row r="1867" spans="6:12" x14ac:dyDescent="0.25">
      <c r="F1867" s="11" t="str">
        <f>IF(ISBLANK(D1867),"",(VLOOKUP(D1867,Cardápio!$A$2:$B$16,2,0))*E1867)</f>
        <v/>
      </c>
      <c r="H1867" s="7" t="str">
        <f t="shared" si="116"/>
        <v/>
      </c>
      <c r="I1867" s="7" t="str">
        <f>IF(AND(ISBLANK(D1867),ISBLANK(C1867)),"",((VLOOKUP(D1867,Cardápio!$A$2:$C$16,3,0))*E1867)+IF(B1867="iFood",F1867*0.27,(VLOOKUP(VENDAS!C1867,Bairros!$A$2:$B$90,2,0))))</f>
        <v/>
      </c>
      <c r="J1867" s="7" t="str">
        <f t="shared" si="117"/>
        <v/>
      </c>
      <c r="K1867" s="9">
        <f t="shared" ca="1" si="118"/>
        <v>45404.878290162036</v>
      </c>
      <c r="L1867" s="10">
        <f t="shared" ca="1" si="119"/>
        <v>45404.878290046297</v>
      </c>
    </row>
    <row r="1868" spans="6:12" x14ac:dyDescent="0.25">
      <c r="F1868" s="11" t="str">
        <f>IF(ISBLANK(D1868),"",(VLOOKUP(D1868,Cardápio!$A$2:$B$16,2,0))*E1868)</f>
        <v/>
      </c>
      <c r="H1868" s="7" t="str">
        <f t="shared" si="116"/>
        <v/>
      </c>
      <c r="I1868" s="7" t="str">
        <f>IF(AND(ISBLANK(D1868),ISBLANK(C1868)),"",((VLOOKUP(D1868,Cardápio!$A$2:$C$16,3,0))*E1868)+IF(B1868="iFood",F1868*0.27,(VLOOKUP(VENDAS!C1868,Bairros!$A$2:$B$90,2,0))))</f>
        <v/>
      </c>
      <c r="J1868" s="7" t="str">
        <f t="shared" si="117"/>
        <v/>
      </c>
      <c r="K1868" s="9">
        <f t="shared" ca="1" si="118"/>
        <v>45404.878290162036</v>
      </c>
      <c r="L1868" s="10">
        <f t="shared" ca="1" si="119"/>
        <v>45404.878290046297</v>
      </c>
    </row>
    <row r="1869" spans="6:12" x14ac:dyDescent="0.25">
      <c r="F1869" s="11" t="str">
        <f>IF(ISBLANK(D1869),"",(VLOOKUP(D1869,Cardápio!$A$2:$B$16,2,0))*E1869)</f>
        <v/>
      </c>
      <c r="H1869" s="7" t="str">
        <f t="shared" si="116"/>
        <v/>
      </c>
      <c r="I1869" s="7" t="str">
        <f>IF(AND(ISBLANK(D1869),ISBLANK(C1869)),"",((VLOOKUP(D1869,Cardápio!$A$2:$C$16,3,0))*E1869)+IF(B1869="iFood",F1869*0.27,(VLOOKUP(VENDAS!C1869,Bairros!$A$2:$B$90,2,0))))</f>
        <v/>
      </c>
      <c r="J1869" s="7" t="str">
        <f t="shared" si="117"/>
        <v/>
      </c>
      <c r="K1869" s="9">
        <f t="shared" ca="1" si="118"/>
        <v>45404.878290162036</v>
      </c>
      <c r="L1869" s="10">
        <f t="shared" ca="1" si="119"/>
        <v>45404.878290046297</v>
      </c>
    </row>
    <row r="1870" spans="6:12" x14ac:dyDescent="0.25">
      <c r="F1870" s="11" t="str">
        <f>IF(ISBLANK(D1870),"",(VLOOKUP(D1870,Cardápio!$A$2:$B$16,2,0))*E1870)</f>
        <v/>
      </c>
      <c r="H1870" s="7" t="str">
        <f t="shared" si="116"/>
        <v/>
      </c>
      <c r="I1870" s="7" t="str">
        <f>IF(AND(ISBLANK(D1870),ISBLANK(C1870)),"",((VLOOKUP(D1870,Cardápio!$A$2:$C$16,3,0))*E1870)+IF(B1870="iFood",F1870*0.27,(VLOOKUP(VENDAS!C1870,Bairros!$A$2:$B$90,2,0))))</f>
        <v/>
      </c>
      <c r="J1870" s="7" t="str">
        <f t="shared" si="117"/>
        <v/>
      </c>
      <c r="K1870" s="9">
        <f t="shared" ca="1" si="118"/>
        <v>45404.878290162036</v>
      </c>
      <c r="L1870" s="10">
        <f t="shared" ca="1" si="119"/>
        <v>45404.878290046297</v>
      </c>
    </row>
    <row r="1871" spans="6:12" x14ac:dyDescent="0.25">
      <c r="F1871" s="11" t="str">
        <f>IF(ISBLANK(D1871),"",(VLOOKUP(D1871,Cardápio!$A$2:$B$16,2,0))*E1871)</f>
        <v/>
      </c>
      <c r="H1871" s="7" t="str">
        <f t="shared" si="116"/>
        <v/>
      </c>
      <c r="I1871" s="7" t="str">
        <f>IF(AND(ISBLANK(D1871),ISBLANK(C1871)),"",((VLOOKUP(D1871,Cardápio!$A$2:$C$16,3,0))*E1871)+IF(B1871="iFood",F1871*0.27,(VLOOKUP(VENDAS!C1871,Bairros!$A$2:$B$90,2,0))))</f>
        <v/>
      </c>
      <c r="J1871" s="7" t="str">
        <f t="shared" si="117"/>
        <v/>
      </c>
      <c r="K1871" s="9">
        <f t="shared" ca="1" si="118"/>
        <v>45404.878290162036</v>
      </c>
      <c r="L1871" s="10">
        <f t="shared" ca="1" si="119"/>
        <v>45404.878290046297</v>
      </c>
    </row>
    <row r="1872" spans="6:12" x14ac:dyDescent="0.25">
      <c r="F1872" s="11" t="str">
        <f>IF(ISBLANK(D1872),"",(VLOOKUP(D1872,Cardápio!$A$2:$B$16,2,0))*E1872)</f>
        <v/>
      </c>
      <c r="H1872" s="7" t="str">
        <f t="shared" si="116"/>
        <v/>
      </c>
      <c r="I1872" s="7" t="str">
        <f>IF(AND(ISBLANK(D1872),ISBLANK(C1872)),"",((VLOOKUP(D1872,Cardápio!$A$2:$C$16,3,0))*E1872)+IF(B1872="iFood",F1872*0.27,(VLOOKUP(VENDAS!C1872,Bairros!$A$2:$B$90,2,0))))</f>
        <v/>
      </c>
      <c r="J1872" s="7" t="str">
        <f t="shared" si="117"/>
        <v/>
      </c>
      <c r="K1872" s="9">
        <f t="shared" ca="1" si="118"/>
        <v>45404.878290162036</v>
      </c>
      <c r="L1872" s="10">
        <f t="shared" ca="1" si="119"/>
        <v>45404.878290046297</v>
      </c>
    </row>
    <row r="1873" spans="6:12" x14ac:dyDescent="0.25">
      <c r="F1873" s="11" t="str">
        <f>IF(ISBLANK(D1873),"",(VLOOKUP(D1873,Cardápio!$A$2:$B$16,2,0))*E1873)</f>
        <v/>
      </c>
      <c r="H1873" s="7" t="str">
        <f t="shared" si="116"/>
        <v/>
      </c>
      <c r="I1873" s="7" t="str">
        <f>IF(AND(ISBLANK(D1873),ISBLANK(C1873)),"",((VLOOKUP(D1873,Cardápio!$A$2:$C$16,3,0))*E1873)+IF(B1873="iFood",F1873*0.27,(VLOOKUP(VENDAS!C1873,Bairros!$A$2:$B$90,2,0))))</f>
        <v/>
      </c>
      <c r="J1873" s="7" t="str">
        <f t="shared" si="117"/>
        <v/>
      </c>
      <c r="K1873" s="9">
        <f t="shared" ca="1" si="118"/>
        <v>45404.878290162036</v>
      </c>
      <c r="L1873" s="10">
        <f t="shared" ca="1" si="119"/>
        <v>45404.878290046297</v>
      </c>
    </row>
    <row r="1874" spans="6:12" x14ac:dyDescent="0.25">
      <c r="F1874" s="11" t="str">
        <f>IF(ISBLANK(D1874),"",(VLOOKUP(D1874,Cardápio!$A$2:$B$16,2,0))*E1874)</f>
        <v/>
      </c>
      <c r="H1874" s="7" t="str">
        <f t="shared" si="116"/>
        <v/>
      </c>
      <c r="I1874" s="7" t="str">
        <f>IF(AND(ISBLANK(D1874),ISBLANK(C1874)),"",((VLOOKUP(D1874,Cardápio!$A$2:$C$16,3,0))*E1874)+IF(B1874="iFood",F1874*0.27,(VLOOKUP(VENDAS!C1874,Bairros!$A$2:$B$90,2,0))))</f>
        <v/>
      </c>
      <c r="J1874" s="7" t="str">
        <f t="shared" si="117"/>
        <v/>
      </c>
      <c r="K1874" s="9">
        <f t="shared" ca="1" si="118"/>
        <v>45404.878290162036</v>
      </c>
      <c r="L1874" s="10">
        <f t="shared" ca="1" si="119"/>
        <v>45404.878290046297</v>
      </c>
    </row>
    <row r="1875" spans="6:12" x14ac:dyDescent="0.25">
      <c r="F1875" s="11" t="str">
        <f>IF(ISBLANK(D1875),"",(VLOOKUP(D1875,Cardápio!$A$2:$B$16,2,0))*E1875)</f>
        <v/>
      </c>
      <c r="H1875" s="7" t="str">
        <f t="shared" si="116"/>
        <v/>
      </c>
      <c r="I1875" s="7" t="str">
        <f>IF(AND(ISBLANK(D1875),ISBLANK(C1875)),"",((VLOOKUP(D1875,Cardápio!$A$2:$C$16,3,0))*E1875)+IF(B1875="iFood",F1875*0.27,(VLOOKUP(VENDAS!C1875,Bairros!$A$2:$B$90,2,0))))</f>
        <v/>
      </c>
      <c r="J1875" s="7" t="str">
        <f t="shared" si="117"/>
        <v/>
      </c>
      <c r="K1875" s="9">
        <f t="shared" ca="1" si="118"/>
        <v>45404.878290162036</v>
      </c>
      <c r="L1875" s="10">
        <f t="shared" ca="1" si="119"/>
        <v>45404.878290046297</v>
      </c>
    </row>
    <row r="1876" spans="6:12" x14ac:dyDescent="0.25">
      <c r="F1876" s="11" t="str">
        <f>IF(ISBLANK(D1876),"",(VLOOKUP(D1876,Cardápio!$A$2:$B$16,2,0))*E1876)</f>
        <v/>
      </c>
      <c r="H1876" s="7" t="str">
        <f t="shared" si="116"/>
        <v/>
      </c>
      <c r="I1876" s="7" t="str">
        <f>IF(AND(ISBLANK(D1876),ISBLANK(C1876)),"",((VLOOKUP(D1876,Cardápio!$A$2:$C$16,3,0))*E1876)+IF(B1876="iFood",F1876*0.27,(VLOOKUP(VENDAS!C1876,Bairros!$A$2:$B$90,2,0))))</f>
        <v/>
      </c>
      <c r="J1876" s="7" t="str">
        <f t="shared" si="117"/>
        <v/>
      </c>
      <c r="K1876" s="9">
        <f t="shared" ca="1" si="118"/>
        <v>45404.878290162036</v>
      </c>
      <c r="L1876" s="10">
        <f t="shared" ca="1" si="119"/>
        <v>45404.878290046297</v>
      </c>
    </row>
    <row r="1877" spans="6:12" x14ac:dyDescent="0.25">
      <c r="F1877" s="11" t="str">
        <f>IF(ISBLANK(D1877),"",(VLOOKUP(D1877,Cardápio!$A$2:$B$16,2,0))*E1877)</f>
        <v/>
      </c>
      <c r="H1877" s="7" t="str">
        <f t="shared" si="116"/>
        <v/>
      </c>
      <c r="I1877" s="7" t="str">
        <f>IF(AND(ISBLANK(D1877),ISBLANK(C1877)),"",((VLOOKUP(D1877,Cardápio!$A$2:$C$16,3,0))*E1877)+IF(B1877="iFood",F1877*0.27,(VLOOKUP(VENDAS!C1877,Bairros!$A$2:$B$90,2,0))))</f>
        <v/>
      </c>
      <c r="J1877" s="7" t="str">
        <f t="shared" si="117"/>
        <v/>
      </c>
      <c r="K1877" s="9">
        <f t="shared" ca="1" si="118"/>
        <v>45404.878290162036</v>
      </c>
      <c r="L1877" s="10">
        <f t="shared" ca="1" si="119"/>
        <v>45404.878290046297</v>
      </c>
    </row>
    <row r="1878" spans="6:12" x14ac:dyDescent="0.25">
      <c r="F1878" s="11" t="str">
        <f>IF(ISBLANK(D1878),"",(VLOOKUP(D1878,Cardápio!$A$2:$B$16,2,0))*E1878)</f>
        <v/>
      </c>
      <c r="H1878" s="7" t="str">
        <f t="shared" si="116"/>
        <v/>
      </c>
      <c r="I1878" s="7" t="str">
        <f>IF(AND(ISBLANK(D1878),ISBLANK(C1878)),"",((VLOOKUP(D1878,Cardápio!$A$2:$C$16,3,0))*E1878)+IF(B1878="iFood",F1878*0.27,(VLOOKUP(VENDAS!C1878,Bairros!$A$2:$B$90,2,0))))</f>
        <v/>
      </c>
      <c r="J1878" s="7" t="str">
        <f t="shared" si="117"/>
        <v/>
      </c>
      <c r="K1878" s="9">
        <f t="shared" ca="1" si="118"/>
        <v>45404.878290162036</v>
      </c>
      <c r="L1878" s="10">
        <f t="shared" ca="1" si="119"/>
        <v>45404.878290046297</v>
      </c>
    </row>
    <row r="1879" spans="6:12" x14ac:dyDescent="0.25">
      <c r="F1879" s="11" t="str">
        <f>IF(ISBLANK(D1879),"",(VLOOKUP(D1879,Cardápio!$A$2:$B$16,2,0))*E1879)</f>
        <v/>
      </c>
      <c r="H1879" s="7" t="str">
        <f t="shared" si="116"/>
        <v/>
      </c>
      <c r="I1879" s="7" t="str">
        <f>IF(AND(ISBLANK(D1879),ISBLANK(C1879)),"",((VLOOKUP(D1879,Cardápio!$A$2:$C$16,3,0))*E1879)+IF(B1879="iFood",F1879*0.27,(VLOOKUP(VENDAS!C1879,Bairros!$A$2:$B$90,2,0))))</f>
        <v/>
      </c>
      <c r="J1879" s="7" t="str">
        <f t="shared" si="117"/>
        <v/>
      </c>
      <c r="K1879" s="9">
        <f t="shared" ca="1" si="118"/>
        <v>45404.878290162036</v>
      </c>
      <c r="L1879" s="10">
        <f t="shared" ca="1" si="119"/>
        <v>45404.878290046297</v>
      </c>
    </row>
    <row r="1880" spans="6:12" x14ac:dyDescent="0.25">
      <c r="F1880" s="11" t="str">
        <f>IF(ISBLANK(D1880),"",(VLOOKUP(D1880,Cardápio!$A$2:$B$16,2,0))*E1880)</f>
        <v/>
      </c>
      <c r="H1880" s="7" t="str">
        <f t="shared" si="116"/>
        <v/>
      </c>
      <c r="I1880" s="7" t="str">
        <f>IF(AND(ISBLANK(D1880),ISBLANK(C1880)),"",((VLOOKUP(D1880,Cardápio!$A$2:$C$16,3,0))*E1880)+IF(B1880="iFood",F1880*0.27,(VLOOKUP(VENDAS!C1880,Bairros!$A$2:$B$90,2,0))))</f>
        <v/>
      </c>
      <c r="J1880" s="7" t="str">
        <f t="shared" si="117"/>
        <v/>
      </c>
      <c r="K1880" s="9">
        <f t="shared" ca="1" si="118"/>
        <v>45404.878290162036</v>
      </c>
      <c r="L1880" s="10">
        <f t="shared" ca="1" si="119"/>
        <v>45404.878290046297</v>
      </c>
    </row>
    <row r="1881" spans="6:12" x14ac:dyDescent="0.25">
      <c r="F1881" s="11" t="str">
        <f>IF(ISBLANK(D1881),"",(VLOOKUP(D1881,Cardápio!$A$2:$B$16,2,0))*E1881)</f>
        <v/>
      </c>
      <c r="H1881" s="7" t="str">
        <f t="shared" si="116"/>
        <v/>
      </c>
      <c r="I1881" s="7" t="str">
        <f>IF(AND(ISBLANK(D1881),ISBLANK(C1881)),"",((VLOOKUP(D1881,Cardápio!$A$2:$C$16,3,0))*E1881)+IF(B1881="iFood",F1881*0.27,(VLOOKUP(VENDAS!C1881,Bairros!$A$2:$B$90,2,0))))</f>
        <v/>
      </c>
      <c r="J1881" s="7" t="str">
        <f t="shared" si="117"/>
        <v/>
      </c>
      <c r="K1881" s="9">
        <f t="shared" ca="1" si="118"/>
        <v>45404.878290162036</v>
      </c>
      <c r="L1881" s="10">
        <f t="shared" ca="1" si="119"/>
        <v>45404.878290046297</v>
      </c>
    </row>
    <row r="1882" spans="6:12" x14ac:dyDescent="0.25">
      <c r="F1882" s="11" t="str">
        <f>IF(ISBLANK(D1882),"",(VLOOKUP(D1882,Cardápio!$A$2:$B$16,2,0))*E1882)</f>
        <v/>
      </c>
      <c r="H1882" s="7" t="str">
        <f t="shared" si="116"/>
        <v/>
      </c>
      <c r="I1882" s="7" t="str">
        <f>IF(AND(ISBLANK(D1882),ISBLANK(C1882)),"",((VLOOKUP(D1882,Cardápio!$A$2:$C$16,3,0))*E1882)+IF(B1882="iFood",F1882*0.27,(VLOOKUP(VENDAS!C1882,Bairros!$A$2:$B$90,2,0))))</f>
        <v/>
      </c>
      <c r="J1882" s="7" t="str">
        <f t="shared" si="117"/>
        <v/>
      </c>
      <c r="K1882" s="9">
        <f t="shared" ca="1" si="118"/>
        <v>45404.878290162036</v>
      </c>
      <c r="L1882" s="10">
        <f t="shared" ca="1" si="119"/>
        <v>45404.878290046297</v>
      </c>
    </row>
    <row r="1883" spans="6:12" x14ac:dyDescent="0.25">
      <c r="F1883" s="11" t="str">
        <f>IF(ISBLANK(D1883),"",(VLOOKUP(D1883,Cardápio!$A$2:$B$16,2,0))*E1883)</f>
        <v/>
      </c>
      <c r="H1883" s="7" t="str">
        <f t="shared" si="116"/>
        <v/>
      </c>
      <c r="I1883" s="7" t="str">
        <f>IF(AND(ISBLANK(D1883),ISBLANK(C1883)),"",((VLOOKUP(D1883,Cardápio!$A$2:$C$16,3,0))*E1883)+IF(B1883="iFood",F1883*0.27,(VLOOKUP(VENDAS!C1883,Bairros!$A$2:$B$90,2,0))))</f>
        <v/>
      </c>
      <c r="J1883" s="7" t="str">
        <f t="shared" si="117"/>
        <v/>
      </c>
      <c r="K1883" s="9">
        <f t="shared" ca="1" si="118"/>
        <v>45404.878290162036</v>
      </c>
      <c r="L1883" s="10">
        <f t="shared" ca="1" si="119"/>
        <v>45404.878290046297</v>
      </c>
    </row>
    <row r="1884" spans="6:12" x14ac:dyDescent="0.25">
      <c r="F1884" s="11" t="str">
        <f>IF(ISBLANK(D1884),"",(VLOOKUP(D1884,Cardápio!$A$2:$B$16,2,0))*E1884)</f>
        <v/>
      </c>
      <c r="H1884" s="7" t="str">
        <f t="shared" si="116"/>
        <v/>
      </c>
      <c r="I1884" s="7" t="str">
        <f>IF(AND(ISBLANK(D1884),ISBLANK(C1884)),"",((VLOOKUP(D1884,Cardápio!$A$2:$C$16,3,0))*E1884)+IF(B1884="iFood",F1884*0.27,(VLOOKUP(VENDAS!C1884,Bairros!$A$2:$B$90,2,0))))</f>
        <v/>
      </c>
      <c r="J1884" s="7" t="str">
        <f t="shared" si="117"/>
        <v/>
      </c>
      <c r="K1884" s="9">
        <f t="shared" ca="1" si="118"/>
        <v>45404.878290162036</v>
      </c>
      <c r="L1884" s="10">
        <f t="shared" ca="1" si="119"/>
        <v>45404.878290046297</v>
      </c>
    </row>
    <row r="1885" spans="6:12" x14ac:dyDescent="0.25">
      <c r="F1885" s="11" t="str">
        <f>IF(ISBLANK(D1885),"",(VLOOKUP(D1885,Cardápio!$A$2:$B$16,2,0))*E1885)</f>
        <v/>
      </c>
      <c r="H1885" s="7" t="str">
        <f t="shared" si="116"/>
        <v/>
      </c>
      <c r="I1885" s="7" t="str">
        <f>IF(AND(ISBLANK(D1885),ISBLANK(C1885)),"",((VLOOKUP(D1885,Cardápio!$A$2:$C$16,3,0))*E1885)+IF(B1885="iFood",F1885*0.27,(VLOOKUP(VENDAS!C1885,Bairros!$A$2:$B$90,2,0))))</f>
        <v/>
      </c>
      <c r="J1885" s="7" t="str">
        <f t="shared" si="117"/>
        <v/>
      </c>
      <c r="K1885" s="9">
        <f t="shared" ca="1" si="118"/>
        <v>45404.878290162036</v>
      </c>
      <c r="L1885" s="10">
        <f t="shared" ca="1" si="119"/>
        <v>45404.878290046297</v>
      </c>
    </row>
    <row r="1886" spans="6:12" x14ac:dyDescent="0.25">
      <c r="F1886" s="11" t="str">
        <f>IF(ISBLANK(D1886),"",(VLOOKUP(D1886,Cardápio!$A$2:$B$16,2,0))*E1886)</f>
        <v/>
      </c>
      <c r="H1886" s="7" t="str">
        <f t="shared" si="116"/>
        <v/>
      </c>
      <c r="I1886" s="7" t="str">
        <f>IF(AND(ISBLANK(D1886),ISBLANK(C1886)),"",((VLOOKUP(D1886,Cardápio!$A$2:$C$16,3,0))*E1886)+IF(B1886="iFood",F1886*0.27,(VLOOKUP(VENDAS!C1886,Bairros!$A$2:$B$90,2,0))))</f>
        <v/>
      </c>
      <c r="J1886" s="7" t="str">
        <f t="shared" si="117"/>
        <v/>
      </c>
      <c r="K1886" s="9">
        <f t="shared" ca="1" si="118"/>
        <v>45404.878290162036</v>
      </c>
      <c r="L1886" s="10">
        <f t="shared" ca="1" si="119"/>
        <v>45404.878290046297</v>
      </c>
    </row>
    <row r="1887" spans="6:12" x14ac:dyDescent="0.25">
      <c r="F1887" s="11" t="str">
        <f>IF(ISBLANK(D1887),"",(VLOOKUP(D1887,Cardápio!$A$2:$B$16,2,0))*E1887)</f>
        <v/>
      </c>
      <c r="H1887" s="7" t="str">
        <f t="shared" si="116"/>
        <v/>
      </c>
      <c r="I1887" s="7" t="str">
        <f>IF(AND(ISBLANK(D1887),ISBLANK(C1887)),"",((VLOOKUP(D1887,Cardápio!$A$2:$C$16,3,0))*E1887)+IF(B1887="iFood",F1887*0.27,(VLOOKUP(VENDAS!C1887,Bairros!$A$2:$B$90,2,0))))</f>
        <v/>
      </c>
      <c r="J1887" s="7" t="str">
        <f t="shared" si="117"/>
        <v/>
      </c>
      <c r="K1887" s="9">
        <f t="shared" ca="1" si="118"/>
        <v>45404.878290162036</v>
      </c>
      <c r="L1887" s="10">
        <f t="shared" ca="1" si="119"/>
        <v>45404.878290046297</v>
      </c>
    </row>
    <row r="1888" spans="6:12" x14ac:dyDescent="0.25">
      <c r="F1888" s="11" t="str">
        <f>IF(ISBLANK(D1888),"",(VLOOKUP(D1888,Cardápio!$A$2:$B$16,2,0))*E1888)</f>
        <v/>
      </c>
      <c r="H1888" s="7" t="str">
        <f t="shared" si="116"/>
        <v/>
      </c>
      <c r="I1888" s="7" t="str">
        <f>IF(AND(ISBLANK(D1888),ISBLANK(C1888)),"",((VLOOKUP(D1888,Cardápio!$A$2:$C$16,3,0))*E1888)+IF(B1888="iFood",F1888*0.27,(VLOOKUP(VENDAS!C1888,Bairros!$A$2:$B$90,2,0))))</f>
        <v/>
      </c>
      <c r="J1888" s="7" t="str">
        <f t="shared" si="117"/>
        <v/>
      </c>
      <c r="K1888" s="9">
        <f t="shared" ca="1" si="118"/>
        <v>45404.878290162036</v>
      </c>
      <c r="L1888" s="10">
        <f t="shared" ca="1" si="119"/>
        <v>45404.878290046297</v>
      </c>
    </row>
    <row r="1889" spans="6:12" x14ac:dyDescent="0.25">
      <c r="F1889" s="11" t="str">
        <f>IF(ISBLANK(D1889),"",(VLOOKUP(D1889,Cardápio!$A$2:$B$16,2,0))*E1889)</f>
        <v/>
      </c>
      <c r="H1889" s="7" t="str">
        <f t="shared" si="116"/>
        <v/>
      </c>
      <c r="I1889" s="7" t="str">
        <f>IF(AND(ISBLANK(D1889),ISBLANK(C1889)),"",((VLOOKUP(D1889,Cardápio!$A$2:$C$16,3,0))*E1889)+IF(B1889="iFood",F1889*0.27,(VLOOKUP(VENDAS!C1889,Bairros!$A$2:$B$90,2,0))))</f>
        <v/>
      </c>
      <c r="J1889" s="7" t="str">
        <f t="shared" si="117"/>
        <v/>
      </c>
      <c r="K1889" s="9">
        <f t="shared" ca="1" si="118"/>
        <v>45404.878290162036</v>
      </c>
      <c r="L1889" s="10">
        <f t="shared" ca="1" si="119"/>
        <v>45404.878290046297</v>
      </c>
    </row>
    <row r="1890" spans="6:12" x14ac:dyDescent="0.25">
      <c r="F1890" s="11" t="str">
        <f>IF(ISBLANK(D1890),"",(VLOOKUP(D1890,Cardápio!$A$2:$B$16,2,0))*E1890)</f>
        <v/>
      </c>
      <c r="H1890" s="7" t="str">
        <f t="shared" si="116"/>
        <v/>
      </c>
      <c r="I1890" s="7" t="str">
        <f>IF(AND(ISBLANK(D1890),ISBLANK(C1890)),"",((VLOOKUP(D1890,Cardápio!$A$2:$C$16,3,0))*E1890)+IF(B1890="iFood",F1890*0.27,(VLOOKUP(VENDAS!C1890,Bairros!$A$2:$B$90,2,0))))</f>
        <v/>
      </c>
      <c r="J1890" s="7" t="str">
        <f t="shared" si="117"/>
        <v/>
      </c>
      <c r="K1890" s="9">
        <f t="shared" ca="1" si="118"/>
        <v>45404.878290162036</v>
      </c>
      <c r="L1890" s="10">
        <f t="shared" ca="1" si="119"/>
        <v>45404.878290046297</v>
      </c>
    </row>
    <row r="1891" spans="6:12" x14ac:dyDescent="0.25">
      <c r="F1891" s="11" t="str">
        <f>IF(ISBLANK(D1891),"",(VLOOKUP(D1891,Cardápio!$A$2:$B$16,2,0))*E1891)</f>
        <v/>
      </c>
      <c r="H1891" s="7" t="str">
        <f t="shared" si="116"/>
        <v/>
      </c>
      <c r="I1891" s="7" t="str">
        <f>IF(AND(ISBLANK(D1891),ISBLANK(C1891)),"",((VLOOKUP(D1891,Cardápio!$A$2:$C$16,3,0))*E1891)+IF(B1891="iFood",F1891*0.27,(VLOOKUP(VENDAS!C1891,Bairros!$A$2:$B$90,2,0))))</f>
        <v/>
      </c>
      <c r="J1891" s="7" t="str">
        <f t="shared" si="117"/>
        <v/>
      </c>
      <c r="K1891" s="9">
        <f t="shared" ca="1" si="118"/>
        <v>45404.878290162036</v>
      </c>
      <c r="L1891" s="10">
        <f t="shared" ca="1" si="119"/>
        <v>45404.878290046297</v>
      </c>
    </row>
    <row r="1892" spans="6:12" x14ac:dyDescent="0.25">
      <c r="F1892" s="11" t="str">
        <f>IF(ISBLANK(D1892),"",(VLOOKUP(D1892,Cardápio!$A$2:$B$16,2,0))*E1892)</f>
        <v/>
      </c>
      <c r="H1892" s="7" t="str">
        <f t="shared" si="116"/>
        <v/>
      </c>
      <c r="I1892" s="7" t="str">
        <f>IF(AND(ISBLANK(D1892),ISBLANK(C1892)),"",((VLOOKUP(D1892,Cardápio!$A$2:$C$16,3,0))*E1892)+IF(B1892="iFood",F1892*0.27,(VLOOKUP(VENDAS!C1892,Bairros!$A$2:$B$90,2,0))))</f>
        <v/>
      </c>
      <c r="J1892" s="7" t="str">
        <f t="shared" si="117"/>
        <v/>
      </c>
      <c r="K1892" s="9">
        <f t="shared" ca="1" si="118"/>
        <v>45404.878290162036</v>
      </c>
      <c r="L1892" s="10">
        <f t="shared" ca="1" si="119"/>
        <v>45404.878290046297</v>
      </c>
    </row>
    <row r="1893" spans="6:12" x14ac:dyDescent="0.25">
      <c r="F1893" s="11" t="str">
        <f>IF(ISBLANK(D1893),"",(VLOOKUP(D1893,Cardápio!$A$2:$B$16,2,0))*E1893)</f>
        <v/>
      </c>
      <c r="H1893" s="7" t="str">
        <f t="shared" si="116"/>
        <v/>
      </c>
      <c r="I1893" s="7" t="str">
        <f>IF(AND(ISBLANK(D1893),ISBLANK(C1893)),"",((VLOOKUP(D1893,Cardápio!$A$2:$C$16,3,0))*E1893)+IF(B1893="iFood",F1893*0.27,(VLOOKUP(VENDAS!C1893,Bairros!$A$2:$B$90,2,0))))</f>
        <v/>
      </c>
      <c r="J1893" s="7" t="str">
        <f t="shared" si="117"/>
        <v/>
      </c>
      <c r="K1893" s="9">
        <f t="shared" ca="1" si="118"/>
        <v>45404.878290162036</v>
      </c>
      <c r="L1893" s="10">
        <f t="shared" ca="1" si="119"/>
        <v>45404.878290046297</v>
      </c>
    </row>
    <row r="1894" spans="6:12" x14ac:dyDescent="0.25">
      <c r="F1894" s="11" t="str">
        <f>IF(ISBLANK(D1894),"",(VLOOKUP(D1894,Cardápio!$A$2:$B$16,2,0))*E1894)</f>
        <v/>
      </c>
      <c r="H1894" s="7" t="str">
        <f t="shared" si="116"/>
        <v/>
      </c>
      <c r="I1894" s="7" t="str">
        <f>IF(AND(ISBLANK(D1894),ISBLANK(C1894)),"",((VLOOKUP(D1894,Cardápio!$A$2:$C$16,3,0))*E1894)+IF(B1894="iFood",F1894*0.27,(VLOOKUP(VENDAS!C1894,Bairros!$A$2:$B$90,2,0))))</f>
        <v/>
      </c>
      <c r="J1894" s="7" t="str">
        <f t="shared" si="117"/>
        <v/>
      </c>
      <c r="K1894" s="9">
        <f t="shared" ca="1" si="118"/>
        <v>45404.878290162036</v>
      </c>
      <c r="L1894" s="10">
        <f t="shared" ca="1" si="119"/>
        <v>45404.878290046297</v>
      </c>
    </row>
    <row r="1895" spans="6:12" x14ac:dyDescent="0.25">
      <c r="F1895" s="11" t="str">
        <f>IF(ISBLANK(D1895),"",(VLOOKUP(D1895,Cardápio!$A$2:$B$16,2,0))*E1895)</f>
        <v/>
      </c>
      <c r="H1895" s="7" t="str">
        <f t="shared" si="116"/>
        <v/>
      </c>
      <c r="I1895" s="7" t="str">
        <f>IF(AND(ISBLANK(D1895),ISBLANK(C1895)),"",((VLOOKUP(D1895,Cardápio!$A$2:$C$16,3,0))*E1895)+IF(B1895="iFood",F1895*0.27,(VLOOKUP(VENDAS!C1895,Bairros!$A$2:$B$90,2,0))))</f>
        <v/>
      </c>
      <c r="J1895" s="7" t="str">
        <f t="shared" si="117"/>
        <v/>
      </c>
      <c r="K1895" s="9">
        <f t="shared" ca="1" si="118"/>
        <v>45404.878290162036</v>
      </c>
      <c r="L1895" s="10">
        <f t="shared" ca="1" si="119"/>
        <v>45404.878290046297</v>
      </c>
    </row>
    <row r="1896" spans="6:12" x14ac:dyDescent="0.25">
      <c r="F1896" s="11" t="str">
        <f>IF(ISBLANK(D1896),"",(VLOOKUP(D1896,Cardápio!$A$2:$B$16,2,0))*E1896)</f>
        <v/>
      </c>
      <c r="H1896" s="7" t="str">
        <f t="shared" si="116"/>
        <v/>
      </c>
      <c r="I1896" s="7" t="str">
        <f>IF(AND(ISBLANK(D1896),ISBLANK(C1896)),"",((VLOOKUP(D1896,Cardápio!$A$2:$C$16,3,0))*E1896)+IF(B1896="iFood",F1896*0.27,(VLOOKUP(VENDAS!C1896,Bairros!$A$2:$B$90,2,0))))</f>
        <v/>
      </c>
      <c r="J1896" s="7" t="str">
        <f t="shared" si="117"/>
        <v/>
      </c>
      <c r="K1896" s="9">
        <f t="shared" ca="1" si="118"/>
        <v>45404.878290162036</v>
      </c>
      <c r="L1896" s="10">
        <f t="shared" ca="1" si="119"/>
        <v>45404.878290046297</v>
      </c>
    </row>
    <row r="1897" spans="6:12" x14ac:dyDescent="0.25">
      <c r="F1897" s="11" t="str">
        <f>IF(ISBLANK(D1897),"",(VLOOKUP(D1897,Cardápio!$A$2:$B$16,2,0))*E1897)</f>
        <v/>
      </c>
      <c r="H1897" s="7" t="str">
        <f t="shared" si="116"/>
        <v/>
      </c>
      <c r="I1897" s="7" t="str">
        <f>IF(AND(ISBLANK(D1897),ISBLANK(C1897)),"",((VLOOKUP(D1897,Cardápio!$A$2:$C$16,3,0))*E1897)+IF(B1897="iFood",F1897*0.27,(VLOOKUP(VENDAS!C1897,Bairros!$A$2:$B$90,2,0))))</f>
        <v/>
      </c>
      <c r="J1897" s="7" t="str">
        <f t="shared" si="117"/>
        <v/>
      </c>
      <c r="K1897" s="9">
        <f t="shared" ca="1" si="118"/>
        <v>45404.878290162036</v>
      </c>
      <c r="L1897" s="10">
        <f t="shared" ca="1" si="119"/>
        <v>45404.878290046297</v>
      </c>
    </row>
    <row r="1898" spans="6:12" x14ac:dyDescent="0.25">
      <c r="F1898" s="11" t="str">
        <f>IF(ISBLANK(D1898),"",(VLOOKUP(D1898,Cardápio!$A$2:$B$16,2,0))*E1898)</f>
        <v/>
      </c>
      <c r="H1898" s="7" t="str">
        <f t="shared" si="116"/>
        <v/>
      </c>
      <c r="I1898" s="7" t="str">
        <f>IF(AND(ISBLANK(D1898),ISBLANK(C1898)),"",((VLOOKUP(D1898,Cardápio!$A$2:$C$16,3,0))*E1898)+IF(B1898="iFood",F1898*0.27,(VLOOKUP(VENDAS!C1898,Bairros!$A$2:$B$90,2,0))))</f>
        <v/>
      </c>
      <c r="J1898" s="7" t="str">
        <f t="shared" si="117"/>
        <v/>
      </c>
      <c r="K1898" s="9">
        <f t="shared" ca="1" si="118"/>
        <v>45404.878290162036</v>
      </c>
      <c r="L1898" s="10">
        <f t="shared" ca="1" si="119"/>
        <v>45404.878290046297</v>
      </c>
    </row>
    <row r="1899" spans="6:12" x14ac:dyDescent="0.25">
      <c r="F1899" s="11" t="str">
        <f>IF(ISBLANK(D1899),"",(VLOOKUP(D1899,Cardápio!$A$2:$B$16,2,0))*E1899)</f>
        <v/>
      </c>
      <c r="H1899" s="7" t="str">
        <f t="shared" si="116"/>
        <v/>
      </c>
      <c r="I1899" s="7" t="str">
        <f>IF(AND(ISBLANK(D1899),ISBLANK(C1899)),"",((VLOOKUP(D1899,Cardápio!$A$2:$C$16,3,0))*E1899)+IF(B1899="iFood",F1899*0.27,(VLOOKUP(VENDAS!C1899,Bairros!$A$2:$B$90,2,0))))</f>
        <v/>
      </c>
      <c r="J1899" s="7" t="str">
        <f t="shared" si="117"/>
        <v/>
      </c>
      <c r="K1899" s="9">
        <f t="shared" ca="1" si="118"/>
        <v>45404.878290162036</v>
      </c>
      <c r="L1899" s="10">
        <f t="shared" ca="1" si="119"/>
        <v>45404.878290046297</v>
      </c>
    </row>
    <row r="1900" spans="6:12" x14ac:dyDescent="0.25">
      <c r="F1900" s="11" t="str">
        <f>IF(ISBLANK(D1900),"",(VLOOKUP(D1900,Cardápio!$A$2:$B$16,2,0))*E1900)</f>
        <v/>
      </c>
      <c r="H1900" s="7" t="str">
        <f t="shared" si="116"/>
        <v/>
      </c>
      <c r="I1900" s="7" t="str">
        <f>IF(AND(ISBLANK(D1900),ISBLANK(C1900)),"",((VLOOKUP(D1900,Cardápio!$A$2:$C$16,3,0))*E1900)+IF(B1900="iFood",F1900*0.27,(VLOOKUP(VENDAS!C1900,Bairros!$A$2:$B$90,2,0))))</f>
        <v/>
      </c>
      <c r="J1900" s="7" t="str">
        <f t="shared" si="117"/>
        <v/>
      </c>
      <c r="K1900" s="9">
        <f t="shared" ca="1" si="118"/>
        <v>45404.878290162036</v>
      </c>
      <c r="L1900" s="10">
        <f t="shared" ca="1" si="119"/>
        <v>45404.878290046297</v>
      </c>
    </row>
    <row r="1901" spans="6:12" x14ac:dyDescent="0.25">
      <c r="F1901" s="11" t="str">
        <f>IF(ISBLANK(D1901),"",(VLOOKUP(D1901,Cardápio!$A$2:$B$16,2,0))*E1901)</f>
        <v/>
      </c>
      <c r="H1901" s="7" t="str">
        <f t="shared" si="116"/>
        <v/>
      </c>
      <c r="I1901" s="7" t="str">
        <f>IF(AND(ISBLANK(D1901),ISBLANK(C1901)),"",((VLOOKUP(D1901,Cardápio!$A$2:$C$16,3,0))*E1901)+IF(B1901="iFood",F1901*0.27,(VLOOKUP(VENDAS!C1901,Bairros!$A$2:$B$90,2,0))))</f>
        <v/>
      </c>
      <c r="J1901" s="7" t="str">
        <f t="shared" si="117"/>
        <v/>
      </c>
      <c r="K1901" s="9">
        <f t="shared" ca="1" si="118"/>
        <v>45404.878290162036</v>
      </c>
      <c r="L1901" s="10">
        <f t="shared" ca="1" si="119"/>
        <v>45404.878290046297</v>
      </c>
    </row>
    <row r="1902" spans="6:12" x14ac:dyDescent="0.25">
      <c r="F1902" s="11" t="str">
        <f>IF(ISBLANK(D1902),"",(VLOOKUP(D1902,Cardápio!$A$2:$B$16,2,0))*E1902)</f>
        <v/>
      </c>
      <c r="H1902" s="7" t="str">
        <f t="shared" si="116"/>
        <v/>
      </c>
      <c r="I1902" s="7" t="str">
        <f>IF(AND(ISBLANK(D1902),ISBLANK(C1902)),"",((VLOOKUP(D1902,Cardápio!$A$2:$C$16,3,0))*E1902)+IF(B1902="iFood",F1902*0.27,(VLOOKUP(VENDAS!C1902,Bairros!$A$2:$B$90,2,0))))</f>
        <v/>
      </c>
      <c r="J1902" s="7" t="str">
        <f t="shared" si="117"/>
        <v/>
      </c>
      <c r="K1902" s="9">
        <f t="shared" ca="1" si="118"/>
        <v>45404.878290162036</v>
      </c>
      <c r="L1902" s="10">
        <f t="shared" ca="1" si="119"/>
        <v>45404.878290046297</v>
      </c>
    </row>
    <row r="1903" spans="6:12" x14ac:dyDescent="0.25">
      <c r="F1903" s="11" t="str">
        <f>IF(ISBLANK(D1903),"",(VLOOKUP(D1903,Cardápio!$A$2:$B$16,2,0))*E1903)</f>
        <v/>
      </c>
      <c r="H1903" s="7" t="str">
        <f t="shared" si="116"/>
        <v/>
      </c>
      <c r="I1903" s="7" t="str">
        <f>IF(AND(ISBLANK(D1903),ISBLANK(C1903)),"",((VLOOKUP(D1903,Cardápio!$A$2:$C$16,3,0))*E1903)+IF(B1903="iFood",F1903*0.27,(VLOOKUP(VENDAS!C1903,Bairros!$A$2:$B$90,2,0))))</f>
        <v/>
      </c>
      <c r="J1903" s="7" t="str">
        <f t="shared" si="117"/>
        <v/>
      </c>
      <c r="K1903" s="9">
        <f t="shared" ca="1" si="118"/>
        <v>45404.878290162036</v>
      </c>
      <c r="L1903" s="10">
        <f t="shared" ca="1" si="119"/>
        <v>45404.878290046297</v>
      </c>
    </row>
    <row r="1904" spans="6:12" x14ac:dyDescent="0.25">
      <c r="F1904" s="11" t="str">
        <f>IF(ISBLANK(D1904),"",(VLOOKUP(D1904,Cardápio!$A$2:$B$16,2,0))*E1904)</f>
        <v/>
      </c>
      <c r="H1904" s="7" t="str">
        <f t="shared" si="116"/>
        <v/>
      </c>
      <c r="I1904" s="7" t="str">
        <f>IF(AND(ISBLANK(D1904),ISBLANK(C1904)),"",((VLOOKUP(D1904,Cardápio!$A$2:$C$16,3,0))*E1904)+IF(B1904="iFood",F1904*0.27,(VLOOKUP(VENDAS!C1904,Bairros!$A$2:$B$90,2,0))))</f>
        <v/>
      </c>
      <c r="J1904" s="7" t="str">
        <f t="shared" si="117"/>
        <v/>
      </c>
      <c r="K1904" s="9">
        <f t="shared" ca="1" si="118"/>
        <v>45404.878290162036</v>
      </c>
      <c r="L1904" s="10">
        <f t="shared" ca="1" si="119"/>
        <v>45404.878290046297</v>
      </c>
    </row>
    <row r="1905" spans="6:12" x14ac:dyDescent="0.25">
      <c r="F1905" s="11" t="str">
        <f>IF(ISBLANK(D1905),"",(VLOOKUP(D1905,Cardápio!$A$2:$B$16,2,0))*E1905)</f>
        <v/>
      </c>
      <c r="H1905" s="7" t="str">
        <f t="shared" si="116"/>
        <v/>
      </c>
      <c r="I1905" s="7" t="str">
        <f>IF(AND(ISBLANK(D1905),ISBLANK(C1905)),"",((VLOOKUP(D1905,Cardápio!$A$2:$C$16,3,0))*E1905)+IF(B1905="iFood",F1905*0.27,(VLOOKUP(VENDAS!C1905,Bairros!$A$2:$B$90,2,0))))</f>
        <v/>
      </c>
      <c r="J1905" s="7" t="str">
        <f t="shared" si="117"/>
        <v/>
      </c>
      <c r="K1905" s="9">
        <f t="shared" ca="1" si="118"/>
        <v>45404.878290162036</v>
      </c>
      <c r="L1905" s="10">
        <f t="shared" ca="1" si="119"/>
        <v>45404.878290046297</v>
      </c>
    </row>
    <row r="1906" spans="6:12" x14ac:dyDescent="0.25">
      <c r="F1906" s="11" t="str">
        <f>IF(ISBLANK(D1906),"",(VLOOKUP(D1906,Cardápio!$A$2:$B$16,2,0))*E1906)</f>
        <v/>
      </c>
      <c r="H1906" s="7" t="str">
        <f t="shared" si="116"/>
        <v/>
      </c>
      <c r="I1906" s="7" t="str">
        <f>IF(AND(ISBLANK(D1906),ISBLANK(C1906)),"",((VLOOKUP(D1906,Cardápio!$A$2:$C$16,3,0))*E1906)+IF(B1906="iFood",F1906*0.27,(VLOOKUP(VENDAS!C1906,Bairros!$A$2:$B$90,2,0))))</f>
        <v/>
      </c>
      <c r="J1906" s="7" t="str">
        <f t="shared" si="117"/>
        <v/>
      </c>
      <c r="K1906" s="9">
        <f t="shared" ca="1" si="118"/>
        <v>45404.878290162036</v>
      </c>
      <c r="L1906" s="10">
        <f t="shared" ca="1" si="119"/>
        <v>45404.878290046297</v>
      </c>
    </row>
    <row r="1907" spans="6:12" x14ac:dyDescent="0.25">
      <c r="F1907" s="11" t="str">
        <f>IF(ISBLANK(D1907),"",(VLOOKUP(D1907,Cardápio!$A$2:$B$16,2,0))*E1907)</f>
        <v/>
      </c>
      <c r="H1907" s="7" t="str">
        <f t="shared" si="116"/>
        <v/>
      </c>
      <c r="I1907" s="7" t="str">
        <f>IF(AND(ISBLANK(D1907),ISBLANK(C1907)),"",((VLOOKUP(D1907,Cardápio!$A$2:$C$16,3,0))*E1907)+IF(B1907="iFood",F1907*0.27,(VLOOKUP(VENDAS!C1907,Bairros!$A$2:$B$90,2,0))))</f>
        <v/>
      </c>
      <c r="J1907" s="7" t="str">
        <f t="shared" si="117"/>
        <v/>
      </c>
      <c r="K1907" s="9">
        <f t="shared" ca="1" si="118"/>
        <v>45404.878290162036</v>
      </c>
      <c r="L1907" s="10">
        <f t="shared" ca="1" si="119"/>
        <v>45404.878290046297</v>
      </c>
    </row>
    <row r="1908" spans="6:12" x14ac:dyDescent="0.25">
      <c r="F1908" s="11" t="str">
        <f>IF(ISBLANK(D1908),"",(VLOOKUP(D1908,Cardápio!$A$2:$B$16,2,0))*E1908)</f>
        <v/>
      </c>
      <c r="H1908" s="7" t="str">
        <f t="shared" si="116"/>
        <v/>
      </c>
      <c r="I1908" s="7" t="str">
        <f>IF(AND(ISBLANK(D1908),ISBLANK(C1908)),"",((VLOOKUP(D1908,Cardápio!$A$2:$C$16,3,0))*E1908)+IF(B1908="iFood",F1908*0.27,(VLOOKUP(VENDAS!C1908,Bairros!$A$2:$B$90,2,0))))</f>
        <v/>
      </c>
      <c r="J1908" s="7" t="str">
        <f t="shared" si="117"/>
        <v/>
      </c>
      <c r="K1908" s="9">
        <f t="shared" ca="1" si="118"/>
        <v>45404.878290162036</v>
      </c>
      <c r="L1908" s="10">
        <f t="shared" ca="1" si="119"/>
        <v>45404.878290046297</v>
      </c>
    </row>
    <row r="1909" spans="6:12" x14ac:dyDescent="0.25">
      <c r="F1909" s="11" t="str">
        <f>IF(ISBLANK(D1909),"",(VLOOKUP(D1909,Cardápio!$A$2:$B$16,2,0))*E1909)</f>
        <v/>
      </c>
      <c r="H1909" s="7" t="str">
        <f t="shared" ref="H1909:H1972" si="120">IF(ISBLANK(D1909),"",F1909-G1909)</f>
        <v/>
      </c>
      <c r="I1909" s="7" t="str">
        <f>IF(AND(ISBLANK(D1909),ISBLANK(C1909)),"",((VLOOKUP(D1909,Cardápio!$A$2:$C$16,3,0))*E1909)+IF(B1909="iFood",F1909*0.27,(VLOOKUP(VENDAS!C1909,Bairros!$A$2:$B$90,2,0))))</f>
        <v/>
      </c>
      <c r="J1909" s="7" t="str">
        <f t="shared" ref="J1909:J1972" si="121">IF(OR(AND(ISBLANK(H1909),ISBLANK(I1909)),(AND(H1909="",I1909=""))),"",H1909-I1909)</f>
        <v/>
      </c>
      <c r="K1909" s="9">
        <f t="shared" ref="K1909:K1972" ca="1" si="122">IF(D1909&lt;&gt;"",K1909,NOW())</f>
        <v>45404.878290162036</v>
      </c>
      <c r="L1909" s="10">
        <f t="shared" ref="L1909:L1972" ca="1" si="123">IF(D1909&lt;&gt;"",L1909,NOW())</f>
        <v>45404.878290046297</v>
      </c>
    </row>
    <row r="1910" spans="6:12" x14ac:dyDescent="0.25">
      <c r="F1910" s="11" t="str">
        <f>IF(ISBLANK(D1910),"",(VLOOKUP(D1910,Cardápio!$A$2:$B$16,2,0))*E1910)</f>
        <v/>
      </c>
      <c r="H1910" s="7" t="str">
        <f t="shared" si="120"/>
        <v/>
      </c>
      <c r="I1910" s="7" t="str">
        <f>IF(AND(ISBLANK(D1910),ISBLANK(C1910)),"",((VLOOKUP(D1910,Cardápio!$A$2:$C$16,3,0))*E1910)+IF(B1910="iFood",F1910*0.27,(VLOOKUP(VENDAS!C1910,Bairros!$A$2:$B$90,2,0))))</f>
        <v/>
      </c>
      <c r="J1910" s="7" t="str">
        <f t="shared" si="121"/>
        <v/>
      </c>
      <c r="K1910" s="9">
        <f t="shared" ca="1" si="122"/>
        <v>45404.878290162036</v>
      </c>
      <c r="L1910" s="10">
        <f t="shared" ca="1" si="123"/>
        <v>45404.878290046297</v>
      </c>
    </row>
    <row r="1911" spans="6:12" x14ac:dyDescent="0.25">
      <c r="F1911" s="11" t="str">
        <f>IF(ISBLANK(D1911),"",(VLOOKUP(D1911,Cardápio!$A$2:$B$16,2,0))*E1911)</f>
        <v/>
      </c>
      <c r="H1911" s="7" t="str">
        <f t="shared" si="120"/>
        <v/>
      </c>
      <c r="I1911" s="7" t="str">
        <f>IF(AND(ISBLANK(D1911),ISBLANK(C1911)),"",((VLOOKUP(D1911,Cardápio!$A$2:$C$16,3,0))*E1911)+IF(B1911="iFood",F1911*0.27,(VLOOKUP(VENDAS!C1911,Bairros!$A$2:$B$90,2,0))))</f>
        <v/>
      </c>
      <c r="J1911" s="7" t="str">
        <f t="shared" si="121"/>
        <v/>
      </c>
      <c r="K1911" s="9">
        <f t="shared" ca="1" si="122"/>
        <v>45404.878290162036</v>
      </c>
      <c r="L1911" s="10">
        <f t="shared" ca="1" si="123"/>
        <v>45404.878290046297</v>
      </c>
    </row>
    <row r="1912" spans="6:12" x14ac:dyDescent="0.25">
      <c r="F1912" s="11" t="str">
        <f>IF(ISBLANK(D1912),"",(VLOOKUP(D1912,Cardápio!$A$2:$B$16,2,0))*E1912)</f>
        <v/>
      </c>
      <c r="H1912" s="7" t="str">
        <f t="shared" si="120"/>
        <v/>
      </c>
      <c r="I1912" s="7" t="str">
        <f>IF(AND(ISBLANK(D1912),ISBLANK(C1912)),"",((VLOOKUP(D1912,Cardápio!$A$2:$C$16,3,0))*E1912)+IF(B1912="iFood",F1912*0.27,(VLOOKUP(VENDAS!C1912,Bairros!$A$2:$B$90,2,0))))</f>
        <v/>
      </c>
      <c r="J1912" s="7" t="str">
        <f t="shared" si="121"/>
        <v/>
      </c>
      <c r="K1912" s="9">
        <f t="shared" ca="1" si="122"/>
        <v>45404.878290162036</v>
      </c>
      <c r="L1912" s="10">
        <f t="shared" ca="1" si="123"/>
        <v>45404.878290046297</v>
      </c>
    </row>
    <row r="1913" spans="6:12" x14ac:dyDescent="0.25">
      <c r="F1913" s="11" t="str">
        <f>IF(ISBLANK(D1913),"",(VLOOKUP(D1913,Cardápio!$A$2:$B$16,2,0))*E1913)</f>
        <v/>
      </c>
      <c r="H1913" s="7" t="str">
        <f t="shared" si="120"/>
        <v/>
      </c>
      <c r="I1913" s="7" t="str">
        <f>IF(AND(ISBLANK(D1913),ISBLANK(C1913)),"",((VLOOKUP(D1913,Cardápio!$A$2:$C$16,3,0))*E1913)+IF(B1913="iFood",F1913*0.27,(VLOOKUP(VENDAS!C1913,Bairros!$A$2:$B$90,2,0))))</f>
        <v/>
      </c>
      <c r="J1913" s="7" t="str">
        <f t="shared" si="121"/>
        <v/>
      </c>
      <c r="K1913" s="9">
        <f t="shared" ca="1" si="122"/>
        <v>45404.878290162036</v>
      </c>
      <c r="L1913" s="10">
        <f t="shared" ca="1" si="123"/>
        <v>45404.878290046297</v>
      </c>
    </row>
    <row r="1914" spans="6:12" x14ac:dyDescent="0.25">
      <c r="F1914" s="11" t="str">
        <f>IF(ISBLANK(D1914),"",(VLOOKUP(D1914,Cardápio!$A$2:$B$16,2,0))*E1914)</f>
        <v/>
      </c>
      <c r="H1914" s="7" t="str">
        <f t="shared" si="120"/>
        <v/>
      </c>
      <c r="I1914" s="7" t="str">
        <f>IF(AND(ISBLANK(D1914),ISBLANK(C1914)),"",((VLOOKUP(D1914,Cardápio!$A$2:$C$16,3,0))*E1914)+IF(B1914="iFood",F1914*0.27,(VLOOKUP(VENDAS!C1914,Bairros!$A$2:$B$90,2,0))))</f>
        <v/>
      </c>
      <c r="J1914" s="7" t="str">
        <f t="shared" si="121"/>
        <v/>
      </c>
      <c r="K1914" s="9">
        <f t="shared" ca="1" si="122"/>
        <v>45404.878290162036</v>
      </c>
      <c r="L1914" s="10">
        <f t="shared" ca="1" si="123"/>
        <v>45404.878290046297</v>
      </c>
    </row>
    <row r="1915" spans="6:12" x14ac:dyDescent="0.25">
      <c r="F1915" s="11" t="str">
        <f>IF(ISBLANK(D1915),"",(VLOOKUP(D1915,Cardápio!$A$2:$B$16,2,0))*E1915)</f>
        <v/>
      </c>
      <c r="H1915" s="7" t="str">
        <f t="shared" si="120"/>
        <v/>
      </c>
      <c r="I1915" s="7" t="str">
        <f>IF(AND(ISBLANK(D1915),ISBLANK(C1915)),"",((VLOOKUP(D1915,Cardápio!$A$2:$C$16,3,0))*E1915)+IF(B1915="iFood",F1915*0.27,(VLOOKUP(VENDAS!C1915,Bairros!$A$2:$B$90,2,0))))</f>
        <v/>
      </c>
      <c r="J1915" s="7" t="str">
        <f t="shared" si="121"/>
        <v/>
      </c>
      <c r="K1915" s="9">
        <f t="shared" ca="1" si="122"/>
        <v>45404.878290162036</v>
      </c>
      <c r="L1915" s="10">
        <f t="shared" ca="1" si="123"/>
        <v>45404.878290046297</v>
      </c>
    </row>
    <row r="1916" spans="6:12" x14ac:dyDescent="0.25">
      <c r="F1916" s="11" t="str">
        <f>IF(ISBLANK(D1916),"",(VLOOKUP(D1916,Cardápio!$A$2:$B$16,2,0))*E1916)</f>
        <v/>
      </c>
      <c r="H1916" s="7" t="str">
        <f t="shared" si="120"/>
        <v/>
      </c>
      <c r="I1916" s="7" t="str">
        <f>IF(AND(ISBLANK(D1916),ISBLANK(C1916)),"",((VLOOKUP(D1916,Cardápio!$A$2:$C$16,3,0))*E1916)+IF(B1916="iFood",F1916*0.27,(VLOOKUP(VENDAS!C1916,Bairros!$A$2:$B$90,2,0))))</f>
        <v/>
      </c>
      <c r="J1916" s="7" t="str">
        <f t="shared" si="121"/>
        <v/>
      </c>
      <c r="K1916" s="9">
        <f t="shared" ca="1" si="122"/>
        <v>45404.878290162036</v>
      </c>
      <c r="L1916" s="10">
        <f t="shared" ca="1" si="123"/>
        <v>45404.878290046297</v>
      </c>
    </row>
    <row r="1917" spans="6:12" x14ac:dyDescent="0.25">
      <c r="F1917" s="11" t="str">
        <f>IF(ISBLANK(D1917),"",(VLOOKUP(D1917,Cardápio!$A$2:$B$16,2,0))*E1917)</f>
        <v/>
      </c>
      <c r="H1917" s="7" t="str">
        <f t="shared" si="120"/>
        <v/>
      </c>
      <c r="I1917" s="7" t="str">
        <f>IF(AND(ISBLANK(D1917),ISBLANK(C1917)),"",((VLOOKUP(D1917,Cardápio!$A$2:$C$16,3,0))*E1917)+IF(B1917="iFood",F1917*0.27,(VLOOKUP(VENDAS!C1917,Bairros!$A$2:$B$90,2,0))))</f>
        <v/>
      </c>
      <c r="J1917" s="7" t="str">
        <f t="shared" si="121"/>
        <v/>
      </c>
      <c r="K1917" s="9">
        <f t="shared" ca="1" si="122"/>
        <v>45404.878290162036</v>
      </c>
      <c r="L1917" s="10">
        <f t="shared" ca="1" si="123"/>
        <v>45404.878290046297</v>
      </c>
    </row>
    <row r="1918" spans="6:12" x14ac:dyDescent="0.25">
      <c r="F1918" s="11" t="str">
        <f>IF(ISBLANK(D1918),"",(VLOOKUP(D1918,Cardápio!$A$2:$B$16,2,0))*E1918)</f>
        <v/>
      </c>
      <c r="H1918" s="7" t="str">
        <f t="shared" si="120"/>
        <v/>
      </c>
      <c r="I1918" s="7" t="str">
        <f>IF(AND(ISBLANK(D1918),ISBLANK(C1918)),"",((VLOOKUP(D1918,Cardápio!$A$2:$C$16,3,0))*E1918)+IF(B1918="iFood",F1918*0.27,(VLOOKUP(VENDAS!C1918,Bairros!$A$2:$B$90,2,0))))</f>
        <v/>
      </c>
      <c r="J1918" s="7" t="str">
        <f t="shared" si="121"/>
        <v/>
      </c>
      <c r="K1918" s="9">
        <f t="shared" ca="1" si="122"/>
        <v>45404.878290162036</v>
      </c>
      <c r="L1918" s="10">
        <f t="shared" ca="1" si="123"/>
        <v>45404.878290046297</v>
      </c>
    </row>
    <row r="1919" spans="6:12" x14ac:dyDescent="0.25">
      <c r="F1919" s="11" t="str">
        <f>IF(ISBLANK(D1919),"",(VLOOKUP(D1919,Cardápio!$A$2:$B$16,2,0))*E1919)</f>
        <v/>
      </c>
      <c r="H1919" s="7" t="str">
        <f t="shared" si="120"/>
        <v/>
      </c>
      <c r="I1919" s="7" t="str">
        <f>IF(AND(ISBLANK(D1919),ISBLANK(C1919)),"",((VLOOKUP(D1919,Cardápio!$A$2:$C$16,3,0))*E1919)+IF(B1919="iFood",F1919*0.27,(VLOOKUP(VENDAS!C1919,Bairros!$A$2:$B$90,2,0))))</f>
        <v/>
      </c>
      <c r="J1919" s="7" t="str">
        <f t="shared" si="121"/>
        <v/>
      </c>
      <c r="K1919" s="9">
        <f t="shared" ca="1" si="122"/>
        <v>45404.878290162036</v>
      </c>
      <c r="L1919" s="10">
        <f t="shared" ca="1" si="123"/>
        <v>45404.878290046297</v>
      </c>
    </row>
    <row r="1920" spans="6:12" x14ac:dyDescent="0.25">
      <c r="F1920" s="11" t="str">
        <f>IF(ISBLANK(D1920),"",(VLOOKUP(D1920,Cardápio!$A$2:$B$16,2,0))*E1920)</f>
        <v/>
      </c>
      <c r="H1920" s="7" t="str">
        <f t="shared" si="120"/>
        <v/>
      </c>
      <c r="I1920" s="7" t="str">
        <f>IF(AND(ISBLANK(D1920),ISBLANK(C1920)),"",((VLOOKUP(D1920,Cardápio!$A$2:$C$16,3,0))*E1920)+IF(B1920="iFood",F1920*0.27,(VLOOKUP(VENDAS!C1920,Bairros!$A$2:$B$90,2,0))))</f>
        <v/>
      </c>
      <c r="J1920" s="7" t="str">
        <f t="shared" si="121"/>
        <v/>
      </c>
      <c r="K1920" s="9">
        <f t="shared" ca="1" si="122"/>
        <v>45404.878290162036</v>
      </c>
      <c r="L1920" s="10">
        <f t="shared" ca="1" si="123"/>
        <v>45404.878290046297</v>
      </c>
    </row>
    <row r="1921" spans="6:12" x14ac:dyDescent="0.25">
      <c r="F1921" s="11" t="str">
        <f>IF(ISBLANK(D1921),"",(VLOOKUP(D1921,Cardápio!$A$2:$B$16,2,0))*E1921)</f>
        <v/>
      </c>
      <c r="H1921" s="7" t="str">
        <f t="shared" si="120"/>
        <v/>
      </c>
      <c r="I1921" s="7" t="str">
        <f>IF(AND(ISBLANK(D1921),ISBLANK(C1921)),"",((VLOOKUP(D1921,Cardápio!$A$2:$C$16,3,0))*E1921)+IF(B1921="iFood",F1921*0.27,(VLOOKUP(VENDAS!C1921,Bairros!$A$2:$B$90,2,0))))</f>
        <v/>
      </c>
      <c r="J1921" s="7" t="str">
        <f t="shared" si="121"/>
        <v/>
      </c>
      <c r="K1921" s="9">
        <f t="shared" ca="1" si="122"/>
        <v>45404.878290162036</v>
      </c>
      <c r="L1921" s="10">
        <f t="shared" ca="1" si="123"/>
        <v>45404.878290046297</v>
      </c>
    </row>
    <row r="1922" spans="6:12" x14ac:dyDescent="0.25">
      <c r="F1922" s="11" t="str">
        <f>IF(ISBLANK(D1922),"",(VLOOKUP(D1922,Cardápio!$A$2:$B$16,2,0))*E1922)</f>
        <v/>
      </c>
      <c r="H1922" s="7" t="str">
        <f t="shared" si="120"/>
        <v/>
      </c>
      <c r="I1922" s="7" t="str">
        <f>IF(AND(ISBLANK(D1922),ISBLANK(C1922)),"",((VLOOKUP(D1922,Cardápio!$A$2:$C$16,3,0))*E1922)+IF(B1922="iFood",F1922*0.27,(VLOOKUP(VENDAS!C1922,Bairros!$A$2:$B$90,2,0))))</f>
        <v/>
      </c>
      <c r="J1922" s="7" t="str">
        <f t="shared" si="121"/>
        <v/>
      </c>
      <c r="K1922" s="9">
        <f t="shared" ca="1" si="122"/>
        <v>45404.878290162036</v>
      </c>
      <c r="L1922" s="10">
        <f t="shared" ca="1" si="123"/>
        <v>45404.878290046297</v>
      </c>
    </row>
    <row r="1923" spans="6:12" x14ac:dyDescent="0.25">
      <c r="F1923" s="11" t="str">
        <f>IF(ISBLANK(D1923),"",(VLOOKUP(D1923,Cardápio!$A$2:$B$16,2,0))*E1923)</f>
        <v/>
      </c>
      <c r="H1923" s="7" t="str">
        <f t="shared" si="120"/>
        <v/>
      </c>
      <c r="I1923" s="7" t="str">
        <f>IF(AND(ISBLANK(D1923),ISBLANK(C1923)),"",((VLOOKUP(D1923,Cardápio!$A$2:$C$16,3,0))*E1923)+IF(B1923="iFood",F1923*0.27,(VLOOKUP(VENDAS!C1923,Bairros!$A$2:$B$90,2,0))))</f>
        <v/>
      </c>
      <c r="J1923" s="7" t="str">
        <f t="shared" si="121"/>
        <v/>
      </c>
      <c r="K1923" s="9">
        <f t="shared" ca="1" si="122"/>
        <v>45404.878290162036</v>
      </c>
      <c r="L1923" s="10">
        <f t="shared" ca="1" si="123"/>
        <v>45404.878290046297</v>
      </c>
    </row>
    <row r="1924" spans="6:12" x14ac:dyDescent="0.25">
      <c r="F1924" s="11" t="str">
        <f>IF(ISBLANK(D1924),"",(VLOOKUP(D1924,Cardápio!$A$2:$B$16,2,0))*E1924)</f>
        <v/>
      </c>
      <c r="H1924" s="7" t="str">
        <f t="shared" si="120"/>
        <v/>
      </c>
      <c r="I1924" s="7" t="str">
        <f>IF(AND(ISBLANK(D1924),ISBLANK(C1924)),"",((VLOOKUP(D1924,Cardápio!$A$2:$C$16,3,0))*E1924)+IF(B1924="iFood",F1924*0.27,(VLOOKUP(VENDAS!C1924,Bairros!$A$2:$B$90,2,0))))</f>
        <v/>
      </c>
      <c r="J1924" s="7" t="str">
        <f t="shared" si="121"/>
        <v/>
      </c>
      <c r="K1924" s="9">
        <f t="shared" ca="1" si="122"/>
        <v>45404.878290162036</v>
      </c>
      <c r="L1924" s="10">
        <f t="shared" ca="1" si="123"/>
        <v>45404.878290046297</v>
      </c>
    </row>
    <row r="1925" spans="6:12" x14ac:dyDescent="0.25">
      <c r="F1925" s="11" t="str">
        <f>IF(ISBLANK(D1925),"",(VLOOKUP(D1925,Cardápio!$A$2:$B$16,2,0))*E1925)</f>
        <v/>
      </c>
      <c r="H1925" s="7" t="str">
        <f t="shared" si="120"/>
        <v/>
      </c>
      <c r="I1925" s="7" t="str">
        <f>IF(AND(ISBLANK(D1925),ISBLANK(C1925)),"",((VLOOKUP(D1925,Cardápio!$A$2:$C$16,3,0))*E1925)+IF(B1925="iFood",F1925*0.27,(VLOOKUP(VENDAS!C1925,Bairros!$A$2:$B$90,2,0))))</f>
        <v/>
      </c>
      <c r="J1925" s="7" t="str">
        <f t="shared" si="121"/>
        <v/>
      </c>
      <c r="K1925" s="9">
        <f t="shared" ca="1" si="122"/>
        <v>45404.878290162036</v>
      </c>
      <c r="L1925" s="10">
        <f t="shared" ca="1" si="123"/>
        <v>45404.878290046297</v>
      </c>
    </row>
    <row r="1926" spans="6:12" x14ac:dyDescent="0.25">
      <c r="F1926" s="11" t="str">
        <f>IF(ISBLANK(D1926),"",(VLOOKUP(D1926,Cardápio!$A$2:$B$16,2,0))*E1926)</f>
        <v/>
      </c>
      <c r="H1926" s="7" t="str">
        <f t="shared" si="120"/>
        <v/>
      </c>
      <c r="I1926" s="7" t="str">
        <f>IF(AND(ISBLANK(D1926),ISBLANK(C1926)),"",((VLOOKUP(D1926,Cardápio!$A$2:$C$16,3,0))*E1926)+IF(B1926="iFood",F1926*0.27,(VLOOKUP(VENDAS!C1926,Bairros!$A$2:$B$90,2,0))))</f>
        <v/>
      </c>
      <c r="J1926" s="7" t="str">
        <f t="shared" si="121"/>
        <v/>
      </c>
      <c r="K1926" s="9">
        <f t="shared" ca="1" si="122"/>
        <v>45404.878290162036</v>
      </c>
      <c r="L1926" s="10">
        <f t="shared" ca="1" si="123"/>
        <v>45404.878290046297</v>
      </c>
    </row>
    <row r="1927" spans="6:12" x14ac:dyDescent="0.25">
      <c r="F1927" s="11" t="str">
        <f>IF(ISBLANK(D1927),"",(VLOOKUP(D1927,Cardápio!$A$2:$B$16,2,0))*E1927)</f>
        <v/>
      </c>
      <c r="H1927" s="7" t="str">
        <f t="shared" si="120"/>
        <v/>
      </c>
      <c r="I1927" s="7" t="str">
        <f>IF(AND(ISBLANK(D1927),ISBLANK(C1927)),"",((VLOOKUP(D1927,Cardápio!$A$2:$C$16,3,0))*E1927)+IF(B1927="iFood",F1927*0.27,(VLOOKUP(VENDAS!C1927,Bairros!$A$2:$B$90,2,0))))</f>
        <v/>
      </c>
      <c r="J1927" s="7" t="str">
        <f t="shared" si="121"/>
        <v/>
      </c>
      <c r="K1927" s="9">
        <f t="shared" ca="1" si="122"/>
        <v>45404.878290162036</v>
      </c>
      <c r="L1927" s="10">
        <f t="shared" ca="1" si="123"/>
        <v>45404.878290046297</v>
      </c>
    </row>
    <row r="1928" spans="6:12" x14ac:dyDescent="0.25">
      <c r="F1928" s="11" t="str">
        <f>IF(ISBLANK(D1928),"",(VLOOKUP(D1928,Cardápio!$A$2:$B$16,2,0))*E1928)</f>
        <v/>
      </c>
      <c r="H1928" s="7" t="str">
        <f t="shared" si="120"/>
        <v/>
      </c>
      <c r="I1928" s="7" t="str">
        <f>IF(AND(ISBLANK(D1928),ISBLANK(C1928)),"",((VLOOKUP(D1928,Cardápio!$A$2:$C$16,3,0))*E1928)+IF(B1928="iFood",F1928*0.27,(VLOOKUP(VENDAS!C1928,Bairros!$A$2:$B$90,2,0))))</f>
        <v/>
      </c>
      <c r="J1928" s="7" t="str">
        <f t="shared" si="121"/>
        <v/>
      </c>
      <c r="K1928" s="9">
        <f t="shared" ca="1" si="122"/>
        <v>45404.878290162036</v>
      </c>
      <c r="L1928" s="10">
        <f t="shared" ca="1" si="123"/>
        <v>45404.878290046297</v>
      </c>
    </row>
    <row r="1929" spans="6:12" x14ac:dyDescent="0.25">
      <c r="F1929" s="11" t="str">
        <f>IF(ISBLANK(D1929),"",(VLOOKUP(D1929,Cardápio!$A$2:$B$16,2,0))*E1929)</f>
        <v/>
      </c>
      <c r="H1929" s="7" t="str">
        <f t="shared" si="120"/>
        <v/>
      </c>
      <c r="I1929" s="7" t="str">
        <f>IF(AND(ISBLANK(D1929),ISBLANK(C1929)),"",((VLOOKUP(D1929,Cardápio!$A$2:$C$16,3,0))*E1929)+IF(B1929="iFood",F1929*0.27,(VLOOKUP(VENDAS!C1929,Bairros!$A$2:$B$90,2,0))))</f>
        <v/>
      </c>
      <c r="J1929" s="7" t="str">
        <f t="shared" si="121"/>
        <v/>
      </c>
      <c r="K1929" s="9">
        <f t="shared" ca="1" si="122"/>
        <v>45404.878290162036</v>
      </c>
      <c r="L1929" s="10">
        <f t="shared" ca="1" si="123"/>
        <v>45404.878290046297</v>
      </c>
    </row>
    <row r="1930" spans="6:12" x14ac:dyDescent="0.25">
      <c r="F1930" s="11" t="str">
        <f>IF(ISBLANK(D1930),"",(VLOOKUP(D1930,Cardápio!$A$2:$B$16,2,0))*E1930)</f>
        <v/>
      </c>
      <c r="H1930" s="7" t="str">
        <f t="shared" si="120"/>
        <v/>
      </c>
      <c r="I1930" s="7" t="str">
        <f>IF(AND(ISBLANK(D1930),ISBLANK(C1930)),"",((VLOOKUP(D1930,Cardápio!$A$2:$C$16,3,0))*E1930)+IF(B1930="iFood",F1930*0.27,(VLOOKUP(VENDAS!C1930,Bairros!$A$2:$B$90,2,0))))</f>
        <v/>
      </c>
      <c r="J1930" s="7" t="str">
        <f t="shared" si="121"/>
        <v/>
      </c>
      <c r="K1930" s="9">
        <f t="shared" ca="1" si="122"/>
        <v>45404.878290162036</v>
      </c>
      <c r="L1930" s="10">
        <f t="shared" ca="1" si="123"/>
        <v>45404.878290046297</v>
      </c>
    </row>
    <row r="1931" spans="6:12" x14ac:dyDescent="0.25">
      <c r="F1931" s="11" t="str">
        <f>IF(ISBLANK(D1931),"",(VLOOKUP(D1931,Cardápio!$A$2:$B$16,2,0))*E1931)</f>
        <v/>
      </c>
      <c r="H1931" s="7" t="str">
        <f t="shared" si="120"/>
        <v/>
      </c>
      <c r="I1931" s="7" t="str">
        <f>IF(AND(ISBLANK(D1931),ISBLANK(C1931)),"",((VLOOKUP(D1931,Cardápio!$A$2:$C$16,3,0))*E1931)+IF(B1931="iFood",F1931*0.27,(VLOOKUP(VENDAS!C1931,Bairros!$A$2:$B$90,2,0))))</f>
        <v/>
      </c>
      <c r="J1931" s="7" t="str">
        <f t="shared" si="121"/>
        <v/>
      </c>
      <c r="K1931" s="9">
        <f t="shared" ca="1" si="122"/>
        <v>45404.878290162036</v>
      </c>
      <c r="L1931" s="10">
        <f t="shared" ca="1" si="123"/>
        <v>45404.878290046297</v>
      </c>
    </row>
    <row r="1932" spans="6:12" x14ac:dyDescent="0.25">
      <c r="F1932" s="11" t="str">
        <f>IF(ISBLANK(D1932),"",(VLOOKUP(D1932,Cardápio!$A$2:$B$16,2,0))*E1932)</f>
        <v/>
      </c>
      <c r="H1932" s="7" t="str">
        <f t="shared" si="120"/>
        <v/>
      </c>
      <c r="I1932" s="7" t="str">
        <f>IF(AND(ISBLANK(D1932),ISBLANK(C1932)),"",((VLOOKUP(D1932,Cardápio!$A$2:$C$16,3,0))*E1932)+IF(B1932="iFood",F1932*0.27,(VLOOKUP(VENDAS!C1932,Bairros!$A$2:$B$90,2,0))))</f>
        <v/>
      </c>
      <c r="J1932" s="7" t="str">
        <f t="shared" si="121"/>
        <v/>
      </c>
      <c r="K1932" s="9">
        <f t="shared" ca="1" si="122"/>
        <v>45404.878290162036</v>
      </c>
      <c r="L1932" s="10">
        <f t="shared" ca="1" si="123"/>
        <v>45404.878290046297</v>
      </c>
    </row>
    <row r="1933" spans="6:12" x14ac:dyDescent="0.25">
      <c r="F1933" s="11" t="str">
        <f>IF(ISBLANK(D1933),"",(VLOOKUP(D1933,Cardápio!$A$2:$B$16,2,0))*E1933)</f>
        <v/>
      </c>
      <c r="H1933" s="7" t="str">
        <f t="shared" si="120"/>
        <v/>
      </c>
      <c r="I1933" s="7" t="str">
        <f>IF(AND(ISBLANK(D1933),ISBLANK(C1933)),"",((VLOOKUP(D1933,Cardápio!$A$2:$C$16,3,0))*E1933)+IF(B1933="iFood",F1933*0.27,(VLOOKUP(VENDAS!C1933,Bairros!$A$2:$B$90,2,0))))</f>
        <v/>
      </c>
      <c r="J1933" s="7" t="str">
        <f t="shared" si="121"/>
        <v/>
      </c>
      <c r="K1933" s="9">
        <f t="shared" ca="1" si="122"/>
        <v>45404.878290162036</v>
      </c>
      <c r="L1933" s="10">
        <f t="shared" ca="1" si="123"/>
        <v>45404.878290046297</v>
      </c>
    </row>
    <row r="1934" spans="6:12" x14ac:dyDescent="0.25">
      <c r="F1934" s="11" t="str">
        <f>IF(ISBLANK(D1934),"",(VLOOKUP(D1934,Cardápio!$A$2:$B$16,2,0))*E1934)</f>
        <v/>
      </c>
      <c r="H1934" s="7" t="str">
        <f t="shared" si="120"/>
        <v/>
      </c>
      <c r="I1934" s="7" t="str">
        <f>IF(AND(ISBLANK(D1934),ISBLANK(C1934)),"",((VLOOKUP(D1934,Cardápio!$A$2:$C$16,3,0))*E1934)+IF(B1934="iFood",F1934*0.27,(VLOOKUP(VENDAS!C1934,Bairros!$A$2:$B$90,2,0))))</f>
        <v/>
      </c>
      <c r="J1934" s="7" t="str">
        <f t="shared" si="121"/>
        <v/>
      </c>
      <c r="K1934" s="9">
        <f t="shared" ca="1" si="122"/>
        <v>45404.878290162036</v>
      </c>
      <c r="L1934" s="10">
        <f t="shared" ca="1" si="123"/>
        <v>45404.878290046297</v>
      </c>
    </row>
    <row r="1935" spans="6:12" x14ac:dyDescent="0.25">
      <c r="F1935" s="11" t="str">
        <f>IF(ISBLANK(D1935),"",(VLOOKUP(D1935,Cardápio!$A$2:$B$16,2,0))*E1935)</f>
        <v/>
      </c>
      <c r="H1935" s="7" t="str">
        <f t="shared" si="120"/>
        <v/>
      </c>
      <c r="I1935" s="7" t="str">
        <f>IF(AND(ISBLANK(D1935),ISBLANK(C1935)),"",((VLOOKUP(D1935,Cardápio!$A$2:$C$16,3,0))*E1935)+IF(B1935="iFood",F1935*0.27,(VLOOKUP(VENDAS!C1935,Bairros!$A$2:$B$90,2,0))))</f>
        <v/>
      </c>
      <c r="J1935" s="7" t="str">
        <f t="shared" si="121"/>
        <v/>
      </c>
      <c r="K1935" s="9">
        <f t="shared" ca="1" si="122"/>
        <v>45404.878290162036</v>
      </c>
      <c r="L1935" s="10">
        <f t="shared" ca="1" si="123"/>
        <v>45404.878290046297</v>
      </c>
    </row>
    <row r="1936" spans="6:12" x14ac:dyDescent="0.25">
      <c r="F1936" s="11" t="str">
        <f>IF(ISBLANK(D1936),"",(VLOOKUP(D1936,Cardápio!$A$2:$B$16,2,0))*E1936)</f>
        <v/>
      </c>
      <c r="H1936" s="7" t="str">
        <f t="shared" si="120"/>
        <v/>
      </c>
      <c r="I1936" s="7" t="str">
        <f>IF(AND(ISBLANK(D1936),ISBLANK(C1936)),"",((VLOOKUP(D1936,Cardápio!$A$2:$C$16,3,0))*E1936)+IF(B1936="iFood",F1936*0.27,(VLOOKUP(VENDAS!C1936,Bairros!$A$2:$B$90,2,0))))</f>
        <v/>
      </c>
      <c r="J1936" s="7" t="str">
        <f t="shared" si="121"/>
        <v/>
      </c>
      <c r="K1936" s="9">
        <f t="shared" ca="1" si="122"/>
        <v>45404.878290162036</v>
      </c>
      <c r="L1936" s="10">
        <f t="shared" ca="1" si="123"/>
        <v>45404.878290046297</v>
      </c>
    </row>
    <row r="1937" spans="6:12" x14ac:dyDescent="0.25">
      <c r="F1937" s="11" t="str">
        <f>IF(ISBLANK(D1937),"",(VLOOKUP(D1937,Cardápio!$A$2:$B$16,2,0))*E1937)</f>
        <v/>
      </c>
      <c r="H1937" s="7" t="str">
        <f t="shared" si="120"/>
        <v/>
      </c>
      <c r="I1937" s="7" t="str">
        <f>IF(AND(ISBLANK(D1937),ISBLANK(C1937)),"",((VLOOKUP(D1937,Cardápio!$A$2:$C$16,3,0))*E1937)+IF(B1937="iFood",F1937*0.27,(VLOOKUP(VENDAS!C1937,Bairros!$A$2:$B$90,2,0))))</f>
        <v/>
      </c>
      <c r="J1937" s="7" t="str">
        <f t="shared" si="121"/>
        <v/>
      </c>
      <c r="K1937" s="9">
        <f t="shared" ca="1" si="122"/>
        <v>45404.878290162036</v>
      </c>
      <c r="L1937" s="10">
        <f t="shared" ca="1" si="123"/>
        <v>45404.878290046297</v>
      </c>
    </row>
    <row r="1938" spans="6:12" x14ac:dyDescent="0.25">
      <c r="F1938" s="11" t="str">
        <f>IF(ISBLANK(D1938),"",(VLOOKUP(D1938,Cardápio!$A$2:$B$16,2,0))*E1938)</f>
        <v/>
      </c>
      <c r="H1938" s="7" t="str">
        <f t="shared" si="120"/>
        <v/>
      </c>
      <c r="I1938" s="7" t="str">
        <f>IF(AND(ISBLANK(D1938),ISBLANK(C1938)),"",((VLOOKUP(D1938,Cardápio!$A$2:$C$16,3,0))*E1938)+IF(B1938="iFood",F1938*0.27,(VLOOKUP(VENDAS!C1938,Bairros!$A$2:$B$90,2,0))))</f>
        <v/>
      </c>
      <c r="J1938" s="7" t="str">
        <f t="shared" si="121"/>
        <v/>
      </c>
      <c r="K1938" s="9">
        <f t="shared" ca="1" si="122"/>
        <v>45404.878290162036</v>
      </c>
      <c r="L1938" s="10">
        <f t="shared" ca="1" si="123"/>
        <v>45404.878290046297</v>
      </c>
    </row>
    <row r="1939" spans="6:12" x14ac:dyDescent="0.25">
      <c r="F1939" s="11" t="str">
        <f>IF(ISBLANK(D1939),"",(VLOOKUP(D1939,Cardápio!$A$2:$B$16,2,0))*E1939)</f>
        <v/>
      </c>
      <c r="H1939" s="7" t="str">
        <f t="shared" si="120"/>
        <v/>
      </c>
      <c r="I1939" s="7" t="str">
        <f>IF(AND(ISBLANK(D1939),ISBLANK(C1939)),"",((VLOOKUP(D1939,Cardápio!$A$2:$C$16,3,0))*E1939)+IF(B1939="iFood",F1939*0.27,(VLOOKUP(VENDAS!C1939,Bairros!$A$2:$B$90,2,0))))</f>
        <v/>
      </c>
      <c r="J1939" s="7" t="str">
        <f t="shared" si="121"/>
        <v/>
      </c>
      <c r="K1939" s="9">
        <f t="shared" ca="1" si="122"/>
        <v>45404.878290162036</v>
      </c>
      <c r="L1939" s="10">
        <f t="shared" ca="1" si="123"/>
        <v>45404.878290046297</v>
      </c>
    </row>
    <row r="1940" spans="6:12" x14ac:dyDescent="0.25">
      <c r="F1940" s="11" t="str">
        <f>IF(ISBLANK(D1940),"",(VLOOKUP(D1940,Cardápio!$A$2:$B$16,2,0))*E1940)</f>
        <v/>
      </c>
      <c r="H1940" s="7" t="str">
        <f t="shared" si="120"/>
        <v/>
      </c>
      <c r="I1940" s="7" t="str">
        <f>IF(AND(ISBLANK(D1940),ISBLANK(C1940)),"",((VLOOKUP(D1940,Cardápio!$A$2:$C$16,3,0))*E1940)+IF(B1940="iFood",F1940*0.27,(VLOOKUP(VENDAS!C1940,Bairros!$A$2:$B$90,2,0))))</f>
        <v/>
      </c>
      <c r="J1940" s="7" t="str">
        <f t="shared" si="121"/>
        <v/>
      </c>
      <c r="K1940" s="9">
        <f t="shared" ca="1" si="122"/>
        <v>45404.878290162036</v>
      </c>
      <c r="L1940" s="10">
        <f t="shared" ca="1" si="123"/>
        <v>45404.878290046297</v>
      </c>
    </row>
    <row r="1941" spans="6:12" x14ac:dyDescent="0.25">
      <c r="F1941" s="11" t="str">
        <f>IF(ISBLANK(D1941),"",(VLOOKUP(D1941,Cardápio!$A$2:$B$16,2,0))*E1941)</f>
        <v/>
      </c>
      <c r="H1941" s="7" t="str">
        <f t="shared" si="120"/>
        <v/>
      </c>
      <c r="I1941" s="7" t="str">
        <f>IF(AND(ISBLANK(D1941),ISBLANK(C1941)),"",((VLOOKUP(D1941,Cardápio!$A$2:$C$16,3,0))*E1941)+IF(B1941="iFood",F1941*0.27,(VLOOKUP(VENDAS!C1941,Bairros!$A$2:$B$90,2,0))))</f>
        <v/>
      </c>
      <c r="J1941" s="7" t="str">
        <f t="shared" si="121"/>
        <v/>
      </c>
      <c r="K1941" s="9">
        <f t="shared" ca="1" si="122"/>
        <v>45404.878290162036</v>
      </c>
      <c r="L1941" s="10">
        <f t="shared" ca="1" si="123"/>
        <v>45404.878290046297</v>
      </c>
    </row>
    <row r="1942" spans="6:12" x14ac:dyDescent="0.25">
      <c r="F1942" s="11" t="str">
        <f>IF(ISBLANK(D1942),"",(VLOOKUP(D1942,Cardápio!$A$2:$B$16,2,0))*E1942)</f>
        <v/>
      </c>
      <c r="H1942" s="7" t="str">
        <f t="shared" si="120"/>
        <v/>
      </c>
      <c r="I1942" s="7" t="str">
        <f>IF(AND(ISBLANK(D1942),ISBLANK(C1942)),"",((VLOOKUP(D1942,Cardápio!$A$2:$C$16,3,0))*E1942)+IF(B1942="iFood",F1942*0.27,(VLOOKUP(VENDAS!C1942,Bairros!$A$2:$B$90,2,0))))</f>
        <v/>
      </c>
      <c r="J1942" s="7" t="str">
        <f t="shared" si="121"/>
        <v/>
      </c>
      <c r="K1942" s="9">
        <f t="shared" ca="1" si="122"/>
        <v>45404.878290162036</v>
      </c>
      <c r="L1942" s="10">
        <f t="shared" ca="1" si="123"/>
        <v>45404.878290046297</v>
      </c>
    </row>
    <row r="1943" spans="6:12" x14ac:dyDescent="0.25">
      <c r="F1943" s="11" t="str">
        <f>IF(ISBLANK(D1943),"",(VLOOKUP(D1943,Cardápio!$A$2:$B$16,2,0))*E1943)</f>
        <v/>
      </c>
      <c r="H1943" s="7" t="str">
        <f t="shared" si="120"/>
        <v/>
      </c>
      <c r="I1943" s="7" t="str">
        <f>IF(AND(ISBLANK(D1943),ISBLANK(C1943)),"",((VLOOKUP(D1943,Cardápio!$A$2:$C$16,3,0))*E1943)+IF(B1943="iFood",F1943*0.27,(VLOOKUP(VENDAS!C1943,Bairros!$A$2:$B$90,2,0))))</f>
        <v/>
      </c>
      <c r="J1943" s="7" t="str">
        <f t="shared" si="121"/>
        <v/>
      </c>
      <c r="K1943" s="9">
        <f t="shared" ca="1" si="122"/>
        <v>45404.878290162036</v>
      </c>
      <c r="L1943" s="10">
        <f t="shared" ca="1" si="123"/>
        <v>45404.878290046297</v>
      </c>
    </row>
    <row r="1944" spans="6:12" x14ac:dyDescent="0.25">
      <c r="F1944" s="11" t="str">
        <f>IF(ISBLANK(D1944),"",(VLOOKUP(D1944,Cardápio!$A$2:$B$16,2,0))*E1944)</f>
        <v/>
      </c>
      <c r="H1944" s="7" t="str">
        <f t="shared" si="120"/>
        <v/>
      </c>
      <c r="I1944" s="7" t="str">
        <f>IF(AND(ISBLANK(D1944),ISBLANK(C1944)),"",((VLOOKUP(D1944,Cardápio!$A$2:$C$16,3,0))*E1944)+IF(B1944="iFood",F1944*0.27,(VLOOKUP(VENDAS!C1944,Bairros!$A$2:$B$90,2,0))))</f>
        <v/>
      </c>
      <c r="J1944" s="7" t="str">
        <f t="shared" si="121"/>
        <v/>
      </c>
      <c r="K1944" s="9">
        <f t="shared" ca="1" si="122"/>
        <v>45404.878290162036</v>
      </c>
      <c r="L1944" s="10">
        <f t="shared" ca="1" si="123"/>
        <v>45404.878290046297</v>
      </c>
    </row>
    <row r="1945" spans="6:12" x14ac:dyDescent="0.25">
      <c r="F1945" s="11" t="str">
        <f>IF(ISBLANK(D1945),"",(VLOOKUP(D1945,Cardápio!$A$2:$B$16,2,0))*E1945)</f>
        <v/>
      </c>
      <c r="H1945" s="7" t="str">
        <f t="shared" si="120"/>
        <v/>
      </c>
      <c r="I1945" s="7" t="str">
        <f>IF(AND(ISBLANK(D1945),ISBLANK(C1945)),"",((VLOOKUP(D1945,Cardápio!$A$2:$C$16,3,0))*E1945)+IF(B1945="iFood",F1945*0.27,(VLOOKUP(VENDAS!C1945,Bairros!$A$2:$B$90,2,0))))</f>
        <v/>
      </c>
      <c r="J1945" s="7" t="str">
        <f t="shared" si="121"/>
        <v/>
      </c>
      <c r="K1945" s="9">
        <f t="shared" ca="1" si="122"/>
        <v>45404.878290162036</v>
      </c>
      <c r="L1945" s="10">
        <f t="shared" ca="1" si="123"/>
        <v>45404.878290046297</v>
      </c>
    </row>
    <row r="1946" spans="6:12" x14ac:dyDescent="0.25">
      <c r="F1946" s="11" t="str">
        <f>IF(ISBLANK(D1946),"",(VLOOKUP(D1946,Cardápio!$A$2:$B$16,2,0))*E1946)</f>
        <v/>
      </c>
      <c r="H1946" s="7" t="str">
        <f t="shared" si="120"/>
        <v/>
      </c>
      <c r="I1946" s="7" t="str">
        <f>IF(AND(ISBLANK(D1946),ISBLANK(C1946)),"",((VLOOKUP(D1946,Cardápio!$A$2:$C$16,3,0))*E1946)+IF(B1946="iFood",F1946*0.27,(VLOOKUP(VENDAS!C1946,Bairros!$A$2:$B$90,2,0))))</f>
        <v/>
      </c>
      <c r="J1946" s="7" t="str">
        <f t="shared" si="121"/>
        <v/>
      </c>
      <c r="K1946" s="9">
        <f t="shared" ca="1" si="122"/>
        <v>45404.878290162036</v>
      </c>
      <c r="L1946" s="10">
        <f t="shared" ca="1" si="123"/>
        <v>45404.878290046297</v>
      </c>
    </row>
    <row r="1947" spans="6:12" x14ac:dyDescent="0.25">
      <c r="F1947" s="11" t="str">
        <f>IF(ISBLANK(D1947),"",(VLOOKUP(D1947,Cardápio!$A$2:$B$16,2,0))*E1947)</f>
        <v/>
      </c>
      <c r="H1947" s="7" t="str">
        <f t="shared" si="120"/>
        <v/>
      </c>
      <c r="I1947" s="7" t="str">
        <f>IF(AND(ISBLANK(D1947),ISBLANK(C1947)),"",((VLOOKUP(D1947,Cardápio!$A$2:$C$16,3,0))*E1947)+IF(B1947="iFood",F1947*0.27,(VLOOKUP(VENDAS!C1947,Bairros!$A$2:$B$90,2,0))))</f>
        <v/>
      </c>
      <c r="J1947" s="7" t="str">
        <f t="shared" si="121"/>
        <v/>
      </c>
      <c r="K1947" s="9">
        <f t="shared" ca="1" si="122"/>
        <v>45404.878290162036</v>
      </c>
      <c r="L1947" s="10">
        <f t="shared" ca="1" si="123"/>
        <v>45404.878290046297</v>
      </c>
    </row>
    <row r="1948" spans="6:12" x14ac:dyDescent="0.25">
      <c r="F1948" s="11" t="str">
        <f>IF(ISBLANK(D1948),"",(VLOOKUP(D1948,Cardápio!$A$2:$B$16,2,0))*E1948)</f>
        <v/>
      </c>
      <c r="H1948" s="7" t="str">
        <f t="shared" si="120"/>
        <v/>
      </c>
      <c r="I1948" s="7" t="str">
        <f>IF(AND(ISBLANK(D1948),ISBLANK(C1948)),"",((VLOOKUP(D1948,Cardápio!$A$2:$C$16,3,0))*E1948)+IF(B1948="iFood",F1948*0.27,(VLOOKUP(VENDAS!C1948,Bairros!$A$2:$B$90,2,0))))</f>
        <v/>
      </c>
      <c r="J1948" s="7" t="str">
        <f t="shared" si="121"/>
        <v/>
      </c>
      <c r="K1948" s="9">
        <f t="shared" ca="1" si="122"/>
        <v>45404.878290162036</v>
      </c>
      <c r="L1948" s="10">
        <f t="shared" ca="1" si="123"/>
        <v>45404.878290046297</v>
      </c>
    </row>
    <row r="1949" spans="6:12" x14ac:dyDescent="0.25">
      <c r="F1949" s="11" t="str">
        <f>IF(ISBLANK(D1949),"",(VLOOKUP(D1949,Cardápio!$A$2:$B$16,2,0))*E1949)</f>
        <v/>
      </c>
      <c r="H1949" s="7" t="str">
        <f t="shared" si="120"/>
        <v/>
      </c>
      <c r="I1949" s="7" t="str">
        <f>IF(AND(ISBLANK(D1949),ISBLANK(C1949)),"",((VLOOKUP(D1949,Cardápio!$A$2:$C$16,3,0))*E1949)+IF(B1949="iFood",F1949*0.27,(VLOOKUP(VENDAS!C1949,Bairros!$A$2:$B$90,2,0))))</f>
        <v/>
      </c>
      <c r="J1949" s="7" t="str">
        <f t="shared" si="121"/>
        <v/>
      </c>
      <c r="K1949" s="9">
        <f t="shared" ca="1" si="122"/>
        <v>45404.878290162036</v>
      </c>
      <c r="L1949" s="10">
        <f t="shared" ca="1" si="123"/>
        <v>45404.878290046297</v>
      </c>
    </row>
    <row r="1950" spans="6:12" x14ac:dyDescent="0.25">
      <c r="F1950" s="11" t="str">
        <f>IF(ISBLANK(D1950),"",(VLOOKUP(D1950,Cardápio!$A$2:$B$16,2,0))*E1950)</f>
        <v/>
      </c>
      <c r="H1950" s="7" t="str">
        <f t="shared" si="120"/>
        <v/>
      </c>
      <c r="I1950" s="7" t="str">
        <f>IF(AND(ISBLANK(D1950),ISBLANK(C1950)),"",((VLOOKUP(D1950,Cardápio!$A$2:$C$16,3,0))*E1950)+IF(B1950="iFood",F1950*0.27,(VLOOKUP(VENDAS!C1950,Bairros!$A$2:$B$90,2,0))))</f>
        <v/>
      </c>
      <c r="J1950" s="7" t="str">
        <f t="shared" si="121"/>
        <v/>
      </c>
      <c r="K1950" s="9">
        <f t="shared" ca="1" si="122"/>
        <v>45404.878290162036</v>
      </c>
      <c r="L1950" s="10">
        <f t="shared" ca="1" si="123"/>
        <v>45404.878290046297</v>
      </c>
    </row>
    <row r="1951" spans="6:12" x14ac:dyDescent="0.25">
      <c r="F1951" s="11" t="str">
        <f>IF(ISBLANK(D1951),"",(VLOOKUP(D1951,Cardápio!$A$2:$B$16,2,0))*E1951)</f>
        <v/>
      </c>
      <c r="H1951" s="7" t="str">
        <f t="shared" si="120"/>
        <v/>
      </c>
      <c r="I1951" s="7" t="str">
        <f>IF(AND(ISBLANK(D1951),ISBLANK(C1951)),"",((VLOOKUP(D1951,Cardápio!$A$2:$C$16,3,0))*E1951)+IF(B1951="iFood",F1951*0.27,(VLOOKUP(VENDAS!C1951,Bairros!$A$2:$B$90,2,0))))</f>
        <v/>
      </c>
      <c r="J1951" s="7" t="str">
        <f t="shared" si="121"/>
        <v/>
      </c>
      <c r="K1951" s="9">
        <f t="shared" ca="1" si="122"/>
        <v>45404.878290162036</v>
      </c>
      <c r="L1951" s="10">
        <f t="shared" ca="1" si="123"/>
        <v>45404.878290046297</v>
      </c>
    </row>
    <row r="1952" spans="6:12" x14ac:dyDescent="0.25">
      <c r="F1952" s="11" t="str">
        <f>IF(ISBLANK(D1952),"",(VLOOKUP(D1952,Cardápio!$A$2:$B$16,2,0))*E1952)</f>
        <v/>
      </c>
      <c r="H1952" s="7" t="str">
        <f t="shared" si="120"/>
        <v/>
      </c>
      <c r="I1952" s="7" t="str">
        <f>IF(AND(ISBLANK(D1952),ISBLANK(C1952)),"",((VLOOKUP(D1952,Cardápio!$A$2:$C$16,3,0))*E1952)+IF(B1952="iFood",F1952*0.27,(VLOOKUP(VENDAS!C1952,Bairros!$A$2:$B$90,2,0))))</f>
        <v/>
      </c>
      <c r="J1952" s="7" t="str">
        <f t="shared" si="121"/>
        <v/>
      </c>
      <c r="K1952" s="9">
        <f t="shared" ca="1" si="122"/>
        <v>45404.878290162036</v>
      </c>
      <c r="L1952" s="10">
        <f t="shared" ca="1" si="123"/>
        <v>45404.878290046297</v>
      </c>
    </row>
    <row r="1953" spans="6:12" x14ac:dyDescent="0.25">
      <c r="F1953" s="11" t="str">
        <f>IF(ISBLANK(D1953),"",(VLOOKUP(D1953,Cardápio!$A$2:$B$16,2,0))*E1953)</f>
        <v/>
      </c>
      <c r="H1953" s="7" t="str">
        <f t="shared" si="120"/>
        <v/>
      </c>
      <c r="I1953" s="7" t="str">
        <f>IF(AND(ISBLANK(D1953),ISBLANK(C1953)),"",((VLOOKUP(D1953,Cardápio!$A$2:$C$16,3,0))*E1953)+IF(B1953="iFood",F1953*0.27,(VLOOKUP(VENDAS!C1953,Bairros!$A$2:$B$90,2,0))))</f>
        <v/>
      </c>
      <c r="J1953" s="7" t="str">
        <f t="shared" si="121"/>
        <v/>
      </c>
      <c r="K1953" s="9">
        <f t="shared" ca="1" si="122"/>
        <v>45404.878290162036</v>
      </c>
      <c r="L1953" s="10">
        <f t="shared" ca="1" si="123"/>
        <v>45404.878290046297</v>
      </c>
    </row>
    <row r="1954" spans="6:12" x14ac:dyDescent="0.25">
      <c r="F1954" s="11" t="str">
        <f>IF(ISBLANK(D1954),"",(VLOOKUP(D1954,Cardápio!$A$2:$B$16,2,0))*E1954)</f>
        <v/>
      </c>
      <c r="H1954" s="7" t="str">
        <f t="shared" si="120"/>
        <v/>
      </c>
      <c r="I1954" s="7" t="str">
        <f>IF(AND(ISBLANK(D1954),ISBLANK(C1954)),"",((VLOOKUP(D1954,Cardápio!$A$2:$C$16,3,0))*E1954)+IF(B1954="iFood",F1954*0.27,(VLOOKUP(VENDAS!C1954,Bairros!$A$2:$B$90,2,0))))</f>
        <v/>
      </c>
      <c r="J1954" s="7" t="str">
        <f t="shared" si="121"/>
        <v/>
      </c>
      <c r="K1954" s="9">
        <f t="shared" ca="1" si="122"/>
        <v>45404.878290162036</v>
      </c>
      <c r="L1954" s="10">
        <f t="shared" ca="1" si="123"/>
        <v>45404.878290046297</v>
      </c>
    </row>
    <row r="1955" spans="6:12" x14ac:dyDescent="0.25">
      <c r="F1955" s="11" t="str">
        <f>IF(ISBLANK(D1955),"",(VLOOKUP(D1955,Cardápio!$A$2:$B$16,2,0))*E1955)</f>
        <v/>
      </c>
      <c r="H1955" s="7" t="str">
        <f t="shared" si="120"/>
        <v/>
      </c>
      <c r="I1955" s="7" t="str">
        <f>IF(AND(ISBLANK(D1955),ISBLANK(C1955)),"",((VLOOKUP(D1955,Cardápio!$A$2:$C$16,3,0))*E1955)+IF(B1955="iFood",F1955*0.27,(VLOOKUP(VENDAS!C1955,Bairros!$A$2:$B$90,2,0))))</f>
        <v/>
      </c>
      <c r="J1955" s="7" t="str">
        <f t="shared" si="121"/>
        <v/>
      </c>
      <c r="K1955" s="9">
        <f t="shared" ca="1" si="122"/>
        <v>45404.878290162036</v>
      </c>
      <c r="L1955" s="10">
        <f t="shared" ca="1" si="123"/>
        <v>45404.878290046297</v>
      </c>
    </row>
    <row r="1956" spans="6:12" x14ac:dyDescent="0.25">
      <c r="F1956" s="11" t="str">
        <f>IF(ISBLANK(D1956),"",(VLOOKUP(D1956,Cardápio!$A$2:$B$16,2,0))*E1956)</f>
        <v/>
      </c>
      <c r="H1956" s="7" t="str">
        <f t="shared" si="120"/>
        <v/>
      </c>
      <c r="I1956" s="7" t="str">
        <f>IF(AND(ISBLANK(D1956),ISBLANK(C1956)),"",((VLOOKUP(D1956,Cardápio!$A$2:$C$16,3,0))*E1956)+IF(B1956="iFood",F1956*0.27,(VLOOKUP(VENDAS!C1956,Bairros!$A$2:$B$90,2,0))))</f>
        <v/>
      </c>
      <c r="J1956" s="7" t="str">
        <f t="shared" si="121"/>
        <v/>
      </c>
      <c r="K1956" s="9">
        <f t="shared" ca="1" si="122"/>
        <v>45404.878290162036</v>
      </c>
      <c r="L1956" s="10">
        <f t="shared" ca="1" si="123"/>
        <v>45404.878290046297</v>
      </c>
    </row>
    <row r="1957" spans="6:12" x14ac:dyDescent="0.25">
      <c r="F1957" s="11" t="str">
        <f>IF(ISBLANK(D1957),"",(VLOOKUP(D1957,Cardápio!$A$2:$B$16,2,0))*E1957)</f>
        <v/>
      </c>
      <c r="H1957" s="7" t="str">
        <f t="shared" si="120"/>
        <v/>
      </c>
      <c r="I1957" s="7" t="str">
        <f>IF(AND(ISBLANK(D1957),ISBLANK(C1957)),"",((VLOOKUP(D1957,Cardápio!$A$2:$C$16,3,0))*E1957)+IF(B1957="iFood",F1957*0.27,(VLOOKUP(VENDAS!C1957,Bairros!$A$2:$B$90,2,0))))</f>
        <v/>
      </c>
      <c r="J1957" s="7" t="str">
        <f t="shared" si="121"/>
        <v/>
      </c>
      <c r="K1957" s="9">
        <f t="shared" ca="1" si="122"/>
        <v>45404.878290162036</v>
      </c>
      <c r="L1957" s="10">
        <f t="shared" ca="1" si="123"/>
        <v>45404.878290046297</v>
      </c>
    </row>
    <row r="1958" spans="6:12" x14ac:dyDescent="0.25">
      <c r="F1958" s="11" t="str">
        <f>IF(ISBLANK(D1958),"",(VLOOKUP(D1958,Cardápio!$A$2:$B$16,2,0))*E1958)</f>
        <v/>
      </c>
      <c r="H1958" s="7" t="str">
        <f t="shared" si="120"/>
        <v/>
      </c>
      <c r="I1958" s="7" t="str">
        <f>IF(AND(ISBLANK(D1958),ISBLANK(C1958)),"",((VLOOKUP(D1958,Cardápio!$A$2:$C$16,3,0))*E1958)+IF(B1958="iFood",F1958*0.27,(VLOOKUP(VENDAS!C1958,Bairros!$A$2:$B$90,2,0))))</f>
        <v/>
      </c>
      <c r="J1958" s="7" t="str">
        <f t="shared" si="121"/>
        <v/>
      </c>
      <c r="K1958" s="9">
        <f t="shared" ca="1" si="122"/>
        <v>45404.878290162036</v>
      </c>
      <c r="L1958" s="10">
        <f t="shared" ca="1" si="123"/>
        <v>45404.878290046297</v>
      </c>
    </row>
    <row r="1959" spans="6:12" x14ac:dyDescent="0.25">
      <c r="F1959" s="11" t="str">
        <f>IF(ISBLANK(D1959),"",(VLOOKUP(D1959,Cardápio!$A$2:$B$16,2,0))*E1959)</f>
        <v/>
      </c>
      <c r="H1959" s="7" t="str">
        <f t="shared" si="120"/>
        <v/>
      </c>
      <c r="I1959" s="7" t="str">
        <f>IF(AND(ISBLANK(D1959),ISBLANK(C1959)),"",((VLOOKUP(D1959,Cardápio!$A$2:$C$16,3,0))*E1959)+IF(B1959="iFood",F1959*0.27,(VLOOKUP(VENDAS!C1959,Bairros!$A$2:$B$90,2,0))))</f>
        <v/>
      </c>
      <c r="J1959" s="7" t="str">
        <f t="shared" si="121"/>
        <v/>
      </c>
      <c r="K1959" s="9">
        <f t="shared" ca="1" si="122"/>
        <v>45404.878290162036</v>
      </c>
      <c r="L1959" s="10">
        <f t="shared" ca="1" si="123"/>
        <v>45404.878290046297</v>
      </c>
    </row>
    <row r="1960" spans="6:12" x14ac:dyDescent="0.25">
      <c r="F1960" s="11" t="str">
        <f>IF(ISBLANK(D1960),"",(VLOOKUP(D1960,Cardápio!$A$2:$B$16,2,0))*E1960)</f>
        <v/>
      </c>
      <c r="H1960" s="7" t="str">
        <f t="shared" si="120"/>
        <v/>
      </c>
      <c r="I1960" s="7" t="str">
        <f>IF(AND(ISBLANK(D1960),ISBLANK(C1960)),"",((VLOOKUP(D1960,Cardápio!$A$2:$C$16,3,0))*E1960)+IF(B1960="iFood",F1960*0.27,(VLOOKUP(VENDAS!C1960,Bairros!$A$2:$B$90,2,0))))</f>
        <v/>
      </c>
      <c r="J1960" s="7" t="str">
        <f t="shared" si="121"/>
        <v/>
      </c>
      <c r="K1960" s="9">
        <f t="shared" ca="1" si="122"/>
        <v>45404.878290162036</v>
      </c>
      <c r="L1960" s="10">
        <f t="shared" ca="1" si="123"/>
        <v>45404.878290046297</v>
      </c>
    </row>
    <row r="1961" spans="6:12" x14ac:dyDescent="0.25">
      <c r="F1961" s="11" t="str">
        <f>IF(ISBLANK(D1961),"",(VLOOKUP(D1961,Cardápio!$A$2:$B$16,2,0))*E1961)</f>
        <v/>
      </c>
      <c r="H1961" s="7" t="str">
        <f t="shared" si="120"/>
        <v/>
      </c>
      <c r="I1961" s="7" t="str">
        <f>IF(AND(ISBLANK(D1961),ISBLANK(C1961)),"",((VLOOKUP(D1961,Cardápio!$A$2:$C$16,3,0))*E1961)+IF(B1961="iFood",F1961*0.27,(VLOOKUP(VENDAS!C1961,Bairros!$A$2:$B$90,2,0))))</f>
        <v/>
      </c>
      <c r="J1961" s="7" t="str">
        <f t="shared" si="121"/>
        <v/>
      </c>
      <c r="K1961" s="9">
        <f t="shared" ca="1" si="122"/>
        <v>45404.878290162036</v>
      </c>
      <c r="L1961" s="10">
        <f t="shared" ca="1" si="123"/>
        <v>45404.878290046297</v>
      </c>
    </row>
    <row r="1962" spans="6:12" x14ac:dyDescent="0.25">
      <c r="F1962" s="11" t="str">
        <f>IF(ISBLANK(D1962),"",(VLOOKUP(D1962,Cardápio!$A$2:$B$16,2,0))*E1962)</f>
        <v/>
      </c>
      <c r="H1962" s="7" t="str">
        <f t="shared" si="120"/>
        <v/>
      </c>
      <c r="I1962" s="7" t="str">
        <f>IF(AND(ISBLANK(D1962),ISBLANK(C1962)),"",((VLOOKUP(D1962,Cardápio!$A$2:$C$16,3,0))*E1962)+IF(B1962="iFood",F1962*0.27,(VLOOKUP(VENDAS!C1962,Bairros!$A$2:$B$90,2,0))))</f>
        <v/>
      </c>
      <c r="J1962" s="7" t="str">
        <f t="shared" si="121"/>
        <v/>
      </c>
      <c r="K1962" s="9">
        <f t="shared" ca="1" si="122"/>
        <v>45404.878290162036</v>
      </c>
      <c r="L1962" s="10">
        <f t="shared" ca="1" si="123"/>
        <v>45404.878290046297</v>
      </c>
    </row>
    <row r="1963" spans="6:12" x14ac:dyDescent="0.25">
      <c r="F1963" s="11" t="str">
        <f>IF(ISBLANK(D1963),"",(VLOOKUP(D1963,Cardápio!$A$2:$B$16,2,0))*E1963)</f>
        <v/>
      </c>
      <c r="H1963" s="7" t="str">
        <f t="shared" si="120"/>
        <v/>
      </c>
      <c r="I1963" s="7" t="str">
        <f>IF(AND(ISBLANK(D1963),ISBLANK(C1963)),"",((VLOOKUP(D1963,Cardápio!$A$2:$C$16,3,0))*E1963)+IF(B1963="iFood",F1963*0.27,(VLOOKUP(VENDAS!C1963,Bairros!$A$2:$B$90,2,0))))</f>
        <v/>
      </c>
      <c r="J1963" s="7" t="str">
        <f t="shared" si="121"/>
        <v/>
      </c>
      <c r="K1963" s="9">
        <f t="shared" ca="1" si="122"/>
        <v>45404.878290162036</v>
      </c>
      <c r="L1963" s="10">
        <f t="shared" ca="1" si="123"/>
        <v>45404.878290046297</v>
      </c>
    </row>
    <row r="1964" spans="6:12" x14ac:dyDescent="0.25">
      <c r="F1964" s="11" t="str">
        <f>IF(ISBLANK(D1964),"",(VLOOKUP(D1964,Cardápio!$A$2:$B$16,2,0))*E1964)</f>
        <v/>
      </c>
      <c r="H1964" s="7" t="str">
        <f t="shared" si="120"/>
        <v/>
      </c>
      <c r="I1964" s="7" t="str">
        <f>IF(AND(ISBLANK(D1964),ISBLANK(C1964)),"",((VLOOKUP(D1964,Cardápio!$A$2:$C$16,3,0))*E1964)+IF(B1964="iFood",F1964*0.27,(VLOOKUP(VENDAS!C1964,Bairros!$A$2:$B$90,2,0))))</f>
        <v/>
      </c>
      <c r="J1964" s="7" t="str">
        <f t="shared" si="121"/>
        <v/>
      </c>
      <c r="K1964" s="9">
        <f t="shared" ca="1" si="122"/>
        <v>45404.878290162036</v>
      </c>
      <c r="L1964" s="10">
        <f t="shared" ca="1" si="123"/>
        <v>45404.878290046297</v>
      </c>
    </row>
    <row r="1965" spans="6:12" x14ac:dyDescent="0.25">
      <c r="F1965" s="11" t="str">
        <f>IF(ISBLANK(D1965),"",(VLOOKUP(D1965,Cardápio!$A$2:$B$16,2,0))*E1965)</f>
        <v/>
      </c>
      <c r="H1965" s="7" t="str">
        <f t="shared" si="120"/>
        <v/>
      </c>
      <c r="I1965" s="7" t="str">
        <f>IF(AND(ISBLANK(D1965),ISBLANK(C1965)),"",((VLOOKUP(D1965,Cardápio!$A$2:$C$16,3,0))*E1965)+IF(B1965="iFood",F1965*0.27,(VLOOKUP(VENDAS!C1965,Bairros!$A$2:$B$90,2,0))))</f>
        <v/>
      </c>
      <c r="J1965" s="7" t="str">
        <f t="shared" si="121"/>
        <v/>
      </c>
      <c r="K1965" s="9">
        <f t="shared" ca="1" si="122"/>
        <v>45404.878290162036</v>
      </c>
      <c r="L1965" s="10">
        <f t="shared" ca="1" si="123"/>
        <v>45404.878290046297</v>
      </c>
    </row>
    <row r="1966" spans="6:12" x14ac:dyDescent="0.25">
      <c r="F1966" s="11" t="str">
        <f>IF(ISBLANK(D1966),"",(VLOOKUP(D1966,Cardápio!$A$2:$B$16,2,0))*E1966)</f>
        <v/>
      </c>
      <c r="H1966" s="7" t="str">
        <f t="shared" si="120"/>
        <v/>
      </c>
      <c r="I1966" s="7" t="str">
        <f>IF(AND(ISBLANK(D1966),ISBLANK(C1966)),"",((VLOOKUP(D1966,Cardápio!$A$2:$C$16,3,0))*E1966)+IF(B1966="iFood",F1966*0.27,(VLOOKUP(VENDAS!C1966,Bairros!$A$2:$B$90,2,0))))</f>
        <v/>
      </c>
      <c r="J1966" s="7" t="str">
        <f t="shared" si="121"/>
        <v/>
      </c>
      <c r="K1966" s="9">
        <f t="shared" ca="1" si="122"/>
        <v>45404.878290162036</v>
      </c>
      <c r="L1966" s="10">
        <f t="shared" ca="1" si="123"/>
        <v>45404.878290046297</v>
      </c>
    </row>
    <row r="1967" spans="6:12" x14ac:dyDescent="0.25">
      <c r="F1967" s="11" t="str">
        <f>IF(ISBLANK(D1967),"",(VLOOKUP(D1967,Cardápio!$A$2:$B$16,2,0))*E1967)</f>
        <v/>
      </c>
      <c r="H1967" s="7" t="str">
        <f t="shared" si="120"/>
        <v/>
      </c>
      <c r="I1967" s="7" t="str">
        <f>IF(AND(ISBLANK(D1967),ISBLANK(C1967)),"",((VLOOKUP(D1967,Cardápio!$A$2:$C$16,3,0))*E1967)+IF(B1967="iFood",F1967*0.27,(VLOOKUP(VENDAS!C1967,Bairros!$A$2:$B$90,2,0))))</f>
        <v/>
      </c>
      <c r="J1967" s="7" t="str">
        <f t="shared" si="121"/>
        <v/>
      </c>
      <c r="K1967" s="9">
        <f t="shared" ca="1" si="122"/>
        <v>45404.878290162036</v>
      </c>
      <c r="L1967" s="10">
        <f t="shared" ca="1" si="123"/>
        <v>45404.878290046297</v>
      </c>
    </row>
    <row r="1968" spans="6:12" x14ac:dyDescent="0.25">
      <c r="F1968" s="11" t="str">
        <f>IF(ISBLANK(D1968),"",(VLOOKUP(D1968,Cardápio!$A$2:$B$16,2,0))*E1968)</f>
        <v/>
      </c>
      <c r="H1968" s="7" t="str">
        <f t="shared" si="120"/>
        <v/>
      </c>
      <c r="I1968" s="7" t="str">
        <f>IF(AND(ISBLANK(D1968),ISBLANK(C1968)),"",((VLOOKUP(D1968,Cardápio!$A$2:$C$16,3,0))*E1968)+IF(B1968="iFood",F1968*0.27,(VLOOKUP(VENDAS!C1968,Bairros!$A$2:$B$90,2,0))))</f>
        <v/>
      </c>
      <c r="J1968" s="7" t="str">
        <f t="shared" si="121"/>
        <v/>
      </c>
      <c r="K1968" s="9">
        <f t="shared" ca="1" si="122"/>
        <v>45404.878290162036</v>
      </c>
      <c r="L1968" s="10">
        <f t="shared" ca="1" si="123"/>
        <v>45404.878290046297</v>
      </c>
    </row>
    <row r="1969" spans="6:12" x14ac:dyDescent="0.25">
      <c r="F1969" s="11" t="str">
        <f>IF(ISBLANK(D1969),"",(VLOOKUP(D1969,Cardápio!$A$2:$B$16,2,0))*E1969)</f>
        <v/>
      </c>
      <c r="H1969" s="7" t="str">
        <f t="shared" si="120"/>
        <v/>
      </c>
      <c r="I1969" s="7" t="str">
        <f>IF(AND(ISBLANK(D1969),ISBLANK(C1969)),"",((VLOOKUP(D1969,Cardápio!$A$2:$C$16,3,0))*E1969)+IF(B1969="iFood",F1969*0.27,(VLOOKUP(VENDAS!C1969,Bairros!$A$2:$B$90,2,0))))</f>
        <v/>
      </c>
      <c r="J1969" s="7" t="str">
        <f t="shared" si="121"/>
        <v/>
      </c>
      <c r="K1969" s="9">
        <f t="shared" ca="1" si="122"/>
        <v>45404.878290162036</v>
      </c>
      <c r="L1969" s="10">
        <f t="shared" ca="1" si="123"/>
        <v>45404.878290046297</v>
      </c>
    </row>
    <row r="1970" spans="6:12" x14ac:dyDescent="0.25">
      <c r="F1970" s="11" t="str">
        <f>IF(ISBLANK(D1970),"",(VLOOKUP(D1970,Cardápio!$A$2:$B$16,2,0))*E1970)</f>
        <v/>
      </c>
      <c r="H1970" s="7" t="str">
        <f t="shared" si="120"/>
        <v/>
      </c>
      <c r="I1970" s="7" t="str">
        <f>IF(AND(ISBLANK(D1970),ISBLANK(C1970)),"",((VLOOKUP(D1970,Cardápio!$A$2:$C$16,3,0))*E1970)+IF(B1970="iFood",F1970*0.27,(VLOOKUP(VENDAS!C1970,Bairros!$A$2:$B$90,2,0))))</f>
        <v/>
      </c>
      <c r="J1970" s="7" t="str">
        <f t="shared" si="121"/>
        <v/>
      </c>
      <c r="K1970" s="9">
        <f t="shared" ca="1" si="122"/>
        <v>45404.878290162036</v>
      </c>
      <c r="L1970" s="10">
        <f t="shared" ca="1" si="123"/>
        <v>45404.878290046297</v>
      </c>
    </row>
    <row r="1971" spans="6:12" x14ac:dyDescent="0.25">
      <c r="F1971" s="11" t="str">
        <f>IF(ISBLANK(D1971),"",(VLOOKUP(D1971,Cardápio!$A$2:$B$16,2,0))*E1971)</f>
        <v/>
      </c>
      <c r="H1971" s="7" t="str">
        <f t="shared" si="120"/>
        <v/>
      </c>
      <c r="I1971" s="7" t="str">
        <f>IF(AND(ISBLANK(D1971),ISBLANK(C1971)),"",((VLOOKUP(D1971,Cardápio!$A$2:$C$16,3,0))*E1971)+IF(B1971="iFood",F1971*0.27,(VLOOKUP(VENDAS!C1971,Bairros!$A$2:$B$90,2,0))))</f>
        <v/>
      </c>
      <c r="J1971" s="7" t="str">
        <f t="shared" si="121"/>
        <v/>
      </c>
      <c r="K1971" s="9">
        <f t="shared" ca="1" si="122"/>
        <v>45404.878290162036</v>
      </c>
      <c r="L1971" s="10">
        <f t="shared" ca="1" si="123"/>
        <v>45404.878290046297</v>
      </c>
    </row>
    <row r="1972" spans="6:12" x14ac:dyDescent="0.25">
      <c r="F1972" s="11" t="str">
        <f>IF(ISBLANK(D1972),"",(VLOOKUP(D1972,Cardápio!$A$2:$B$16,2,0))*E1972)</f>
        <v/>
      </c>
      <c r="H1972" s="7" t="str">
        <f t="shared" si="120"/>
        <v/>
      </c>
      <c r="I1972" s="7" t="str">
        <f>IF(AND(ISBLANK(D1972),ISBLANK(C1972)),"",((VLOOKUP(D1972,Cardápio!$A$2:$C$16,3,0))*E1972)+IF(B1972="iFood",F1972*0.27,(VLOOKUP(VENDAS!C1972,Bairros!$A$2:$B$90,2,0))))</f>
        <v/>
      </c>
      <c r="J1972" s="7" t="str">
        <f t="shared" si="121"/>
        <v/>
      </c>
      <c r="K1972" s="9">
        <f t="shared" ca="1" si="122"/>
        <v>45404.878290162036</v>
      </c>
      <c r="L1972" s="10">
        <f t="shared" ca="1" si="123"/>
        <v>45404.878290046297</v>
      </c>
    </row>
    <row r="1973" spans="6:12" x14ac:dyDescent="0.25">
      <c r="F1973" s="11" t="str">
        <f>IF(ISBLANK(D1973),"",(VLOOKUP(D1973,Cardápio!$A$2:$B$16,2,0))*E1973)</f>
        <v/>
      </c>
      <c r="H1973" s="7" t="str">
        <f t="shared" ref="H1973:H2036" si="124">IF(ISBLANK(D1973),"",F1973-G1973)</f>
        <v/>
      </c>
      <c r="I1973" s="7" t="str">
        <f>IF(AND(ISBLANK(D1973),ISBLANK(C1973)),"",((VLOOKUP(D1973,Cardápio!$A$2:$C$16,3,0))*E1973)+IF(B1973="iFood",F1973*0.27,(VLOOKUP(VENDAS!C1973,Bairros!$A$2:$B$90,2,0))))</f>
        <v/>
      </c>
      <c r="J1973" s="7" t="str">
        <f t="shared" ref="J1973:J2036" si="125">IF(OR(AND(ISBLANK(H1973),ISBLANK(I1973)),(AND(H1973="",I1973=""))),"",H1973-I1973)</f>
        <v/>
      </c>
      <c r="K1973" s="9">
        <f t="shared" ref="K1973:K2036" ca="1" si="126">IF(D1973&lt;&gt;"",K1973,NOW())</f>
        <v>45404.878290162036</v>
      </c>
      <c r="L1973" s="10">
        <f t="shared" ref="L1973:L2036" ca="1" si="127">IF(D1973&lt;&gt;"",L1973,NOW())</f>
        <v>45404.878290046297</v>
      </c>
    </row>
    <row r="1974" spans="6:12" x14ac:dyDescent="0.25">
      <c r="F1974" s="11" t="str">
        <f>IF(ISBLANK(D1974),"",(VLOOKUP(D1974,Cardápio!$A$2:$B$16,2,0))*E1974)</f>
        <v/>
      </c>
      <c r="H1974" s="7" t="str">
        <f t="shared" si="124"/>
        <v/>
      </c>
      <c r="I1974" s="7" t="str">
        <f>IF(AND(ISBLANK(D1974),ISBLANK(C1974)),"",((VLOOKUP(D1974,Cardápio!$A$2:$C$16,3,0))*E1974)+IF(B1974="iFood",F1974*0.27,(VLOOKUP(VENDAS!C1974,Bairros!$A$2:$B$90,2,0))))</f>
        <v/>
      </c>
      <c r="J1974" s="7" t="str">
        <f t="shared" si="125"/>
        <v/>
      </c>
      <c r="K1974" s="9">
        <f t="shared" ca="1" si="126"/>
        <v>45404.878290162036</v>
      </c>
      <c r="L1974" s="10">
        <f t="shared" ca="1" si="127"/>
        <v>45404.878290046297</v>
      </c>
    </row>
    <row r="1975" spans="6:12" x14ac:dyDescent="0.25">
      <c r="F1975" s="11" t="str">
        <f>IF(ISBLANK(D1975),"",(VLOOKUP(D1975,Cardápio!$A$2:$B$16,2,0))*E1975)</f>
        <v/>
      </c>
      <c r="H1975" s="7" t="str">
        <f t="shared" si="124"/>
        <v/>
      </c>
      <c r="I1975" s="7" t="str">
        <f>IF(AND(ISBLANK(D1975),ISBLANK(C1975)),"",((VLOOKUP(D1975,Cardápio!$A$2:$C$16,3,0))*E1975)+IF(B1975="iFood",F1975*0.27,(VLOOKUP(VENDAS!C1975,Bairros!$A$2:$B$90,2,0))))</f>
        <v/>
      </c>
      <c r="J1975" s="7" t="str">
        <f t="shared" si="125"/>
        <v/>
      </c>
      <c r="K1975" s="9">
        <f t="shared" ca="1" si="126"/>
        <v>45404.878290162036</v>
      </c>
      <c r="L1975" s="10">
        <f t="shared" ca="1" si="127"/>
        <v>45404.878290046297</v>
      </c>
    </row>
    <row r="1976" spans="6:12" x14ac:dyDescent="0.25">
      <c r="F1976" s="11" t="str">
        <f>IF(ISBLANK(D1976),"",(VLOOKUP(D1976,Cardápio!$A$2:$B$16,2,0))*E1976)</f>
        <v/>
      </c>
      <c r="H1976" s="7" t="str">
        <f t="shared" si="124"/>
        <v/>
      </c>
      <c r="I1976" s="7" t="str">
        <f>IF(AND(ISBLANK(D1976),ISBLANK(C1976)),"",((VLOOKUP(D1976,Cardápio!$A$2:$C$16,3,0))*E1976)+IF(B1976="iFood",F1976*0.27,(VLOOKUP(VENDAS!C1976,Bairros!$A$2:$B$90,2,0))))</f>
        <v/>
      </c>
      <c r="J1976" s="7" t="str">
        <f t="shared" si="125"/>
        <v/>
      </c>
      <c r="K1976" s="9">
        <f t="shared" ca="1" si="126"/>
        <v>45404.878290162036</v>
      </c>
      <c r="L1976" s="10">
        <f t="shared" ca="1" si="127"/>
        <v>45404.878290046297</v>
      </c>
    </row>
    <row r="1977" spans="6:12" x14ac:dyDescent="0.25">
      <c r="F1977" s="11" t="str">
        <f>IF(ISBLANK(D1977),"",(VLOOKUP(D1977,Cardápio!$A$2:$B$16,2,0))*E1977)</f>
        <v/>
      </c>
      <c r="H1977" s="7" t="str">
        <f t="shared" si="124"/>
        <v/>
      </c>
      <c r="I1977" s="7" t="str">
        <f>IF(AND(ISBLANK(D1977),ISBLANK(C1977)),"",((VLOOKUP(D1977,Cardápio!$A$2:$C$16,3,0))*E1977)+IF(B1977="iFood",F1977*0.27,(VLOOKUP(VENDAS!C1977,Bairros!$A$2:$B$90,2,0))))</f>
        <v/>
      </c>
      <c r="J1977" s="7" t="str">
        <f t="shared" si="125"/>
        <v/>
      </c>
      <c r="K1977" s="9">
        <f t="shared" ca="1" si="126"/>
        <v>45404.878290162036</v>
      </c>
      <c r="L1977" s="10">
        <f t="shared" ca="1" si="127"/>
        <v>45404.878290046297</v>
      </c>
    </row>
    <row r="1978" spans="6:12" x14ac:dyDescent="0.25">
      <c r="F1978" s="11" t="str">
        <f>IF(ISBLANK(D1978),"",(VLOOKUP(D1978,Cardápio!$A$2:$B$16,2,0))*E1978)</f>
        <v/>
      </c>
      <c r="H1978" s="7" t="str">
        <f t="shared" si="124"/>
        <v/>
      </c>
      <c r="I1978" s="7" t="str">
        <f>IF(AND(ISBLANK(D1978),ISBLANK(C1978)),"",((VLOOKUP(D1978,Cardápio!$A$2:$C$16,3,0))*E1978)+IF(B1978="iFood",F1978*0.27,(VLOOKUP(VENDAS!C1978,Bairros!$A$2:$B$90,2,0))))</f>
        <v/>
      </c>
      <c r="J1978" s="7" t="str">
        <f t="shared" si="125"/>
        <v/>
      </c>
      <c r="K1978" s="9">
        <f t="shared" ca="1" si="126"/>
        <v>45404.878290162036</v>
      </c>
      <c r="L1978" s="10">
        <f t="shared" ca="1" si="127"/>
        <v>45404.878290046297</v>
      </c>
    </row>
    <row r="1979" spans="6:12" x14ac:dyDescent="0.25">
      <c r="F1979" s="11" t="str">
        <f>IF(ISBLANK(D1979),"",(VLOOKUP(D1979,Cardápio!$A$2:$B$16,2,0))*E1979)</f>
        <v/>
      </c>
      <c r="H1979" s="7" t="str">
        <f t="shared" si="124"/>
        <v/>
      </c>
      <c r="I1979" s="7" t="str">
        <f>IF(AND(ISBLANK(D1979),ISBLANK(C1979)),"",((VLOOKUP(D1979,Cardápio!$A$2:$C$16,3,0))*E1979)+IF(B1979="iFood",F1979*0.27,(VLOOKUP(VENDAS!C1979,Bairros!$A$2:$B$90,2,0))))</f>
        <v/>
      </c>
      <c r="J1979" s="7" t="str">
        <f t="shared" si="125"/>
        <v/>
      </c>
      <c r="K1979" s="9">
        <f t="shared" ca="1" si="126"/>
        <v>45404.878290162036</v>
      </c>
      <c r="L1979" s="10">
        <f t="shared" ca="1" si="127"/>
        <v>45404.878290046297</v>
      </c>
    </row>
    <row r="1980" spans="6:12" x14ac:dyDescent="0.25">
      <c r="F1980" s="11" t="str">
        <f>IF(ISBLANK(D1980),"",(VLOOKUP(D1980,Cardápio!$A$2:$B$16,2,0))*E1980)</f>
        <v/>
      </c>
      <c r="H1980" s="7" t="str">
        <f t="shared" si="124"/>
        <v/>
      </c>
      <c r="I1980" s="7" t="str">
        <f>IF(AND(ISBLANK(D1980),ISBLANK(C1980)),"",((VLOOKUP(D1980,Cardápio!$A$2:$C$16,3,0))*E1980)+IF(B1980="iFood",F1980*0.27,(VLOOKUP(VENDAS!C1980,Bairros!$A$2:$B$90,2,0))))</f>
        <v/>
      </c>
      <c r="J1980" s="7" t="str">
        <f t="shared" si="125"/>
        <v/>
      </c>
      <c r="K1980" s="9">
        <f t="shared" ca="1" si="126"/>
        <v>45404.878290162036</v>
      </c>
      <c r="L1980" s="10">
        <f t="shared" ca="1" si="127"/>
        <v>45404.878290046297</v>
      </c>
    </row>
    <row r="1981" spans="6:12" x14ac:dyDescent="0.25">
      <c r="F1981" s="11" t="str">
        <f>IF(ISBLANK(D1981),"",(VLOOKUP(D1981,Cardápio!$A$2:$B$16,2,0))*E1981)</f>
        <v/>
      </c>
      <c r="H1981" s="7" t="str">
        <f t="shared" si="124"/>
        <v/>
      </c>
      <c r="I1981" s="7" t="str">
        <f>IF(AND(ISBLANK(D1981),ISBLANK(C1981)),"",((VLOOKUP(D1981,Cardápio!$A$2:$C$16,3,0))*E1981)+IF(B1981="iFood",F1981*0.27,(VLOOKUP(VENDAS!C1981,Bairros!$A$2:$B$90,2,0))))</f>
        <v/>
      </c>
      <c r="J1981" s="7" t="str">
        <f t="shared" si="125"/>
        <v/>
      </c>
      <c r="K1981" s="9">
        <f t="shared" ca="1" si="126"/>
        <v>45404.878290162036</v>
      </c>
      <c r="L1981" s="10">
        <f t="shared" ca="1" si="127"/>
        <v>45404.878290046297</v>
      </c>
    </row>
    <row r="1982" spans="6:12" x14ac:dyDescent="0.25">
      <c r="F1982" s="11" t="str">
        <f>IF(ISBLANK(D1982),"",(VLOOKUP(D1982,Cardápio!$A$2:$B$16,2,0))*E1982)</f>
        <v/>
      </c>
      <c r="H1982" s="7" t="str">
        <f t="shared" si="124"/>
        <v/>
      </c>
      <c r="I1982" s="7" t="str">
        <f>IF(AND(ISBLANK(D1982),ISBLANK(C1982)),"",((VLOOKUP(D1982,Cardápio!$A$2:$C$16,3,0))*E1982)+IF(B1982="iFood",F1982*0.27,(VLOOKUP(VENDAS!C1982,Bairros!$A$2:$B$90,2,0))))</f>
        <v/>
      </c>
      <c r="J1982" s="7" t="str">
        <f t="shared" si="125"/>
        <v/>
      </c>
      <c r="K1982" s="9">
        <f t="shared" ca="1" si="126"/>
        <v>45404.878290162036</v>
      </c>
      <c r="L1982" s="10">
        <f t="shared" ca="1" si="127"/>
        <v>45404.878290046297</v>
      </c>
    </row>
    <row r="1983" spans="6:12" x14ac:dyDescent="0.25">
      <c r="F1983" s="11" t="str">
        <f>IF(ISBLANK(D1983),"",(VLOOKUP(D1983,Cardápio!$A$2:$B$16,2,0))*E1983)</f>
        <v/>
      </c>
      <c r="H1983" s="7" t="str">
        <f t="shared" si="124"/>
        <v/>
      </c>
      <c r="I1983" s="7" t="str">
        <f>IF(AND(ISBLANK(D1983),ISBLANK(C1983)),"",((VLOOKUP(D1983,Cardápio!$A$2:$C$16,3,0))*E1983)+IF(B1983="iFood",F1983*0.27,(VLOOKUP(VENDAS!C1983,Bairros!$A$2:$B$90,2,0))))</f>
        <v/>
      </c>
      <c r="J1983" s="7" t="str">
        <f t="shared" si="125"/>
        <v/>
      </c>
      <c r="K1983" s="9">
        <f t="shared" ca="1" si="126"/>
        <v>45404.878290162036</v>
      </c>
      <c r="L1983" s="10">
        <f t="shared" ca="1" si="127"/>
        <v>45404.878290046297</v>
      </c>
    </row>
    <row r="1984" spans="6:12" x14ac:dyDescent="0.25">
      <c r="F1984" s="11" t="str">
        <f>IF(ISBLANK(D1984),"",(VLOOKUP(D1984,Cardápio!$A$2:$B$16,2,0))*E1984)</f>
        <v/>
      </c>
      <c r="H1984" s="7" t="str">
        <f t="shared" si="124"/>
        <v/>
      </c>
      <c r="I1984" s="7" t="str">
        <f>IF(AND(ISBLANK(D1984),ISBLANK(C1984)),"",((VLOOKUP(D1984,Cardápio!$A$2:$C$16,3,0))*E1984)+IF(B1984="iFood",F1984*0.27,(VLOOKUP(VENDAS!C1984,Bairros!$A$2:$B$90,2,0))))</f>
        <v/>
      </c>
      <c r="J1984" s="7" t="str">
        <f t="shared" si="125"/>
        <v/>
      </c>
      <c r="K1984" s="9">
        <f t="shared" ca="1" si="126"/>
        <v>45404.878290162036</v>
      </c>
      <c r="L1984" s="10">
        <f t="shared" ca="1" si="127"/>
        <v>45404.878290046297</v>
      </c>
    </row>
    <row r="1985" spans="6:12" x14ac:dyDescent="0.25">
      <c r="F1985" s="11" t="str">
        <f>IF(ISBLANK(D1985),"",(VLOOKUP(D1985,Cardápio!$A$2:$B$16,2,0))*E1985)</f>
        <v/>
      </c>
      <c r="H1985" s="7" t="str">
        <f t="shared" si="124"/>
        <v/>
      </c>
      <c r="I1985" s="7" t="str">
        <f>IF(AND(ISBLANK(D1985),ISBLANK(C1985)),"",((VLOOKUP(D1985,Cardápio!$A$2:$C$16,3,0))*E1985)+IF(B1985="iFood",F1985*0.27,(VLOOKUP(VENDAS!C1985,Bairros!$A$2:$B$90,2,0))))</f>
        <v/>
      </c>
      <c r="J1985" s="7" t="str">
        <f t="shared" si="125"/>
        <v/>
      </c>
      <c r="K1985" s="9">
        <f t="shared" ca="1" si="126"/>
        <v>45404.878290162036</v>
      </c>
      <c r="L1985" s="10">
        <f t="shared" ca="1" si="127"/>
        <v>45404.878290046297</v>
      </c>
    </row>
    <row r="1986" spans="6:12" x14ac:dyDescent="0.25">
      <c r="F1986" s="11" t="str">
        <f>IF(ISBLANK(D1986),"",(VLOOKUP(D1986,Cardápio!$A$2:$B$16,2,0))*E1986)</f>
        <v/>
      </c>
      <c r="H1986" s="7" t="str">
        <f t="shared" si="124"/>
        <v/>
      </c>
      <c r="I1986" s="7" t="str">
        <f>IF(AND(ISBLANK(D1986),ISBLANK(C1986)),"",((VLOOKUP(D1986,Cardápio!$A$2:$C$16,3,0))*E1986)+IF(B1986="iFood",F1986*0.27,(VLOOKUP(VENDAS!C1986,Bairros!$A$2:$B$90,2,0))))</f>
        <v/>
      </c>
      <c r="J1986" s="7" t="str">
        <f t="shared" si="125"/>
        <v/>
      </c>
      <c r="K1986" s="9">
        <f t="shared" ca="1" si="126"/>
        <v>45404.878290162036</v>
      </c>
      <c r="L1986" s="10">
        <f t="shared" ca="1" si="127"/>
        <v>45404.878290046297</v>
      </c>
    </row>
    <row r="1987" spans="6:12" x14ac:dyDescent="0.25">
      <c r="F1987" s="11" t="str">
        <f>IF(ISBLANK(D1987),"",(VLOOKUP(D1987,Cardápio!$A$2:$B$16,2,0))*E1987)</f>
        <v/>
      </c>
      <c r="H1987" s="7" t="str">
        <f t="shared" si="124"/>
        <v/>
      </c>
      <c r="I1987" s="7" t="str">
        <f>IF(AND(ISBLANK(D1987),ISBLANK(C1987)),"",((VLOOKUP(D1987,Cardápio!$A$2:$C$16,3,0))*E1987)+IF(B1987="iFood",F1987*0.27,(VLOOKUP(VENDAS!C1987,Bairros!$A$2:$B$90,2,0))))</f>
        <v/>
      </c>
      <c r="J1987" s="7" t="str">
        <f t="shared" si="125"/>
        <v/>
      </c>
      <c r="K1987" s="9">
        <f t="shared" ca="1" si="126"/>
        <v>45404.878290162036</v>
      </c>
      <c r="L1987" s="10">
        <f t="shared" ca="1" si="127"/>
        <v>45404.878290046297</v>
      </c>
    </row>
    <row r="1988" spans="6:12" x14ac:dyDescent="0.25">
      <c r="F1988" s="11" t="str">
        <f>IF(ISBLANK(D1988),"",(VLOOKUP(D1988,Cardápio!$A$2:$B$16,2,0))*E1988)</f>
        <v/>
      </c>
      <c r="H1988" s="7" t="str">
        <f t="shared" si="124"/>
        <v/>
      </c>
      <c r="I1988" s="7" t="str">
        <f>IF(AND(ISBLANK(D1988),ISBLANK(C1988)),"",((VLOOKUP(D1988,Cardápio!$A$2:$C$16,3,0))*E1988)+IF(B1988="iFood",F1988*0.27,(VLOOKUP(VENDAS!C1988,Bairros!$A$2:$B$90,2,0))))</f>
        <v/>
      </c>
      <c r="J1988" s="7" t="str">
        <f t="shared" si="125"/>
        <v/>
      </c>
      <c r="K1988" s="9">
        <f t="shared" ca="1" si="126"/>
        <v>45404.878290162036</v>
      </c>
      <c r="L1988" s="10">
        <f t="shared" ca="1" si="127"/>
        <v>45404.878290046297</v>
      </c>
    </row>
    <row r="1989" spans="6:12" x14ac:dyDescent="0.25">
      <c r="F1989" s="11" t="str">
        <f>IF(ISBLANK(D1989),"",(VLOOKUP(D1989,Cardápio!$A$2:$B$16,2,0))*E1989)</f>
        <v/>
      </c>
      <c r="H1989" s="7" t="str">
        <f t="shared" si="124"/>
        <v/>
      </c>
      <c r="I1989" s="7" t="str">
        <f>IF(AND(ISBLANK(D1989),ISBLANK(C1989)),"",((VLOOKUP(D1989,Cardápio!$A$2:$C$16,3,0))*E1989)+IF(B1989="iFood",F1989*0.27,(VLOOKUP(VENDAS!C1989,Bairros!$A$2:$B$90,2,0))))</f>
        <v/>
      </c>
      <c r="J1989" s="7" t="str">
        <f t="shared" si="125"/>
        <v/>
      </c>
      <c r="K1989" s="9">
        <f t="shared" ca="1" si="126"/>
        <v>45404.878290162036</v>
      </c>
      <c r="L1989" s="10">
        <f t="shared" ca="1" si="127"/>
        <v>45404.878290046297</v>
      </c>
    </row>
    <row r="1990" spans="6:12" x14ac:dyDescent="0.25">
      <c r="F1990" s="11" t="str">
        <f>IF(ISBLANK(D1990),"",(VLOOKUP(D1990,Cardápio!$A$2:$B$16,2,0))*E1990)</f>
        <v/>
      </c>
      <c r="H1990" s="7" t="str">
        <f t="shared" si="124"/>
        <v/>
      </c>
      <c r="I1990" s="7" t="str">
        <f>IF(AND(ISBLANK(D1990),ISBLANK(C1990)),"",((VLOOKUP(D1990,Cardápio!$A$2:$C$16,3,0))*E1990)+IF(B1990="iFood",F1990*0.27,(VLOOKUP(VENDAS!C1990,Bairros!$A$2:$B$90,2,0))))</f>
        <v/>
      </c>
      <c r="J1990" s="7" t="str">
        <f t="shared" si="125"/>
        <v/>
      </c>
      <c r="K1990" s="9">
        <f t="shared" ca="1" si="126"/>
        <v>45404.878290162036</v>
      </c>
      <c r="L1990" s="10">
        <f t="shared" ca="1" si="127"/>
        <v>45404.878290046297</v>
      </c>
    </row>
    <row r="1991" spans="6:12" x14ac:dyDescent="0.25">
      <c r="F1991" s="11" t="str">
        <f>IF(ISBLANK(D1991),"",(VLOOKUP(D1991,Cardápio!$A$2:$B$16,2,0))*E1991)</f>
        <v/>
      </c>
      <c r="H1991" s="7" t="str">
        <f t="shared" si="124"/>
        <v/>
      </c>
      <c r="I1991" s="7" t="str">
        <f>IF(AND(ISBLANK(D1991),ISBLANK(C1991)),"",((VLOOKUP(D1991,Cardápio!$A$2:$C$16,3,0))*E1991)+IF(B1991="iFood",F1991*0.27,(VLOOKUP(VENDAS!C1991,Bairros!$A$2:$B$90,2,0))))</f>
        <v/>
      </c>
      <c r="J1991" s="7" t="str">
        <f t="shared" si="125"/>
        <v/>
      </c>
      <c r="K1991" s="9">
        <f t="shared" ca="1" si="126"/>
        <v>45404.878290162036</v>
      </c>
      <c r="L1991" s="10">
        <f t="shared" ca="1" si="127"/>
        <v>45404.878290046297</v>
      </c>
    </row>
    <row r="1992" spans="6:12" x14ac:dyDescent="0.25">
      <c r="F1992" s="11" t="str">
        <f>IF(ISBLANK(D1992),"",(VLOOKUP(D1992,Cardápio!$A$2:$B$16,2,0))*E1992)</f>
        <v/>
      </c>
      <c r="H1992" s="7" t="str">
        <f t="shared" si="124"/>
        <v/>
      </c>
      <c r="I1992" s="7" t="str">
        <f>IF(AND(ISBLANK(D1992),ISBLANK(C1992)),"",((VLOOKUP(D1992,Cardápio!$A$2:$C$16,3,0))*E1992)+IF(B1992="iFood",F1992*0.27,(VLOOKUP(VENDAS!C1992,Bairros!$A$2:$B$90,2,0))))</f>
        <v/>
      </c>
      <c r="J1992" s="7" t="str">
        <f t="shared" si="125"/>
        <v/>
      </c>
      <c r="K1992" s="9">
        <f t="shared" ca="1" si="126"/>
        <v>45404.878290162036</v>
      </c>
      <c r="L1992" s="10">
        <f t="shared" ca="1" si="127"/>
        <v>45404.878290046297</v>
      </c>
    </row>
    <row r="1993" spans="6:12" x14ac:dyDescent="0.25">
      <c r="F1993" s="11" t="str">
        <f>IF(ISBLANK(D1993),"",(VLOOKUP(D1993,Cardápio!$A$2:$B$16,2,0))*E1993)</f>
        <v/>
      </c>
      <c r="H1993" s="7" t="str">
        <f t="shared" si="124"/>
        <v/>
      </c>
      <c r="I1993" s="7" t="str">
        <f>IF(AND(ISBLANK(D1993),ISBLANK(C1993)),"",((VLOOKUP(D1993,Cardápio!$A$2:$C$16,3,0))*E1993)+IF(B1993="iFood",F1993*0.27,(VLOOKUP(VENDAS!C1993,Bairros!$A$2:$B$90,2,0))))</f>
        <v/>
      </c>
      <c r="J1993" s="7" t="str">
        <f t="shared" si="125"/>
        <v/>
      </c>
      <c r="K1993" s="9">
        <f t="shared" ca="1" si="126"/>
        <v>45404.878290162036</v>
      </c>
      <c r="L1993" s="10">
        <f t="shared" ca="1" si="127"/>
        <v>45404.878290046297</v>
      </c>
    </row>
    <row r="1994" spans="6:12" x14ac:dyDescent="0.25">
      <c r="F1994" s="11" t="str">
        <f>IF(ISBLANK(D1994),"",(VLOOKUP(D1994,Cardápio!$A$2:$B$16,2,0))*E1994)</f>
        <v/>
      </c>
      <c r="H1994" s="7" t="str">
        <f t="shared" si="124"/>
        <v/>
      </c>
      <c r="I1994" s="7" t="str">
        <f>IF(AND(ISBLANK(D1994),ISBLANK(C1994)),"",((VLOOKUP(D1994,Cardápio!$A$2:$C$16,3,0))*E1994)+IF(B1994="iFood",F1994*0.27,(VLOOKUP(VENDAS!C1994,Bairros!$A$2:$B$90,2,0))))</f>
        <v/>
      </c>
      <c r="J1994" s="7" t="str">
        <f t="shared" si="125"/>
        <v/>
      </c>
      <c r="K1994" s="9">
        <f t="shared" ca="1" si="126"/>
        <v>45404.878290162036</v>
      </c>
      <c r="L1994" s="10">
        <f t="shared" ca="1" si="127"/>
        <v>45404.878290046297</v>
      </c>
    </row>
    <row r="1995" spans="6:12" x14ac:dyDescent="0.25">
      <c r="F1995" s="11" t="str">
        <f>IF(ISBLANK(D1995),"",(VLOOKUP(D1995,Cardápio!$A$2:$B$16,2,0))*E1995)</f>
        <v/>
      </c>
      <c r="H1995" s="7" t="str">
        <f t="shared" si="124"/>
        <v/>
      </c>
      <c r="I1995" s="7" t="str">
        <f>IF(AND(ISBLANK(D1995),ISBLANK(C1995)),"",((VLOOKUP(D1995,Cardápio!$A$2:$C$16,3,0))*E1995)+IF(B1995="iFood",F1995*0.27,(VLOOKUP(VENDAS!C1995,Bairros!$A$2:$B$90,2,0))))</f>
        <v/>
      </c>
      <c r="J1995" s="7" t="str">
        <f t="shared" si="125"/>
        <v/>
      </c>
      <c r="K1995" s="9">
        <f t="shared" ca="1" si="126"/>
        <v>45404.878290162036</v>
      </c>
      <c r="L1995" s="10">
        <f t="shared" ca="1" si="127"/>
        <v>45404.878290046297</v>
      </c>
    </row>
    <row r="1996" spans="6:12" x14ac:dyDescent="0.25">
      <c r="F1996" s="11" t="str">
        <f>IF(ISBLANK(D1996),"",(VLOOKUP(D1996,Cardápio!$A$2:$B$16,2,0))*E1996)</f>
        <v/>
      </c>
      <c r="H1996" s="7" t="str">
        <f t="shared" si="124"/>
        <v/>
      </c>
      <c r="I1996" s="7" t="str">
        <f>IF(AND(ISBLANK(D1996),ISBLANK(C1996)),"",((VLOOKUP(D1996,Cardápio!$A$2:$C$16,3,0))*E1996)+IF(B1996="iFood",F1996*0.27,(VLOOKUP(VENDAS!C1996,Bairros!$A$2:$B$90,2,0))))</f>
        <v/>
      </c>
      <c r="J1996" s="7" t="str">
        <f t="shared" si="125"/>
        <v/>
      </c>
      <c r="K1996" s="9">
        <f t="shared" ca="1" si="126"/>
        <v>45404.878290162036</v>
      </c>
      <c r="L1996" s="10">
        <f t="shared" ca="1" si="127"/>
        <v>45404.878290046297</v>
      </c>
    </row>
    <row r="1997" spans="6:12" x14ac:dyDescent="0.25">
      <c r="F1997" s="11" t="str">
        <f>IF(ISBLANK(D1997),"",(VLOOKUP(D1997,Cardápio!$A$2:$B$16,2,0))*E1997)</f>
        <v/>
      </c>
      <c r="H1997" s="7" t="str">
        <f t="shared" si="124"/>
        <v/>
      </c>
      <c r="I1997" s="7" t="str">
        <f>IF(AND(ISBLANK(D1997),ISBLANK(C1997)),"",((VLOOKUP(D1997,Cardápio!$A$2:$C$16,3,0))*E1997)+IF(B1997="iFood",F1997*0.27,(VLOOKUP(VENDAS!C1997,Bairros!$A$2:$B$90,2,0))))</f>
        <v/>
      </c>
      <c r="J1997" s="7" t="str">
        <f t="shared" si="125"/>
        <v/>
      </c>
      <c r="K1997" s="9">
        <f t="shared" ca="1" si="126"/>
        <v>45404.878290162036</v>
      </c>
      <c r="L1997" s="10">
        <f t="shared" ca="1" si="127"/>
        <v>45404.878290046297</v>
      </c>
    </row>
    <row r="1998" spans="6:12" x14ac:dyDescent="0.25">
      <c r="F1998" s="11" t="str">
        <f>IF(ISBLANK(D1998),"",(VLOOKUP(D1998,Cardápio!$A$2:$B$16,2,0))*E1998)</f>
        <v/>
      </c>
      <c r="H1998" s="7" t="str">
        <f t="shared" si="124"/>
        <v/>
      </c>
      <c r="I1998" s="7" t="str">
        <f>IF(AND(ISBLANK(D1998),ISBLANK(C1998)),"",((VLOOKUP(D1998,Cardápio!$A$2:$C$16,3,0))*E1998)+IF(B1998="iFood",F1998*0.27,(VLOOKUP(VENDAS!C1998,Bairros!$A$2:$B$90,2,0))))</f>
        <v/>
      </c>
      <c r="J1998" s="7" t="str">
        <f t="shared" si="125"/>
        <v/>
      </c>
      <c r="K1998" s="9">
        <f t="shared" ca="1" si="126"/>
        <v>45404.878290162036</v>
      </c>
      <c r="L1998" s="10">
        <f t="shared" ca="1" si="127"/>
        <v>45404.878290046297</v>
      </c>
    </row>
    <row r="1999" spans="6:12" x14ac:dyDescent="0.25">
      <c r="F1999" s="11" t="str">
        <f>IF(ISBLANK(D1999),"",(VLOOKUP(D1999,Cardápio!$A$2:$B$16,2,0))*E1999)</f>
        <v/>
      </c>
      <c r="H1999" s="7" t="str">
        <f t="shared" si="124"/>
        <v/>
      </c>
      <c r="I1999" s="7" t="str">
        <f>IF(AND(ISBLANK(D1999),ISBLANK(C1999)),"",((VLOOKUP(D1999,Cardápio!$A$2:$C$16,3,0))*E1999)+IF(B1999="iFood",F1999*0.27,(VLOOKUP(VENDAS!C1999,Bairros!$A$2:$B$90,2,0))))</f>
        <v/>
      </c>
      <c r="J1999" s="7" t="str">
        <f t="shared" si="125"/>
        <v/>
      </c>
      <c r="K1999" s="9">
        <f t="shared" ca="1" si="126"/>
        <v>45404.878290162036</v>
      </c>
      <c r="L1999" s="10">
        <f t="shared" ca="1" si="127"/>
        <v>45404.878290046297</v>
      </c>
    </row>
    <row r="2000" spans="6:12" x14ac:dyDescent="0.25">
      <c r="F2000" s="11" t="str">
        <f>IF(ISBLANK(D2000),"",(VLOOKUP(D2000,Cardápio!$A$2:$B$16,2,0))*E2000)</f>
        <v/>
      </c>
      <c r="H2000" s="7" t="str">
        <f t="shared" si="124"/>
        <v/>
      </c>
      <c r="I2000" s="7" t="str">
        <f>IF(AND(ISBLANK(D2000),ISBLANK(C2000)),"",((VLOOKUP(D2000,Cardápio!$A$2:$C$16,3,0))*E2000)+IF(B2000="iFood",F2000*0.27,(VLOOKUP(VENDAS!C2000,Bairros!$A$2:$B$90,2,0))))</f>
        <v/>
      </c>
      <c r="J2000" s="7" t="str">
        <f t="shared" si="125"/>
        <v/>
      </c>
      <c r="K2000" s="9">
        <f t="shared" ca="1" si="126"/>
        <v>45404.878290162036</v>
      </c>
      <c r="L2000" s="10">
        <f t="shared" ca="1" si="127"/>
        <v>45404.878290046297</v>
      </c>
    </row>
    <row r="2001" spans="6:12" x14ac:dyDescent="0.25">
      <c r="F2001" s="11" t="str">
        <f>IF(ISBLANK(D2001),"",(VLOOKUP(D2001,Cardápio!$A$2:$B$16,2,0))*E2001)</f>
        <v/>
      </c>
      <c r="H2001" s="7" t="str">
        <f t="shared" si="124"/>
        <v/>
      </c>
      <c r="I2001" s="7" t="str">
        <f>IF(AND(ISBLANK(D2001),ISBLANK(C2001)),"",((VLOOKUP(D2001,Cardápio!$A$2:$C$16,3,0))*E2001)+IF(B2001="iFood",F2001*0.27,(VLOOKUP(VENDAS!C2001,Bairros!$A$2:$B$90,2,0))))</f>
        <v/>
      </c>
      <c r="J2001" s="7" t="str">
        <f t="shared" si="125"/>
        <v/>
      </c>
      <c r="K2001" s="9">
        <f t="shared" ca="1" si="126"/>
        <v>45404.878290162036</v>
      </c>
      <c r="L2001" s="10">
        <f t="shared" ca="1" si="127"/>
        <v>45404.878290046297</v>
      </c>
    </row>
    <row r="2002" spans="6:12" x14ac:dyDescent="0.25">
      <c r="F2002" s="11" t="str">
        <f>IF(ISBLANK(D2002),"",(VLOOKUP(D2002,Cardápio!$A$2:$B$16,2,0))*E2002)</f>
        <v/>
      </c>
      <c r="H2002" s="7" t="str">
        <f t="shared" si="124"/>
        <v/>
      </c>
      <c r="I2002" s="7" t="str">
        <f>IF(AND(ISBLANK(D2002),ISBLANK(C2002)),"",((VLOOKUP(D2002,Cardápio!$A$2:$C$16,3,0))*E2002)+IF(B2002="iFood",F2002*0.27,(VLOOKUP(VENDAS!C2002,Bairros!$A$2:$B$90,2,0))))</f>
        <v/>
      </c>
      <c r="J2002" s="7" t="str">
        <f t="shared" si="125"/>
        <v/>
      </c>
      <c r="K2002" s="9">
        <f t="shared" ca="1" si="126"/>
        <v>45404.878290162036</v>
      </c>
      <c r="L2002" s="10">
        <f t="shared" ca="1" si="127"/>
        <v>45404.878290046297</v>
      </c>
    </row>
    <row r="2003" spans="6:12" x14ac:dyDescent="0.25">
      <c r="F2003" s="11" t="str">
        <f>IF(ISBLANK(D2003),"",(VLOOKUP(D2003,Cardápio!$A$2:$B$16,2,0))*E2003)</f>
        <v/>
      </c>
      <c r="H2003" s="7" t="str">
        <f t="shared" si="124"/>
        <v/>
      </c>
      <c r="I2003" s="7" t="str">
        <f>IF(AND(ISBLANK(D2003),ISBLANK(C2003)),"",((VLOOKUP(D2003,Cardápio!$A$2:$C$16,3,0))*E2003)+IF(B2003="iFood",F2003*0.27,(VLOOKUP(VENDAS!C2003,Bairros!$A$2:$B$90,2,0))))</f>
        <v/>
      </c>
      <c r="J2003" s="7" t="str">
        <f t="shared" si="125"/>
        <v/>
      </c>
      <c r="K2003" s="9">
        <f t="shared" ca="1" si="126"/>
        <v>45404.878290162036</v>
      </c>
      <c r="L2003" s="10">
        <f t="shared" ca="1" si="127"/>
        <v>45404.878290046297</v>
      </c>
    </row>
    <row r="2004" spans="6:12" x14ac:dyDescent="0.25">
      <c r="F2004" s="11" t="str">
        <f>IF(ISBLANK(D2004),"",(VLOOKUP(D2004,Cardápio!$A$2:$B$16,2,0))*E2004)</f>
        <v/>
      </c>
      <c r="H2004" s="7" t="str">
        <f t="shared" si="124"/>
        <v/>
      </c>
      <c r="I2004" s="7" t="str">
        <f>IF(AND(ISBLANK(D2004),ISBLANK(C2004)),"",((VLOOKUP(D2004,Cardápio!$A$2:$C$16,3,0))*E2004)+IF(B2004="iFood",F2004*0.27,(VLOOKUP(VENDAS!C2004,Bairros!$A$2:$B$90,2,0))))</f>
        <v/>
      </c>
      <c r="J2004" s="7" t="str">
        <f t="shared" si="125"/>
        <v/>
      </c>
      <c r="K2004" s="9">
        <f t="shared" ca="1" si="126"/>
        <v>45404.878290162036</v>
      </c>
      <c r="L2004" s="10">
        <f t="shared" ca="1" si="127"/>
        <v>45404.878290046297</v>
      </c>
    </row>
    <row r="2005" spans="6:12" x14ac:dyDescent="0.25">
      <c r="F2005" s="11" t="str">
        <f>IF(ISBLANK(D2005),"",(VLOOKUP(D2005,Cardápio!$A$2:$B$16,2,0))*E2005)</f>
        <v/>
      </c>
      <c r="H2005" s="7" t="str">
        <f t="shared" si="124"/>
        <v/>
      </c>
      <c r="I2005" s="7" t="str">
        <f>IF(AND(ISBLANK(D2005),ISBLANK(C2005)),"",((VLOOKUP(D2005,Cardápio!$A$2:$C$16,3,0))*E2005)+IF(B2005="iFood",F2005*0.27,(VLOOKUP(VENDAS!C2005,Bairros!$A$2:$B$90,2,0))))</f>
        <v/>
      </c>
      <c r="J2005" s="7" t="str">
        <f t="shared" si="125"/>
        <v/>
      </c>
      <c r="K2005" s="9">
        <f t="shared" ca="1" si="126"/>
        <v>45404.878290162036</v>
      </c>
      <c r="L2005" s="10">
        <f t="shared" ca="1" si="127"/>
        <v>45404.878290046297</v>
      </c>
    </row>
    <row r="2006" spans="6:12" x14ac:dyDescent="0.25">
      <c r="F2006" s="11" t="str">
        <f>IF(ISBLANK(D2006),"",(VLOOKUP(D2006,Cardápio!$A$2:$B$16,2,0))*E2006)</f>
        <v/>
      </c>
      <c r="H2006" s="7" t="str">
        <f t="shared" si="124"/>
        <v/>
      </c>
      <c r="I2006" s="7" t="str">
        <f>IF(AND(ISBLANK(D2006),ISBLANK(C2006)),"",((VLOOKUP(D2006,Cardápio!$A$2:$C$16,3,0))*E2006)+IF(B2006="iFood",F2006*0.27,(VLOOKUP(VENDAS!C2006,Bairros!$A$2:$B$90,2,0))))</f>
        <v/>
      </c>
      <c r="J2006" s="7" t="str">
        <f t="shared" si="125"/>
        <v/>
      </c>
      <c r="K2006" s="9">
        <f t="shared" ca="1" si="126"/>
        <v>45404.878290162036</v>
      </c>
      <c r="L2006" s="10">
        <f t="shared" ca="1" si="127"/>
        <v>45404.878290046297</v>
      </c>
    </row>
    <row r="2007" spans="6:12" x14ac:dyDescent="0.25">
      <c r="F2007" s="11" t="str">
        <f>IF(ISBLANK(D2007),"",(VLOOKUP(D2007,Cardápio!$A$2:$B$16,2,0))*E2007)</f>
        <v/>
      </c>
      <c r="H2007" s="7" t="str">
        <f t="shared" si="124"/>
        <v/>
      </c>
      <c r="I2007" s="7" t="str">
        <f>IF(AND(ISBLANK(D2007),ISBLANK(C2007)),"",((VLOOKUP(D2007,Cardápio!$A$2:$C$16,3,0))*E2007)+IF(B2007="iFood",F2007*0.27,(VLOOKUP(VENDAS!C2007,Bairros!$A$2:$B$90,2,0))))</f>
        <v/>
      </c>
      <c r="J2007" s="7" t="str">
        <f t="shared" si="125"/>
        <v/>
      </c>
      <c r="K2007" s="9">
        <f t="shared" ca="1" si="126"/>
        <v>45404.878290162036</v>
      </c>
      <c r="L2007" s="10">
        <f t="shared" ca="1" si="127"/>
        <v>45404.878290046297</v>
      </c>
    </row>
    <row r="2008" spans="6:12" x14ac:dyDescent="0.25">
      <c r="F2008" s="11" t="str">
        <f>IF(ISBLANK(D2008),"",(VLOOKUP(D2008,Cardápio!$A$2:$B$16,2,0))*E2008)</f>
        <v/>
      </c>
      <c r="H2008" s="7" t="str">
        <f t="shared" si="124"/>
        <v/>
      </c>
      <c r="I2008" s="7" t="str">
        <f>IF(AND(ISBLANK(D2008),ISBLANK(C2008)),"",((VLOOKUP(D2008,Cardápio!$A$2:$C$16,3,0))*E2008)+IF(B2008="iFood",F2008*0.27,(VLOOKUP(VENDAS!C2008,Bairros!$A$2:$B$90,2,0))))</f>
        <v/>
      </c>
      <c r="J2008" s="7" t="str">
        <f t="shared" si="125"/>
        <v/>
      </c>
      <c r="K2008" s="9">
        <f t="shared" ca="1" si="126"/>
        <v>45404.878290162036</v>
      </c>
      <c r="L2008" s="10">
        <f t="shared" ca="1" si="127"/>
        <v>45404.878290046297</v>
      </c>
    </row>
    <row r="2009" spans="6:12" x14ac:dyDescent="0.25">
      <c r="F2009" s="11" t="str">
        <f>IF(ISBLANK(D2009),"",(VLOOKUP(D2009,Cardápio!$A$2:$B$16,2,0))*E2009)</f>
        <v/>
      </c>
      <c r="H2009" s="7" t="str">
        <f t="shared" si="124"/>
        <v/>
      </c>
      <c r="I2009" s="7" t="str">
        <f>IF(AND(ISBLANK(D2009),ISBLANK(C2009)),"",((VLOOKUP(D2009,Cardápio!$A$2:$C$16,3,0))*E2009)+IF(B2009="iFood",F2009*0.27,(VLOOKUP(VENDAS!C2009,Bairros!$A$2:$B$90,2,0))))</f>
        <v/>
      </c>
      <c r="J2009" s="7" t="str">
        <f t="shared" si="125"/>
        <v/>
      </c>
      <c r="K2009" s="9">
        <f t="shared" ca="1" si="126"/>
        <v>45404.878290162036</v>
      </c>
      <c r="L2009" s="10">
        <f t="shared" ca="1" si="127"/>
        <v>45404.878290046297</v>
      </c>
    </row>
    <row r="2010" spans="6:12" x14ac:dyDescent="0.25">
      <c r="F2010" s="11" t="str">
        <f>IF(ISBLANK(D2010),"",(VLOOKUP(D2010,Cardápio!$A$2:$B$16,2,0))*E2010)</f>
        <v/>
      </c>
      <c r="H2010" s="7" t="str">
        <f t="shared" si="124"/>
        <v/>
      </c>
      <c r="I2010" s="7" t="str">
        <f>IF(AND(ISBLANK(D2010),ISBLANK(C2010)),"",((VLOOKUP(D2010,Cardápio!$A$2:$C$16,3,0))*E2010)+IF(B2010="iFood",F2010*0.27,(VLOOKUP(VENDAS!C2010,Bairros!$A$2:$B$90,2,0))))</f>
        <v/>
      </c>
      <c r="J2010" s="7" t="str">
        <f t="shared" si="125"/>
        <v/>
      </c>
      <c r="K2010" s="9">
        <f t="shared" ca="1" si="126"/>
        <v>45404.878290162036</v>
      </c>
      <c r="L2010" s="10">
        <f t="shared" ca="1" si="127"/>
        <v>45404.878290046297</v>
      </c>
    </row>
    <row r="2011" spans="6:12" x14ac:dyDescent="0.25">
      <c r="F2011" s="11" t="str">
        <f>IF(ISBLANK(D2011),"",(VLOOKUP(D2011,Cardápio!$A$2:$B$16,2,0))*E2011)</f>
        <v/>
      </c>
      <c r="H2011" s="7" t="str">
        <f t="shared" si="124"/>
        <v/>
      </c>
      <c r="I2011" s="7" t="str">
        <f>IF(AND(ISBLANK(D2011),ISBLANK(C2011)),"",((VLOOKUP(D2011,Cardápio!$A$2:$C$16,3,0))*E2011)+IF(B2011="iFood",F2011*0.27,(VLOOKUP(VENDAS!C2011,Bairros!$A$2:$B$90,2,0))))</f>
        <v/>
      </c>
      <c r="J2011" s="7" t="str">
        <f t="shared" si="125"/>
        <v/>
      </c>
      <c r="K2011" s="9">
        <f t="shared" ca="1" si="126"/>
        <v>45404.878290162036</v>
      </c>
      <c r="L2011" s="10">
        <f t="shared" ca="1" si="127"/>
        <v>45404.878290046297</v>
      </c>
    </row>
    <row r="2012" spans="6:12" x14ac:dyDescent="0.25">
      <c r="F2012" s="11" t="str">
        <f>IF(ISBLANK(D2012),"",(VLOOKUP(D2012,Cardápio!$A$2:$B$16,2,0))*E2012)</f>
        <v/>
      </c>
      <c r="H2012" s="7" t="str">
        <f t="shared" si="124"/>
        <v/>
      </c>
      <c r="I2012" s="7" t="str">
        <f>IF(AND(ISBLANK(D2012),ISBLANK(C2012)),"",((VLOOKUP(D2012,Cardápio!$A$2:$C$16,3,0))*E2012)+IF(B2012="iFood",F2012*0.27,(VLOOKUP(VENDAS!C2012,Bairros!$A$2:$B$90,2,0))))</f>
        <v/>
      </c>
      <c r="J2012" s="7" t="str">
        <f t="shared" si="125"/>
        <v/>
      </c>
      <c r="K2012" s="9">
        <f t="shared" ca="1" si="126"/>
        <v>45404.878290162036</v>
      </c>
      <c r="L2012" s="10">
        <f t="shared" ca="1" si="127"/>
        <v>45404.878290046297</v>
      </c>
    </row>
    <row r="2013" spans="6:12" x14ac:dyDescent="0.25">
      <c r="F2013" s="11" t="str">
        <f>IF(ISBLANK(D2013),"",(VLOOKUP(D2013,Cardápio!$A$2:$B$16,2,0))*E2013)</f>
        <v/>
      </c>
      <c r="H2013" s="7" t="str">
        <f t="shared" si="124"/>
        <v/>
      </c>
      <c r="I2013" s="7" t="str">
        <f>IF(AND(ISBLANK(D2013),ISBLANK(C2013)),"",((VLOOKUP(D2013,Cardápio!$A$2:$C$16,3,0))*E2013)+IF(B2013="iFood",F2013*0.27,(VLOOKUP(VENDAS!C2013,Bairros!$A$2:$B$90,2,0))))</f>
        <v/>
      </c>
      <c r="J2013" s="7" t="str">
        <f t="shared" si="125"/>
        <v/>
      </c>
      <c r="K2013" s="9">
        <f t="shared" ca="1" si="126"/>
        <v>45404.878290162036</v>
      </c>
      <c r="L2013" s="10">
        <f t="shared" ca="1" si="127"/>
        <v>45404.878290046297</v>
      </c>
    </row>
    <row r="2014" spans="6:12" x14ac:dyDescent="0.25">
      <c r="F2014" s="11" t="str">
        <f>IF(ISBLANK(D2014),"",(VLOOKUP(D2014,Cardápio!$A$2:$B$16,2,0))*E2014)</f>
        <v/>
      </c>
      <c r="H2014" s="7" t="str">
        <f t="shared" si="124"/>
        <v/>
      </c>
      <c r="I2014" s="7" t="str">
        <f>IF(AND(ISBLANK(D2014),ISBLANK(C2014)),"",((VLOOKUP(D2014,Cardápio!$A$2:$C$16,3,0))*E2014)+IF(B2014="iFood",F2014*0.27,(VLOOKUP(VENDAS!C2014,Bairros!$A$2:$B$90,2,0))))</f>
        <v/>
      </c>
      <c r="J2014" s="7" t="str">
        <f t="shared" si="125"/>
        <v/>
      </c>
      <c r="K2014" s="9">
        <f t="shared" ca="1" si="126"/>
        <v>45404.878290162036</v>
      </c>
      <c r="L2014" s="10">
        <f t="shared" ca="1" si="127"/>
        <v>45404.878290046297</v>
      </c>
    </row>
    <row r="2015" spans="6:12" x14ac:dyDescent="0.25">
      <c r="F2015" s="11" t="str">
        <f>IF(ISBLANK(D2015),"",(VLOOKUP(D2015,Cardápio!$A$2:$B$16,2,0))*E2015)</f>
        <v/>
      </c>
      <c r="H2015" s="7" t="str">
        <f t="shared" si="124"/>
        <v/>
      </c>
      <c r="I2015" s="7" t="str">
        <f>IF(AND(ISBLANK(D2015),ISBLANK(C2015)),"",((VLOOKUP(D2015,Cardápio!$A$2:$C$16,3,0))*E2015)+IF(B2015="iFood",F2015*0.27,(VLOOKUP(VENDAS!C2015,Bairros!$A$2:$B$90,2,0))))</f>
        <v/>
      </c>
      <c r="J2015" s="7" t="str">
        <f t="shared" si="125"/>
        <v/>
      </c>
      <c r="K2015" s="9">
        <f t="shared" ca="1" si="126"/>
        <v>45404.878290162036</v>
      </c>
      <c r="L2015" s="10">
        <f t="shared" ca="1" si="127"/>
        <v>45404.878290046297</v>
      </c>
    </row>
    <row r="2016" spans="6:12" x14ac:dyDescent="0.25">
      <c r="F2016" s="11" t="str">
        <f>IF(ISBLANK(D2016),"",(VLOOKUP(D2016,Cardápio!$A$2:$B$16,2,0))*E2016)</f>
        <v/>
      </c>
      <c r="H2016" s="7" t="str">
        <f t="shared" si="124"/>
        <v/>
      </c>
      <c r="I2016" s="7" t="str">
        <f>IF(AND(ISBLANK(D2016),ISBLANK(C2016)),"",((VLOOKUP(D2016,Cardápio!$A$2:$C$16,3,0))*E2016)+IF(B2016="iFood",F2016*0.27,(VLOOKUP(VENDAS!C2016,Bairros!$A$2:$B$90,2,0))))</f>
        <v/>
      </c>
      <c r="J2016" s="7" t="str">
        <f t="shared" si="125"/>
        <v/>
      </c>
      <c r="K2016" s="9">
        <f t="shared" ca="1" si="126"/>
        <v>45404.878290162036</v>
      </c>
      <c r="L2016" s="10">
        <f t="shared" ca="1" si="127"/>
        <v>45404.878290046297</v>
      </c>
    </row>
    <row r="2017" spans="6:12" x14ac:dyDescent="0.25">
      <c r="F2017" s="11" t="str">
        <f>IF(ISBLANK(D2017),"",(VLOOKUP(D2017,Cardápio!$A$2:$B$16,2,0))*E2017)</f>
        <v/>
      </c>
      <c r="H2017" s="7" t="str">
        <f t="shared" si="124"/>
        <v/>
      </c>
      <c r="I2017" s="7" t="str">
        <f>IF(AND(ISBLANK(D2017),ISBLANK(C2017)),"",((VLOOKUP(D2017,Cardápio!$A$2:$C$16,3,0))*E2017)+IF(B2017="iFood",F2017*0.27,(VLOOKUP(VENDAS!C2017,Bairros!$A$2:$B$90,2,0))))</f>
        <v/>
      </c>
      <c r="J2017" s="7" t="str">
        <f t="shared" si="125"/>
        <v/>
      </c>
      <c r="K2017" s="9">
        <f t="shared" ca="1" si="126"/>
        <v>45404.878290162036</v>
      </c>
      <c r="L2017" s="10">
        <f t="shared" ca="1" si="127"/>
        <v>45404.878290046297</v>
      </c>
    </row>
    <row r="2018" spans="6:12" x14ac:dyDescent="0.25">
      <c r="F2018" s="11" t="str">
        <f>IF(ISBLANK(D2018),"",(VLOOKUP(D2018,Cardápio!$A$2:$B$16,2,0))*E2018)</f>
        <v/>
      </c>
      <c r="H2018" s="7" t="str">
        <f t="shared" si="124"/>
        <v/>
      </c>
      <c r="I2018" s="7" t="str">
        <f>IF(AND(ISBLANK(D2018),ISBLANK(C2018)),"",((VLOOKUP(D2018,Cardápio!$A$2:$C$16,3,0))*E2018)+IF(B2018="iFood",F2018*0.27,(VLOOKUP(VENDAS!C2018,Bairros!$A$2:$B$90,2,0))))</f>
        <v/>
      </c>
      <c r="J2018" s="7" t="str">
        <f t="shared" si="125"/>
        <v/>
      </c>
      <c r="K2018" s="9">
        <f t="shared" ca="1" si="126"/>
        <v>45404.878290162036</v>
      </c>
      <c r="L2018" s="10">
        <f t="shared" ca="1" si="127"/>
        <v>45404.878290046297</v>
      </c>
    </row>
    <row r="2019" spans="6:12" x14ac:dyDescent="0.25">
      <c r="F2019" s="11" t="str">
        <f>IF(ISBLANK(D2019),"",(VLOOKUP(D2019,Cardápio!$A$2:$B$16,2,0))*E2019)</f>
        <v/>
      </c>
      <c r="H2019" s="7" t="str">
        <f t="shared" si="124"/>
        <v/>
      </c>
      <c r="I2019" s="7" t="str">
        <f>IF(AND(ISBLANK(D2019),ISBLANK(C2019)),"",((VLOOKUP(D2019,Cardápio!$A$2:$C$16,3,0))*E2019)+IF(B2019="iFood",F2019*0.27,(VLOOKUP(VENDAS!C2019,Bairros!$A$2:$B$90,2,0))))</f>
        <v/>
      </c>
      <c r="J2019" s="7" t="str">
        <f t="shared" si="125"/>
        <v/>
      </c>
      <c r="K2019" s="9">
        <f t="shared" ca="1" si="126"/>
        <v>45404.878290162036</v>
      </c>
      <c r="L2019" s="10">
        <f t="shared" ca="1" si="127"/>
        <v>45404.878290046297</v>
      </c>
    </row>
    <row r="2020" spans="6:12" x14ac:dyDescent="0.25">
      <c r="F2020" s="11" t="str">
        <f>IF(ISBLANK(D2020),"",(VLOOKUP(D2020,Cardápio!$A$2:$B$16,2,0))*E2020)</f>
        <v/>
      </c>
      <c r="H2020" s="7" t="str">
        <f t="shared" si="124"/>
        <v/>
      </c>
      <c r="I2020" s="7" t="str">
        <f>IF(AND(ISBLANK(D2020),ISBLANK(C2020)),"",((VLOOKUP(D2020,Cardápio!$A$2:$C$16,3,0))*E2020)+IF(B2020="iFood",F2020*0.27,(VLOOKUP(VENDAS!C2020,Bairros!$A$2:$B$90,2,0))))</f>
        <v/>
      </c>
      <c r="J2020" s="7" t="str">
        <f t="shared" si="125"/>
        <v/>
      </c>
      <c r="K2020" s="9">
        <f t="shared" ca="1" si="126"/>
        <v>45404.878290162036</v>
      </c>
      <c r="L2020" s="10">
        <f t="shared" ca="1" si="127"/>
        <v>45404.878290046297</v>
      </c>
    </row>
    <row r="2021" spans="6:12" x14ac:dyDescent="0.25">
      <c r="F2021" s="11" t="str">
        <f>IF(ISBLANK(D2021),"",(VLOOKUP(D2021,Cardápio!$A$2:$B$16,2,0))*E2021)</f>
        <v/>
      </c>
      <c r="H2021" s="7" t="str">
        <f t="shared" si="124"/>
        <v/>
      </c>
      <c r="I2021" s="7" t="str">
        <f>IF(AND(ISBLANK(D2021),ISBLANK(C2021)),"",((VLOOKUP(D2021,Cardápio!$A$2:$C$16,3,0))*E2021)+IF(B2021="iFood",F2021*0.27,(VLOOKUP(VENDAS!C2021,Bairros!$A$2:$B$90,2,0))))</f>
        <v/>
      </c>
      <c r="J2021" s="7" t="str">
        <f t="shared" si="125"/>
        <v/>
      </c>
      <c r="K2021" s="9">
        <f t="shared" ca="1" si="126"/>
        <v>45404.878290162036</v>
      </c>
      <c r="L2021" s="10">
        <f t="shared" ca="1" si="127"/>
        <v>45404.878290046297</v>
      </c>
    </row>
    <row r="2022" spans="6:12" x14ac:dyDescent="0.25">
      <c r="F2022" s="11" t="str">
        <f>IF(ISBLANK(D2022),"",(VLOOKUP(D2022,Cardápio!$A$2:$B$16,2,0))*E2022)</f>
        <v/>
      </c>
      <c r="H2022" s="7" t="str">
        <f t="shared" si="124"/>
        <v/>
      </c>
      <c r="I2022" s="7" t="str">
        <f>IF(AND(ISBLANK(D2022),ISBLANK(C2022)),"",((VLOOKUP(D2022,Cardápio!$A$2:$C$16,3,0))*E2022)+IF(B2022="iFood",F2022*0.27,(VLOOKUP(VENDAS!C2022,Bairros!$A$2:$B$90,2,0))))</f>
        <v/>
      </c>
      <c r="J2022" s="7" t="str">
        <f t="shared" si="125"/>
        <v/>
      </c>
      <c r="K2022" s="9">
        <f t="shared" ca="1" si="126"/>
        <v>45404.878290162036</v>
      </c>
      <c r="L2022" s="10">
        <f t="shared" ca="1" si="127"/>
        <v>45404.878290046297</v>
      </c>
    </row>
    <row r="2023" spans="6:12" x14ac:dyDescent="0.25">
      <c r="F2023" s="11" t="str">
        <f>IF(ISBLANK(D2023),"",(VLOOKUP(D2023,Cardápio!$A$2:$B$16,2,0))*E2023)</f>
        <v/>
      </c>
      <c r="H2023" s="7" t="str">
        <f t="shared" si="124"/>
        <v/>
      </c>
      <c r="I2023" s="7" t="str">
        <f>IF(AND(ISBLANK(D2023),ISBLANK(C2023)),"",((VLOOKUP(D2023,Cardápio!$A$2:$C$16,3,0))*E2023)+IF(B2023="iFood",F2023*0.27,(VLOOKUP(VENDAS!C2023,Bairros!$A$2:$B$90,2,0))))</f>
        <v/>
      </c>
      <c r="J2023" s="7" t="str">
        <f t="shared" si="125"/>
        <v/>
      </c>
      <c r="K2023" s="9">
        <f t="shared" ca="1" si="126"/>
        <v>45404.878290162036</v>
      </c>
      <c r="L2023" s="10">
        <f t="shared" ca="1" si="127"/>
        <v>45404.878290046297</v>
      </c>
    </row>
    <row r="2024" spans="6:12" x14ac:dyDescent="0.25">
      <c r="F2024" s="11" t="str">
        <f>IF(ISBLANK(D2024),"",(VLOOKUP(D2024,Cardápio!$A$2:$B$16,2,0))*E2024)</f>
        <v/>
      </c>
      <c r="H2024" s="7" t="str">
        <f t="shared" si="124"/>
        <v/>
      </c>
      <c r="I2024" s="7" t="str">
        <f>IF(AND(ISBLANK(D2024),ISBLANK(C2024)),"",((VLOOKUP(D2024,Cardápio!$A$2:$C$16,3,0))*E2024)+IF(B2024="iFood",F2024*0.27,(VLOOKUP(VENDAS!C2024,Bairros!$A$2:$B$90,2,0))))</f>
        <v/>
      </c>
      <c r="J2024" s="7" t="str">
        <f t="shared" si="125"/>
        <v/>
      </c>
      <c r="K2024" s="9">
        <f t="shared" ca="1" si="126"/>
        <v>45404.878290162036</v>
      </c>
      <c r="L2024" s="10">
        <f t="shared" ca="1" si="127"/>
        <v>45404.878290046297</v>
      </c>
    </row>
    <row r="2025" spans="6:12" x14ac:dyDescent="0.25">
      <c r="F2025" s="11" t="str">
        <f>IF(ISBLANK(D2025),"",(VLOOKUP(D2025,Cardápio!$A$2:$B$16,2,0))*E2025)</f>
        <v/>
      </c>
      <c r="H2025" s="7" t="str">
        <f t="shared" si="124"/>
        <v/>
      </c>
      <c r="I2025" s="7" t="str">
        <f>IF(AND(ISBLANK(D2025),ISBLANK(C2025)),"",((VLOOKUP(D2025,Cardápio!$A$2:$C$16,3,0))*E2025)+IF(B2025="iFood",F2025*0.27,(VLOOKUP(VENDAS!C2025,Bairros!$A$2:$B$90,2,0))))</f>
        <v/>
      </c>
      <c r="J2025" s="7" t="str">
        <f t="shared" si="125"/>
        <v/>
      </c>
      <c r="K2025" s="9">
        <f t="shared" ca="1" si="126"/>
        <v>45404.878290162036</v>
      </c>
      <c r="L2025" s="10">
        <f t="shared" ca="1" si="127"/>
        <v>45404.878290046297</v>
      </c>
    </row>
    <row r="2026" spans="6:12" x14ac:dyDescent="0.25">
      <c r="F2026" s="11" t="str">
        <f>IF(ISBLANK(D2026),"",(VLOOKUP(D2026,Cardápio!$A$2:$B$16,2,0))*E2026)</f>
        <v/>
      </c>
      <c r="H2026" s="7" t="str">
        <f t="shared" si="124"/>
        <v/>
      </c>
      <c r="I2026" s="7" t="str">
        <f>IF(AND(ISBLANK(D2026),ISBLANK(C2026)),"",((VLOOKUP(D2026,Cardápio!$A$2:$C$16,3,0))*E2026)+IF(B2026="iFood",F2026*0.27,(VLOOKUP(VENDAS!C2026,Bairros!$A$2:$B$90,2,0))))</f>
        <v/>
      </c>
      <c r="J2026" s="7" t="str">
        <f t="shared" si="125"/>
        <v/>
      </c>
      <c r="K2026" s="9">
        <f t="shared" ca="1" si="126"/>
        <v>45404.878290162036</v>
      </c>
      <c r="L2026" s="10">
        <f t="shared" ca="1" si="127"/>
        <v>45404.878290046297</v>
      </c>
    </row>
    <row r="2027" spans="6:12" x14ac:dyDescent="0.25">
      <c r="F2027" s="11" t="str">
        <f>IF(ISBLANK(D2027),"",(VLOOKUP(D2027,Cardápio!$A$2:$B$16,2,0))*E2027)</f>
        <v/>
      </c>
      <c r="H2027" s="7" t="str">
        <f t="shared" si="124"/>
        <v/>
      </c>
      <c r="I2027" s="7" t="str">
        <f>IF(AND(ISBLANK(D2027),ISBLANK(C2027)),"",((VLOOKUP(D2027,Cardápio!$A$2:$C$16,3,0))*E2027)+IF(B2027="iFood",F2027*0.27,(VLOOKUP(VENDAS!C2027,Bairros!$A$2:$B$90,2,0))))</f>
        <v/>
      </c>
      <c r="J2027" s="7" t="str">
        <f t="shared" si="125"/>
        <v/>
      </c>
      <c r="K2027" s="9">
        <f t="shared" ca="1" si="126"/>
        <v>45404.878290162036</v>
      </c>
      <c r="L2027" s="10">
        <f t="shared" ca="1" si="127"/>
        <v>45404.878290046297</v>
      </c>
    </row>
    <row r="2028" spans="6:12" x14ac:dyDescent="0.25">
      <c r="F2028" s="11" t="str">
        <f>IF(ISBLANK(D2028),"",(VLOOKUP(D2028,Cardápio!$A$2:$B$16,2,0))*E2028)</f>
        <v/>
      </c>
      <c r="H2028" s="7" t="str">
        <f t="shared" si="124"/>
        <v/>
      </c>
      <c r="I2028" s="7" t="str">
        <f>IF(AND(ISBLANK(D2028),ISBLANK(C2028)),"",((VLOOKUP(D2028,Cardápio!$A$2:$C$16,3,0))*E2028)+IF(B2028="iFood",F2028*0.27,(VLOOKUP(VENDAS!C2028,Bairros!$A$2:$B$90,2,0))))</f>
        <v/>
      </c>
      <c r="J2028" s="7" t="str">
        <f t="shared" si="125"/>
        <v/>
      </c>
      <c r="K2028" s="9">
        <f t="shared" ca="1" si="126"/>
        <v>45404.878290162036</v>
      </c>
      <c r="L2028" s="10">
        <f t="shared" ca="1" si="127"/>
        <v>45404.878290046297</v>
      </c>
    </row>
    <row r="2029" spans="6:12" x14ac:dyDescent="0.25">
      <c r="F2029" s="11" t="str">
        <f>IF(ISBLANK(D2029),"",(VLOOKUP(D2029,Cardápio!$A$2:$B$16,2,0))*E2029)</f>
        <v/>
      </c>
      <c r="H2029" s="7" t="str">
        <f t="shared" si="124"/>
        <v/>
      </c>
      <c r="I2029" s="7" t="str">
        <f>IF(AND(ISBLANK(D2029),ISBLANK(C2029)),"",((VLOOKUP(D2029,Cardápio!$A$2:$C$16,3,0))*E2029)+IF(B2029="iFood",F2029*0.27,(VLOOKUP(VENDAS!C2029,Bairros!$A$2:$B$90,2,0))))</f>
        <v/>
      </c>
      <c r="J2029" s="7" t="str">
        <f t="shared" si="125"/>
        <v/>
      </c>
      <c r="K2029" s="9">
        <f t="shared" ca="1" si="126"/>
        <v>45404.878290162036</v>
      </c>
      <c r="L2029" s="10">
        <f t="shared" ca="1" si="127"/>
        <v>45404.878290046297</v>
      </c>
    </row>
    <row r="2030" spans="6:12" x14ac:dyDescent="0.25">
      <c r="F2030" s="11" t="str">
        <f>IF(ISBLANK(D2030),"",(VLOOKUP(D2030,Cardápio!$A$2:$B$16,2,0))*E2030)</f>
        <v/>
      </c>
      <c r="H2030" s="7" t="str">
        <f t="shared" si="124"/>
        <v/>
      </c>
      <c r="I2030" s="7" t="str">
        <f>IF(AND(ISBLANK(D2030),ISBLANK(C2030)),"",((VLOOKUP(D2030,Cardápio!$A$2:$C$16,3,0))*E2030)+IF(B2030="iFood",F2030*0.27,(VLOOKUP(VENDAS!C2030,Bairros!$A$2:$B$90,2,0))))</f>
        <v/>
      </c>
      <c r="J2030" s="7" t="str">
        <f t="shared" si="125"/>
        <v/>
      </c>
      <c r="K2030" s="9">
        <f t="shared" ca="1" si="126"/>
        <v>45404.878290162036</v>
      </c>
      <c r="L2030" s="10">
        <f t="shared" ca="1" si="127"/>
        <v>45404.878290046297</v>
      </c>
    </row>
    <row r="2031" spans="6:12" x14ac:dyDescent="0.25">
      <c r="F2031" s="11" t="str">
        <f>IF(ISBLANK(D2031),"",(VLOOKUP(D2031,Cardápio!$A$2:$B$16,2,0))*E2031)</f>
        <v/>
      </c>
      <c r="H2031" s="7" t="str">
        <f t="shared" si="124"/>
        <v/>
      </c>
      <c r="I2031" s="7" t="str">
        <f>IF(AND(ISBLANK(D2031),ISBLANK(C2031)),"",((VLOOKUP(D2031,Cardápio!$A$2:$C$16,3,0))*E2031)+IF(B2031="iFood",F2031*0.27,(VLOOKUP(VENDAS!C2031,Bairros!$A$2:$B$90,2,0))))</f>
        <v/>
      </c>
      <c r="J2031" s="7" t="str">
        <f t="shared" si="125"/>
        <v/>
      </c>
      <c r="K2031" s="9">
        <f t="shared" ca="1" si="126"/>
        <v>45404.878290162036</v>
      </c>
      <c r="L2031" s="10">
        <f t="shared" ca="1" si="127"/>
        <v>45404.878290046297</v>
      </c>
    </row>
    <row r="2032" spans="6:12" x14ac:dyDescent="0.25">
      <c r="F2032" s="11" t="str">
        <f>IF(ISBLANK(D2032),"",(VLOOKUP(D2032,Cardápio!$A$2:$B$16,2,0))*E2032)</f>
        <v/>
      </c>
      <c r="H2032" s="7" t="str">
        <f t="shared" si="124"/>
        <v/>
      </c>
      <c r="I2032" s="7" t="str">
        <f>IF(AND(ISBLANK(D2032),ISBLANK(C2032)),"",((VLOOKUP(D2032,Cardápio!$A$2:$C$16,3,0))*E2032)+IF(B2032="iFood",F2032*0.27,(VLOOKUP(VENDAS!C2032,Bairros!$A$2:$B$90,2,0))))</f>
        <v/>
      </c>
      <c r="J2032" s="7" t="str">
        <f t="shared" si="125"/>
        <v/>
      </c>
      <c r="K2032" s="9">
        <f t="shared" ca="1" si="126"/>
        <v>45404.878290162036</v>
      </c>
      <c r="L2032" s="10">
        <f t="shared" ca="1" si="127"/>
        <v>45404.878290046297</v>
      </c>
    </row>
    <row r="2033" spans="6:12" x14ac:dyDescent="0.25">
      <c r="F2033" s="11" t="str">
        <f>IF(ISBLANK(D2033),"",(VLOOKUP(D2033,Cardápio!$A$2:$B$16,2,0))*E2033)</f>
        <v/>
      </c>
      <c r="H2033" s="7" t="str">
        <f t="shared" si="124"/>
        <v/>
      </c>
      <c r="I2033" s="7" t="str">
        <f>IF(AND(ISBLANK(D2033),ISBLANK(C2033)),"",((VLOOKUP(D2033,Cardápio!$A$2:$C$16,3,0))*E2033)+IF(B2033="iFood",F2033*0.27,(VLOOKUP(VENDAS!C2033,Bairros!$A$2:$B$90,2,0))))</f>
        <v/>
      </c>
      <c r="J2033" s="7" t="str">
        <f t="shared" si="125"/>
        <v/>
      </c>
      <c r="K2033" s="9">
        <f t="shared" ca="1" si="126"/>
        <v>45404.878290162036</v>
      </c>
      <c r="L2033" s="10">
        <f t="shared" ca="1" si="127"/>
        <v>45404.878290046297</v>
      </c>
    </row>
    <row r="2034" spans="6:12" x14ac:dyDescent="0.25">
      <c r="F2034" s="11" t="str">
        <f>IF(ISBLANK(D2034),"",(VLOOKUP(D2034,Cardápio!$A$2:$B$16,2,0))*E2034)</f>
        <v/>
      </c>
      <c r="H2034" s="7" t="str">
        <f t="shared" si="124"/>
        <v/>
      </c>
      <c r="I2034" s="7" t="str">
        <f>IF(AND(ISBLANK(D2034),ISBLANK(C2034)),"",((VLOOKUP(D2034,Cardápio!$A$2:$C$16,3,0))*E2034)+IF(B2034="iFood",F2034*0.27,(VLOOKUP(VENDAS!C2034,Bairros!$A$2:$B$90,2,0))))</f>
        <v/>
      </c>
      <c r="J2034" s="7" t="str">
        <f t="shared" si="125"/>
        <v/>
      </c>
      <c r="K2034" s="9">
        <f t="shared" ca="1" si="126"/>
        <v>45404.878290162036</v>
      </c>
      <c r="L2034" s="10">
        <f t="shared" ca="1" si="127"/>
        <v>45404.878290046297</v>
      </c>
    </row>
    <row r="2035" spans="6:12" x14ac:dyDescent="0.25">
      <c r="F2035" s="11" t="str">
        <f>IF(ISBLANK(D2035),"",(VLOOKUP(D2035,Cardápio!$A$2:$B$16,2,0))*E2035)</f>
        <v/>
      </c>
      <c r="H2035" s="7" t="str">
        <f t="shared" si="124"/>
        <v/>
      </c>
      <c r="I2035" s="7" t="str">
        <f>IF(AND(ISBLANK(D2035),ISBLANK(C2035)),"",((VLOOKUP(D2035,Cardápio!$A$2:$C$16,3,0))*E2035)+IF(B2035="iFood",F2035*0.27,(VLOOKUP(VENDAS!C2035,Bairros!$A$2:$B$90,2,0))))</f>
        <v/>
      </c>
      <c r="J2035" s="7" t="str">
        <f t="shared" si="125"/>
        <v/>
      </c>
      <c r="K2035" s="9">
        <f t="shared" ca="1" si="126"/>
        <v>45404.878290162036</v>
      </c>
      <c r="L2035" s="10">
        <f t="shared" ca="1" si="127"/>
        <v>45404.878290046297</v>
      </c>
    </row>
    <row r="2036" spans="6:12" x14ac:dyDescent="0.25">
      <c r="F2036" s="11" t="str">
        <f>IF(ISBLANK(D2036),"",(VLOOKUP(D2036,Cardápio!$A$2:$B$16,2,0))*E2036)</f>
        <v/>
      </c>
      <c r="H2036" s="7" t="str">
        <f t="shared" si="124"/>
        <v/>
      </c>
      <c r="I2036" s="7" t="str">
        <f>IF(AND(ISBLANK(D2036),ISBLANK(C2036)),"",((VLOOKUP(D2036,Cardápio!$A$2:$C$16,3,0))*E2036)+IF(B2036="iFood",F2036*0.27,(VLOOKUP(VENDAS!C2036,Bairros!$A$2:$B$90,2,0))))</f>
        <v/>
      </c>
      <c r="J2036" s="7" t="str">
        <f t="shared" si="125"/>
        <v/>
      </c>
      <c r="K2036" s="9">
        <f t="shared" ca="1" si="126"/>
        <v>45404.878290162036</v>
      </c>
      <c r="L2036" s="10">
        <f t="shared" ca="1" si="127"/>
        <v>45404.878290046297</v>
      </c>
    </row>
    <row r="2037" spans="6:12" x14ac:dyDescent="0.25">
      <c r="F2037" s="11" t="str">
        <f>IF(ISBLANK(D2037),"",(VLOOKUP(D2037,Cardápio!$A$2:$B$16,2,0))*E2037)</f>
        <v/>
      </c>
      <c r="H2037" s="7" t="str">
        <f t="shared" ref="H2037:H2100" si="128">IF(ISBLANK(D2037),"",F2037-G2037)</f>
        <v/>
      </c>
      <c r="I2037" s="7" t="str">
        <f>IF(AND(ISBLANK(D2037),ISBLANK(C2037)),"",((VLOOKUP(D2037,Cardápio!$A$2:$C$16,3,0))*E2037)+IF(B2037="iFood",F2037*0.27,(VLOOKUP(VENDAS!C2037,Bairros!$A$2:$B$90,2,0))))</f>
        <v/>
      </c>
      <c r="J2037" s="7" t="str">
        <f t="shared" ref="J2037:J2100" si="129">IF(OR(AND(ISBLANK(H2037),ISBLANK(I2037)),(AND(H2037="",I2037=""))),"",H2037-I2037)</f>
        <v/>
      </c>
      <c r="K2037" s="9">
        <f t="shared" ref="K2037:K2100" ca="1" si="130">IF(D2037&lt;&gt;"",K2037,NOW())</f>
        <v>45404.878290162036</v>
      </c>
      <c r="L2037" s="10">
        <f t="shared" ref="L2037:L2100" ca="1" si="131">IF(D2037&lt;&gt;"",L2037,NOW())</f>
        <v>45404.878290046297</v>
      </c>
    </row>
    <row r="2038" spans="6:12" x14ac:dyDescent="0.25">
      <c r="F2038" s="11" t="str">
        <f>IF(ISBLANK(D2038),"",(VLOOKUP(D2038,Cardápio!$A$2:$B$16,2,0))*E2038)</f>
        <v/>
      </c>
      <c r="H2038" s="7" t="str">
        <f t="shared" si="128"/>
        <v/>
      </c>
      <c r="I2038" s="7" t="str">
        <f>IF(AND(ISBLANK(D2038),ISBLANK(C2038)),"",((VLOOKUP(D2038,Cardápio!$A$2:$C$16,3,0))*E2038)+IF(B2038="iFood",F2038*0.27,(VLOOKUP(VENDAS!C2038,Bairros!$A$2:$B$90,2,0))))</f>
        <v/>
      </c>
      <c r="J2038" s="7" t="str">
        <f t="shared" si="129"/>
        <v/>
      </c>
      <c r="K2038" s="9">
        <f t="shared" ca="1" si="130"/>
        <v>45404.878290162036</v>
      </c>
      <c r="L2038" s="10">
        <f t="shared" ca="1" si="131"/>
        <v>45404.878290046297</v>
      </c>
    </row>
    <row r="2039" spans="6:12" x14ac:dyDescent="0.25">
      <c r="F2039" s="11" t="str">
        <f>IF(ISBLANK(D2039),"",(VLOOKUP(D2039,Cardápio!$A$2:$B$16,2,0))*E2039)</f>
        <v/>
      </c>
      <c r="H2039" s="7" t="str">
        <f t="shared" si="128"/>
        <v/>
      </c>
      <c r="I2039" s="7" t="str">
        <f>IF(AND(ISBLANK(D2039),ISBLANK(C2039)),"",((VLOOKUP(D2039,Cardápio!$A$2:$C$16,3,0))*E2039)+IF(B2039="iFood",F2039*0.27,(VLOOKUP(VENDAS!C2039,Bairros!$A$2:$B$90,2,0))))</f>
        <v/>
      </c>
      <c r="J2039" s="7" t="str">
        <f t="shared" si="129"/>
        <v/>
      </c>
      <c r="K2039" s="9">
        <f t="shared" ca="1" si="130"/>
        <v>45404.878290162036</v>
      </c>
      <c r="L2039" s="10">
        <f t="shared" ca="1" si="131"/>
        <v>45404.878290046297</v>
      </c>
    </row>
    <row r="2040" spans="6:12" x14ac:dyDescent="0.25">
      <c r="F2040" s="11" t="str">
        <f>IF(ISBLANK(D2040),"",(VLOOKUP(D2040,Cardápio!$A$2:$B$16,2,0))*E2040)</f>
        <v/>
      </c>
      <c r="H2040" s="7" t="str">
        <f t="shared" si="128"/>
        <v/>
      </c>
      <c r="I2040" s="7" t="str">
        <f>IF(AND(ISBLANK(D2040),ISBLANK(C2040)),"",((VLOOKUP(D2040,Cardápio!$A$2:$C$16,3,0))*E2040)+IF(B2040="iFood",F2040*0.27,(VLOOKUP(VENDAS!C2040,Bairros!$A$2:$B$90,2,0))))</f>
        <v/>
      </c>
      <c r="J2040" s="7" t="str">
        <f t="shared" si="129"/>
        <v/>
      </c>
      <c r="K2040" s="9">
        <f t="shared" ca="1" si="130"/>
        <v>45404.878290162036</v>
      </c>
      <c r="L2040" s="10">
        <f t="shared" ca="1" si="131"/>
        <v>45404.878290046297</v>
      </c>
    </row>
    <row r="2041" spans="6:12" x14ac:dyDescent="0.25">
      <c r="F2041" s="11" t="str">
        <f>IF(ISBLANK(D2041),"",(VLOOKUP(D2041,Cardápio!$A$2:$B$16,2,0))*E2041)</f>
        <v/>
      </c>
      <c r="H2041" s="7" t="str">
        <f t="shared" si="128"/>
        <v/>
      </c>
      <c r="I2041" s="7" t="str">
        <f>IF(AND(ISBLANK(D2041),ISBLANK(C2041)),"",((VLOOKUP(D2041,Cardápio!$A$2:$C$16,3,0))*E2041)+IF(B2041="iFood",F2041*0.27,(VLOOKUP(VENDAS!C2041,Bairros!$A$2:$B$90,2,0))))</f>
        <v/>
      </c>
      <c r="J2041" s="7" t="str">
        <f t="shared" si="129"/>
        <v/>
      </c>
      <c r="K2041" s="9">
        <f t="shared" ca="1" si="130"/>
        <v>45404.878290162036</v>
      </c>
      <c r="L2041" s="10">
        <f t="shared" ca="1" si="131"/>
        <v>45404.878290046297</v>
      </c>
    </row>
    <row r="2042" spans="6:12" x14ac:dyDescent="0.25">
      <c r="F2042" s="11" t="str">
        <f>IF(ISBLANK(D2042),"",(VLOOKUP(D2042,Cardápio!$A$2:$B$16,2,0))*E2042)</f>
        <v/>
      </c>
      <c r="H2042" s="7" t="str">
        <f t="shared" si="128"/>
        <v/>
      </c>
      <c r="I2042" s="7" t="str">
        <f>IF(AND(ISBLANK(D2042),ISBLANK(C2042)),"",((VLOOKUP(D2042,Cardápio!$A$2:$C$16,3,0))*E2042)+IF(B2042="iFood",F2042*0.27,(VLOOKUP(VENDAS!C2042,Bairros!$A$2:$B$90,2,0))))</f>
        <v/>
      </c>
      <c r="J2042" s="7" t="str">
        <f t="shared" si="129"/>
        <v/>
      </c>
      <c r="K2042" s="9">
        <f t="shared" ca="1" si="130"/>
        <v>45404.878290162036</v>
      </c>
      <c r="L2042" s="10">
        <f t="shared" ca="1" si="131"/>
        <v>45404.878290046297</v>
      </c>
    </row>
    <row r="2043" spans="6:12" x14ac:dyDescent="0.25">
      <c r="F2043" s="11" t="str">
        <f>IF(ISBLANK(D2043),"",(VLOOKUP(D2043,Cardápio!$A$2:$B$16,2,0))*E2043)</f>
        <v/>
      </c>
      <c r="H2043" s="7" t="str">
        <f t="shared" si="128"/>
        <v/>
      </c>
      <c r="I2043" s="7" t="str">
        <f>IF(AND(ISBLANK(D2043),ISBLANK(C2043)),"",((VLOOKUP(D2043,Cardápio!$A$2:$C$16,3,0))*E2043)+IF(B2043="iFood",F2043*0.27,(VLOOKUP(VENDAS!C2043,Bairros!$A$2:$B$90,2,0))))</f>
        <v/>
      </c>
      <c r="J2043" s="7" t="str">
        <f t="shared" si="129"/>
        <v/>
      </c>
      <c r="K2043" s="9">
        <f t="shared" ca="1" si="130"/>
        <v>45404.878290162036</v>
      </c>
      <c r="L2043" s="10">
        <f t="shared" ca="1" si="131"/>
        <v>45404.878290046297</v>
      </c>
    </row>
    <row r="2044" spans="6:12" x14ac:dyDescent="0.25">
      <c r="F2044" s="11" t="str">
        <f>IF(ISBLANK(D2044),"",(VLOOKUP(D2044,Cardápio!$A$2:$B$16,2,0))*E2044)</f>
        <v/>
      </c>
      <c r="H2044" s="7" t="str">
        <f t="shared" si="128"/>
        <v/>
      </c>
      <c r="I2044" s="7" t="str">
        <f>IF(AND(ISBLANK(D2044),ISBLANK(C2044)),"",((VLOOKUP(D2044,Cardápio!$A$2:$C$16,3,0))*E2044)+IF(B2044="iFood",F2044*0.27,(VLOOKUP(VENDAS!C2044,Bairros!$A$2:$B$90,2,0))))</f>
        <v/>
      </c>
      <c r="J2044" s="7" t="str">
        <f t="shared" si="129"/>
        <v/>
      </c>
      <c r="K2044" s="9">
        <f t="shared" ca="1" si="130"/>
        <v>45404.878290162036</v>
      </c>
      <c r="L2044" s="10">
        <f t="shared" ca="1" si="131"/>
        <v>45404.878290046297</v>
      </c>
    </row>
    <row r="2045" spans="6:12" x14ac:dyDescent="0.25">
      <c r="F2045" s="11" t="str">
        <f>IF(ISBLANK(D2045),"",(VLOOKUP(D2045,Cardápio!$A$2:$B$16,2,0))*E2045)</f>
        <v/>
      </c>
      <c r="H2045" s="7" t="str">
        <f t="shared" si="128"/>
        <v/>
      </c>
      <c r="I2045" s="7" t="str">
        <f>IF(AND(ISBLANK(D2045),ISBLANK(C2045)),"",((VLOOKUP(D2045,Cardápio!$A$2:$C$16,3,0))*E2045)+IF(B2045="iFood",F2045*0.27,(VLOOKUP(VENDAS!C2045,Bairros!$A$2:$B$90,2,0))))</f>
        <v/>
      </c>
      <c r="J2045" s="7" t="str">
        <f t="shared" si="129"/>
        <v/>
      </c>
      <c r="K2045" s="9">
        <f t="shared" ca="1" si="130"/>
        <v>45404.878290162036</v>
      </c>
      <c r="L2045" s="10">
        <f t="shared" ca="1" si="131"/>
        <v>45404.878290046297</v>
      </c>
    </row>
    <row r="2046" spans="6:12" x14ac:dyDescent="0.25">
      <c r="F2046" s="11" t="str">
        <f>IF(ISBLANK(D2046),"",(VLOOKUP(D2046,Cardápio!$A$2:$B$16,2,0))*E2046)</f>
        <v/>
      </c>
      <c r="H2046" s="7" t="str">
        <f t="shared" si="128"/>
        <v/>
      </c>
      <c r="I2046" s="7" t="str">
        <f>IF(AND(ISBLANK(D2046),ISBLANK(C2046)),"",((VLOOKUP(D2046,Cardápio!$A$2:$C$16,3,0))*E2046)+IF(B2046="iFood",F2046*0.27,(VLOOKUP(VENDAS!C2046,Bairros!$A$2:$B$90,2,0))))</f>
        <v/>
      </c>
      <c r="J2046" s="7" t="str">
        <f t="shared" si="129"/>
        <v/>
      </c>
      <c r="K2046" s="9">
        <f t="shared" ca="1" si="130"/>
        <v>45404.878290162036</v>
      </c>
      <c r="L2046" s="10">
        <f t="shared" ca="1" si="131"/>
        <v>45404.878290046297</v>
      </c>
    </row>
    <row r="2047" spans="6:12" x14ac:dyDescent="0.25">
      <c r="F2047" s="11" t="str">
        <f>IF(ISBLANK(D2047),"",(VLOOKUP(D2047,Cardápio!$A$2:$B$16,2,0))*E2047)</f>
        <v/>
      </c>
      <c r="H2047" s="7" t="str">
        <f t="shared" si="128"/>
        <v/>
      </c>
      <c r="I2047" s="7" t="str">
        <f>IF(AND(ISBLANK(D2047),ISBLANK(C2047)),"",((VLOOKUP(D2047,Cardápio!$A$2:$C$16,3,0))*E2047)+IF(B2047="iFood",F2047*0.27,(VLOOKUP(VENDAS!C2047,Bairros!$A$2:$B$90,2,0))))</f>
        <v/>
      </c>
      <c r="J2047" s="7" t="str">
        <f t="shared" si="129"/>
        <v/>
      </c>
      <c r="K2047" s="9">
        <f t="shared" ca="1" si="130"/>
        <v>45404.878290162036</v>
      </c>
      <c r="L2047" s="10">
        <f t="shared" ca="1" si="131"/>
        <v>45404.878290046297</v>
      </c>
    </row>
    <row r="2048" spans="6:12" x14ac:dyDescent="0.25">
      <c r="F2048" s="11" t="str">
        <f>IF(ISBLANK(D2048),"",(VLOOKUP(D2048,Cardápio!$A$2:$B$16,2,0))*E2048)</f>
        <v/>
      </c>
      <c r="H2048" s="7" t="str">
        <f t="shared" si="128"/>
        <v/>
      </c>
      <c r="I2048" s="7" t="str">
        <f>IF(AND(ISBLANK(D2048),ISBLANK(C2048)),"",((VLOOKUP(D2048,Cardápio!$A$2:$C$16,3,0))*E2048)+IF(B2048="iFood",F2048*0.27,(VLOOKUP(VENDAS!C2048,Bairros!$A$2:$B$90,2,0))))</f>
        <v/>
      </c>
      <c r="J2048" s="7" t="str">
        <f t="shared" si="129"/>
        <v/>
      </c>
      <c r="K2048" s="9">
        <f t="shared" ca="1" si="130"/>
        <v>45404.878290162036</v>
      </c>
      <c r="L2048" s="10">
        <f t="shared" ca="1" si="131"/>
        <v>45404.878290046297</v>
      </c>
    </row>
    <row r="2049" spans="6:12" x14ac:dyDescent="0.25">
      <c r="F2049" s="11" t="str">
        <f>IF(ISBLANK(D2049),"",(VLOOKUP(D2049,Cardápio!$A$2:$B$16,2,0))*E2049)</f>
        <v/>
      </c>
      <c r="H2049" s="7" t="str">
        <f t="shared" si="128"/>
        <v/>
      </c>
      <c r="I2049" s="7" t="str">
        <f>IF(AND(ISBLANK(D2049),ISBLANK(C2049)),"",((VLOOKUP(D2049,Cardápio!$A$2:$C$16,3,0))*E2049)+IF(B2049="iFood",F2049*0.27,(VLOOKUP(VENDAS!C2049,Bairros!$A$2:$B$90,2,0))))</f>
        <v/>
      </c>
      <c r="J2049" s="7" t="str">
        <f t="shared" si="129"/>
        <v/>
      </c>
      <c r="K2049" s="9">
        <f t="shared" ca="1" si="130"/>
        <v>45404.878290162036</v>
      </c>
      <c r="L2049" s="10">
        <f t="shared" ca="1" si="131"/>
        <v>45404.878290046297</v>
      </c>
    </row>
    <row r="2050" spans="6:12" x14ac:dyDescent="0.25">
      <c r="F2050" s="11" t="str">
        <f>IF(ISBLANK(D2050),"",(VLOOKUP(D2050,Cardápio!$A$2:$B$16,2,0))*E2050)</f>
        <v/>
      </c>
      <c r="H2050" s="7" t="str">
        <f t="shared" si="128"/>
        <v/>
      </c>
      <c r="I2050" s="7" t="str">
        <f>IF(AND(ISBLANK(D2050),ISBLANK(C2050)),"",((VLOOKUP(D2050,Cardápio!$A$2:$C$16,3,0))*E2050)+IF(B2050="iFood",F2050*0.27,(VLOOKUP(VENDAS!C2050,Bairros!$A$2:$B$90,2,0))))</f>
        <v/>
      </c>
      <c r="J2050" s="7" t="str">
        <f t="shared" si="129"/>
        <v/>
      </c>
      <c r="K2050" s="9">
        <f t="shared" ca="1" si="130"/>
        <v>45404.878290162036</v>
      </c>
      <c r="L2050" s="10">
        <f t="shared" ca="1" si="131"/>
        <v>45404.878290046297</v>
      </c>
    </row>
    <row r="2051" spans="6:12" x14ac:dyDescent="0.25">
      <c r="F2051" s="11" t="str">
        <f>IF(ISBLANK(D2051),"",(VLOOKUP(D2051,Cardápio!$A$2:$B$16,2,0))*E2051)</f>
        <v/>
      </c>
      <c r="H2051" s="7" t="str">
        <f t="shared" si="128"/>
        <v/>
      </c>
      <c r="I2051" s="7" t="str">
        <f>IF(AND(ISBLANK(D2051),ISBLANK(C2051)),"",((VLOOKUP(D2051,Cardápio!$A$2:$C$16,3,0))*E2051)+IF(B2051="iFood",F2051*0.27,(VLOOKUP(VENDAS!C2051,Bairros!$A$2:$B$90,2,0))))</f>
        <v/>
      </c>
      <c r="J2051" s="7" t="str">
        <f t="shared" si="129"/>
        <v/>
      </c>
      <c r="K2051" s="9">
        <f t="shared" ca="1" si="130"/>
        <v>45404.878290162036</v>
      </c>
      <c r="L2051" s="10">
        <f t="shared" ca="1" si="131"/>
        <v>45404.878290046297</v>
      </c>
    </row>
    <row r="2052" spans="6:12" x14ac:dyDescent="0.25">
      <c r="F2052" s="11" t="str">
        <f>IF(ISBLANK(D2052),"",(VLOOKUP(D2052,Cardápio!$A$2:$B$16,2,0))*E2052)</f>
        <v/>
      </c>
      <c r="H2052" s="7" t="str">
        <f t="shared" si="128"/>
        <v/>
      </c>
      <c r="I2052" s="7" t="str">
        <f>IF(AND(ISBLANK(D2052),ISBLANK(C2052)),"",((VLOOKUP(D2052,Cardápio!$A$2:$C$16,3,0))*E2052)+IF(B2052="iFood",F2052*0.27,(VLOOKUP(VENDAS!C2052,Bairros!$A$2:$B$90,2,0))))</f>
        <v/>
      </c>
      <c r="J2052" s="7" t="str">
        <f t="shared" si="129"/>
        <v/>
      </c>
      <c r="K2052" s="9">
        <f t="shared" ca="1" si="130"/>
        <v>45404.878290162036</v>
      </c>
      <c r="L2052" s="10">
        <f t="shared" ca="1" si="131"/>
        <v>45404.878290046297</v>
      </c>
    </row>
    <row r="2053" spans="6:12" x14ac:dyDescent="0.25">
      <c r="F2053" s="11" t="str">
        <f>IF(ISBLANK(D2053),"",(VLOOKUP(D2053,Cardápio!$A$2:$B$16,2,0))*E2053)</f>
        <v/>
      </c>
      <c r="H2053" s="7" t="str">
        <f t="shared" si="128"/>
        <v/>
      </c>
      <c r="I2053" s="7" t="str">
        <f>IF(AND(ISBLANK(D2053),ISBLANK(C2053)),"",((VLOOKUP(D2053,Cardápio!$A$2:$C$16,3,0))*E2053)+IF(B2053="iFood",F2053*0.27,(VLOOKUP(VENDAS!C2053,Bairros!$A$2:$B$90,2,0))))</f>
        <v/>
      </c>
      <c r="J2053" s="7" t="str">
        <f t="shared" si="129"/>
        <v/>
      </c>
      <c r="K2053" s="9">
        <f t="shared" ca="1" si="130"/>
        <v>45404.878290162036</v>
      </c>
      <c r="L2053" s="10">
        <f t="shared" ca="1" si="131"/>
        <v>45404.878290046297</v>
      </c>
    </row>
    <row r="2054" spans="6:12" x14ac:dyDescent="0.25">
      <c r="F2054" s="11" t="str">
        <f>IF(ISBLANK(D2054),"",(VLOOKUP(D2054,Cardápio!$A$2:$B$16,2,0))*E2054)</f>
        <v/>
      </c>
      <c r="H2054" s="7" t="str">
        <f t="shared" si="128"/>
        <v/>
      </c>
      <c r="I2054" s="7" t="str">
        <f>IF(AND(ISBLANK(D2054),ISBLANK(C2054)),"",((VLOOKUP(D2054,Cardápio!$A$2:$C$16,3,0))*E2054)+IF(B2054="iFood",F2054*0.27,(VLOOKUP(VENDAS!C2054,Bairros!$A$2:$B$90,2,0))))</f>
        <v/>
      </c>
      <c r="J2054" s="7" t="str">
        <f t="shared" si="129"/>
        <v/>
      </c>
      <c r="K2054" s="9">
        <f t="shared" ca="1" si="130"/>
        <v>45404.878290162036</v>
      </c>
      <c r="L2054" s="10">
        <f t="shared" ca="1" si="131"/>
        <v>45404.878290046297</v>
      </c>
    </row>
    <row r="2055" spans="6:12" x14ac:dyDescent="0.25">
      <c r="F2055" s="11" t="str">
        <f>IF(ISBLANK(D2055),"",(VLOOKUP(D2055,Cardápio!$A$2:$B$16,2,0))*E2055)</f>
        <v/>
      </c>
      <c r="H2055" s="7" t="str">
        <f t="shared" si="128"/>
        <v/>
      </c>
      <c r="I2055" s="7" t="str">
        <f>IF(AND(ISBLANK(D2055),ISBLANK(C2055)),"",((VLOOKUP(D2055,Cardápio!$A$2:$C$16,3,0))*E2055)+IF(B2055="iFood",F2055*0.27,(VLOOKUP(VENDAS!C2055,Bairros!$A$2:$B$90,2,0))))</f>
        <v/>
      </c>
      <c r="J2055" s="7" t="str">
        <f t="shared" si="129"/>
        <v/>
      </c>
      <c r="K2055" s="9">
        <f t="shared" ca="1" si="130"/>
        <v>45404.878290162036</v>
      </c>
      <c r="L2055" s="10">
        <f t="shared" ca="1" si="131"/>
        <v>45404.878290046297</v>
      </c>
    </row>
    <row r="2056" spans="6:12" x14ac:dyDescent="0.25">
      <c r="F2056" s="11" t="str">
        <f>IF(ISBLANK(D2056),"",(VLOOKUP(D2056,Cardápio!$A$2:$B$16,2,0))*E2056)</f>
        <v/>
      </c>
      <c r="H2056" s="7" t="str">
        <f t="shared" si="128"/>
        <v/>
      </c>
      <c r="I2056" s="7" t="str">
        <f>IF(AND(ISBLANK(D2056),ISBLANK(C2056)),"",((VLOOKUP(D2056,Cardápio!$A$2:$C$16,3,0))*E2056)+IF(B2056="iFood",F2056*0.27,(VLOOKUP(VENDAS!C2056,Bairros!$A$2:$B$90,2,0))))</f>
        <v/>
      </c>
      <c r="J2056" s="7" t="str">
        <f t="shared" si="129"/>
        <v/>
      </c>
      <c r="K2056" s="9">
        <f t="shared" ca="1" si="130"/>
        <v>45404.878290162036</v>
      </c>
      <c r="L2056" s="10">
        <f t="shared" ca="1" si="131"/>
        <v>45404.878290046297</v>
      </c>
    </row>
    <row r="2057" spans="6:12" x14ac:dyDescent="0.25">
      <c r="F2057" s="11" t="str">
        <f>IF(ISBLANK(D2057),"",(VLOOKUP(D2057,Cardápio!$A$2:$B$16,2,0))*E2057)</f>
        <v/>
      </c>
      <c r="H2057" s="7" t="str">
        <f t="shared" si="128"/>
        <v/>
      </c>
      <c r="I2057" s="7" t="str">
        <f>IF(AND(ISBLANK(D2057),ISBLANK(C2057)),"",((VLOOKUP(D2057,Cardápio!$A$2:$C$16,3,0))*E2057)+IF(B2057="iFood",F2057*0.27,(VLOOKUP(VENDAS!C2057,Bairros!$A$2:$B$90,2,0))))</f>
        <v/>
      </c>
      <c r="J2057" s="7" t="str">
        <f t="shared" si="129"/>
        <v/>
      </c>
      <c r="K2057" s="9">
        <f t="shared" ca="1" si="130"/>
        <v>45404.878290162036</v>
      </c>
      <c r="L2057" s="10">
        <f t="shared" ca="1" si="131"/>
        <v>45404.878290046297</v>
      </c>
    </row>
    <row r="2058" spans="6:12" x14ac:dyDescent="0.25">
      <c r="F2058" s="11" t="str">
        <f>IF(ISBLANK(D2058),"",(VLOOKUP(D2058,Cardápio!$A$2:$B$16,2,0))*E2058)</f>
        <v/>
      </c>
      <c r="H2058" s="7" t="str">
        <f t="shared" si="128"/>
        <v/>
      </c>
      <c r="I2058" s="7" t="str">
        <f>IF(AND(ISBLANK(D2058),ISBLANK(C2058)),"",((VLOOKUP(D2058,Cardápio!$A$2:$C$16,3,0))*E2058)+IF(B2058="iFood",F2058*0.27,(VLOOKUP(VENDAS!C2058,Bairros!$A$2:$B$90,2,0))))</f>
        <v/>
      </c>
      <c r="J2058" s="7" t="str">
        <f t="shared" si="129"/>
        <v/>
      </c>
      <c r="K2058" s="9">
        <f t="shared" ca="1" si="130"/>
        <v>45404.878290162036</v>
      </c>
      <c r="L2058" s="10">
        <f t="shared" ca="1" si="131"/>
        <v>45404.878290046297</v>
      </c>
    </row>
    <row r="2059" spans="6:12" x14ac:dyDescent="0.25">
      <c r="F2059" s="11" t="str">
        <f>IF(ISBLANK(D2059),"",(VLOOKUP(D2059,Cardápio!$A$2:$B$16,2,0))*E2059)</f>
        <v/>
      </c>
      <c r="H2059" s="7" t="str">
        <f t="shared" si="128"/>
        <v/>
      </c>
      <c r="I2059" s="7" t="str">
        <f>IF(AND(ISBLANK(D2059),ISBLANK(C2059)),"",((VLOOKUP(D2059,Cardápio!$A$2:$C$16,3,0))*E2059)+IF(B2059="iFood",F2059*0.27,(VLOOKUP(VENDAS!C2059,Bairros!$A$2:$B$90,2,0))))</f>
        <v/>
      </c>
      <c r="J2059" s="7" t="str">
        <f t="shared" si="129"/>
        <v/>
      </c>
      <c r="K2059" s="9">
        <f t="shared" ca="1" si="130"/>
        <v>45404.878290162036</v>
      </c>
      <c r="L2059" s="10">
        <f t="shared" ca="1" si="131"/>
        <v>45404.878290046297</v>
      </c>
    </row>
    <row r="2060" spans="6:12" x14ac:dyDescent="0.25">
      <c r="F2060" s="11" t="str">
        <f>IF(ISBLANK(D2060),"",(VLOOKUP(D2060,Cardápio!$A$2:$B$16,2,0))*E2060)</f>
        <v/>
      </c>
      <c r="H2060" s="7" t="str">
        <f t="shared" si="128"/>
        <v/>
      </c>
      <c r="I2060" s="7" t="str">
        <f>IF(AND(ISBLANK(D2060),ISBLANK(C2060)),"",((VLOOKUP(D2060,Cardápio!$A$2:$C$16,3,0))*E2060)+IF(B2060="iFood",F2060*0.27,(VLOOKUP(VENDAS!C2060,Bairros!$A$2:$B$90,2,0))))</f>
        <v/>
      </c>
      <c r="J2060" s="7" t="str">
        <f t="shared" si="129"/>
        <v/>
      </c>
      <c r="K2060" s="9">
        <f t="shared" ca="1" si="130"/>
        <v>45404.878290162036</v>
      </c>
      <c r="L2060" s="10">
        <f t="shared" ca="1" si="131"/>
        <v>45404.878290046297</v>
      </c>
    </row>
    <row r="2061" spans="6:12" x14ac:dyDescent="0.25">
      <c r="F2061" s="11" t="str">
        <f>IF(ISBLANK(D2061),"",(VLOOKUP(D2061,Cardápio!$A$2:$B$16,2,0))*E2061)</f>
        <v/>
      </c>
      <c r="H2061" s="7" t="str">
        <f t="shared" si="128"/>
        <v/>
      </c>
      <c r="I2061" s="7" t="str">
        <f>IF(AND(ISBLANK(D2061),ISBLANK(C2061)),"",((VLOOKUP(D2061,Cardápio!$A$2:$C$16,3,0))*E2061)+IF(B2061="iFood",F2061*0.27,(VLOOKUP(VENDAS!C2061,Bairros!$A$2:$B$90,2,0))))</f>
        <v/>
      </c>
      <c r="J2061" s="7" t="str">
        <f t="shared" si="129"/>
        <v/>
      </c>
      <c r="K2061" s="9">
        <f t="shared" ca="1" si="130"/>
        <v>45404.878290162036</v>
      </c>
      <c r="L2061" s="10">
        <f t="shared" ca="1" si="131"/>
        <v>45404.878290046297</v>
      </c>
    </row>
    <row r="2062" spans="6:12" x14ac:dyDescent="0.25">
      <c r="F2062" s="11" t="str">
        <f>IF(ISBLANK(D2062),"",(VLOOKUP(D2062,Cardápio!$A$2:$B$16,2,0))*E2062)</f>
        <v/>
      </c>
      <c r="H2062" s="7" t="str">
        <f t="shared" si="128"/>
        <v/>
      </c>
      <c r="I2062" s="7" t="str">
        <f>IF(AND(ISBLANK(D2062),ISBLANK(C2062)),"",((VLOOKUP(D2062,Cardápio!$A$2:$C$16,3,0))*E2062)+IF(B2062="iFood",F2062*0.27,(VLOOKUP(VENDAS!C2062,Bairros!$A$2:$B$90,2,0))))</f>
        <v/>
      </c>
      <c r="J2062" s="7" t="str">
        <f t="shared" si="129"/>
        <v/>
      </c>
      <c r="K2062" s="9">
        <f t="shared" ca="1" si="130"/>
        <v>45404.878290162036</v>
      </c>
      <c r="L2062" s="10">
        <f t="shared" ca="1" si="131"/>
        <v>45404.878290046297</v>
      </c>
    </row>
    <row r="2063" spans="6:12" x14ac:dyDescent="0.25">
      <c r="F2063" s="11" t="str">
        <f>IF(ISBLANK(D2063),"",(VLOOKUP(D2063,Cardápio!$A$2:$B$16,2,0))*E2063)</f>
        <v/>
      </c>
      <c r="H2063" s="7" t="str">
        <f t="shared" si="128"/>
        <v/>
      </c>
      <c r="I2063" s="7" t="str">
        <f>IF(AND(ISBLANK(D2063),ISBLANK(C2063)),"",((VLOOKUP(D2063,Cardápio!$A$2:$C$16,3,0))*E2063)+IF(B2063="iFood",F2063*0.27,(VLOOKUP(VENDAS!C2063,Bairros!$A$2:$B$90,2,0))))</f>
        <v/>
      </c>
      <c r="J2063" s="7" t="str">
        <f t="shared" si="129"/>
        <v/>
      </c>
      <c r="K2063" s="9">
        <f t="shared" ca="1" si="130"/>
        <v>45404.878290162036</v>
      </c>
      <c r="L2063" s="10">
        <f t="shared" ca="1" si="131"/>
        <v>45404.878290046297</v>
      </c>
    </row>
    <row r="2064" spans="6:12" x14ac:dyDescent="0.25">
      <c r="F2064" s="11" t="str">
        <f>IF(ISBLANK(D2064),"",(VLOOKUP(D2064,Cardápio!$A$2:$B$16,2,0))*E2064)</f>
        <v/>
      </c>
      <c r="H2064" s="7" t="str">
        <f t="shared" si="128"/>
        <v/>
      </c>
      <c r="I2064" s="7" t="str">
        <f>IF(AND(ISBLANK(D2064),ISBLANK(C2064)),"",((VLOOKUP(D2064,Cardápio!$A$2:$C$16,3,0))*E2064)+IF(B2064="iFood",F2064*0.27,(VLOOKUP(VENDAS!C2064,Bairros!$A$2:$B$90,2,0))))</f>
        <v/>
      </c>
      <c r="J2064" s="7" t="str">
        <f t="shared" si="129"/>
        <v/>
      </c>
      <c r="K2064" s="9">
        <f t="shared" ca="1" si="130"/>
        <v>45404.878290162036</v>
      </c>
      <c r="L2064" s="10">
        <f t="shared" ca="1" si="131"/>
        <v>45404.878290046297</v>
      </c>
    </row>
    <row r="2065" spans="6:12" x14ac:dyDescent="0.25">
      <c r="F2065" s="11" t="str">
        <f>IF(ISBLANK(D2065),"",(VLOOKUP(D2065,Cardápio!$A$2:$B$16,2,0))*E2065)</f>
        <v/>
      </c>
      <c r="H2065" s="7" t="str">
        <f t="shared" si="128"/>
        <v/>
      </c>
      <c r="I2065" s="7" t="str">
        <f>IF(AND(ISBLANK(D2065),ISBLANK(C2065)),"",((VLOOKUP(D2065,Cardápio!$A$2:$C$16,3,0))*E2065)+IF(B2065="iFood",F2065*0.27,(VLOOKUP(VENDAS!C2065,Bairros!$A$2:$B$90,2,0))))</f>
        <v/>
      </c>
      <c r="J2065" s="7" t="str">
        <f t="shared" si="129"/>
        <v/>
      </c>
      <c r="K2065" s="9">
        <f t="shared" ca="1" si="130"/>
        <v>45404.878290162036</v>
      </c>
      <c r="L2065" s="10">
        <f t="shared" ca="1" si="131"/>
        <v>45404.878290046297</v>
      </c>
    </row>
    <row r="2066" spans="6:12" x14ac:dyDescent="0.25">
      <c r="F2066" s="11" t="str">
        <f>IF(ISBLANK(D2066),"",(VLOOKUP(D2066,Cardápio!$A$2:$B$16,2,0))*E2066)</f>
        <v/>
      </c>
      <c r="H2066" s="7" t="str">
        <f t="shared" si="128"/>
        <v/>
      </c>
      <c r="I2066" s="7" t="str">
        <f>IF(AND(ISBLANK(D2066),ISBLANK(C2066)),"",((VLOOKUP(D2066,Cardápio!$A$2:$C$16,3,0))*E2066)+IF(B2066="iFood",F2066*0.27,(VLOOKUP(VENDAS!C2066,Bairros!$A$2:$B$90,2,0))))</f>
        <v/>
      </c>
      <c r="J2066" s="7" t="str">
        <f t="shared" si="129"/>
        <v/>
      </c>
      <c r="K2066" s="9">
        <f t="shared" ca="1" si="130"/>
        <v>45404.878290162036</v>
      </c>
      <c r="L2066" s="10">
        <f t="shared" ca="1" si="131"/>
        <v>45404.878290046297</v>
      </c>
    </row>
    <row r="2067" spans="6:12" x14ac:dyDescent="0.25">
      <c r="F2067" s="11" t="str">
        <f>IF(ISBLANK(D2067),"",(VLOOKUP(D2067,Cardápio!$A$2:$B$16,2,0))*E2067)</f>
        <v/>
      </c>
      <c r="H2067" s="7" t="str">
        <f t="shared" si="128"/>
        <v/>
      </c>
      <c r="I2067" s="7" t="str">
        <f>IF(AND(ISBLANK(D2067),ISBLANK(C2067)),"",((VLOOKUP(D2067,Cardápio!$A$2:$C$16,3,0))*E2067)+IF(B2067="iFood",F2067*0.27,(VLOOKUP(VENDAS!C2067,Bairros!$A$2:$B$90,2,0))))</f>
        <v/>
      </c>
      <c r="J2067" s="7" t="str">
        <f t="shared" si="129"/>
        <v/>
      </c>
      <c r="K2067" s="9">
        <f t="shared" ca="1" si="130"/>
        <v>45404.878290162036</v>
      </c>
      <c r="L2067" s="10">
        <f t="shared" ca="1" si="131"/>
        <v>45404.878290046297</v>
      </c>
    </row>
    <row r="2068" spans="6:12" x14ac:dyDescent="0.25">
      <c r="F2068" s="11" t="str">
        <f>IF(ISBLANK(D2068),"",(VLOOKUP(D2068,Cardápio!$A$2:$B$16,2,0))*E2068)</f>
        <v/>
      </c>
      <c r="H2068" s="7" t="str">
        <f t="shared" si="128"/>
        <v/>
      </c>
      <c r="I2068" s="7" t="str">
        <f>IF(AND(ISBLANK(D2068),ISBLANK(C2068)),"",((VLOOKUP(D2068,Cardápio!$A$2:$C$16,3,0))*E2068)+IF(B2068="iFood",F2068*0.27,(VLOOKUP(VENDAS!C2068,Bairros!$A$2:$B$90,2,0))))</f>
        <v/>
      </c>
      <c r="J2068" s="7" t="str">
        <f t="shared" si="129"/>
        <v/>
      </c>
      <c r="K2068" s="9">
        <f t="shared" ca="1" si="130"/>
        <v>45404.878290162036</v>
      </c>
      <c r="L2068" s="10">
        <f t="shared" ca="1" si="131"/>
        <v>45404.878290046297</v>
      </c>
    </row>
    <row r="2069" spans="6:12" x14ac:dyDescent="0.25">
      <c r="F2069" s="11" t="str">
        <f>IF(ISBLANK(D2069),"",(VLOOKUP(D2069,Cardápio!$A$2:$B$16,2,0))*E2069)</f>
        <v/>
      </c>
      <c r="H2069" s="7" t="str">
        <f t="shared" si="128"/>
        <v/>
      </c>
      <c r="I2069" s="7" t="str">
        <f>IF(AND(ISBLANK(D2069),ISBLANK(C2069)),"",((VLOOKUP(D2069,Cardápio!$A$2:$C$16,3,0))*E2069)+IF(B2069="iFood",F2069*0.27,(VLOOKUP(VENDAS!C2069,Bairros!$A$2:$B$90,2,0))))</f>
        <v/>
      </c>
      <c r="J2069" s="7" t="str">
        <f t="shared" si="129"/>
        <v/>
      </c>
      <c r="K2069" s="9">
        <f t="shared" ca="1" si="130"/>
        <v>45404.878290162036</v>
      </c>
      <c r="L2069" s="10">
        <f t="shared" ca="1" si="131"/>
        <v>45404.878290046297</v>
      </c>
    </row>
    <row r="2070" spans="6:12" x14ac:dyDescent="0.25">
      <c r="F2070" s="11" t="str">
        <f>IF(ISBLANK(D2070),"",(VLOOKUP(D2070,Cardápio!$A$2:$B$16,2,0))*E2070)</f>
        <v/>
      </c>
      <c r="H2070" s="7" t="str">
        <f t="shared" si="128"/>
        <v/>
      </c>
      <c r="I2070" s="7" t="str">
        <f>IF(AND(ISBLANK(D2070),ISBLANK(C2070)),"",((VLOOKUP(D2070,Cardápio!$A$2:$C$16,3,0))*E2070)+IF(B2070="iFood",F2070*0.27,(VLOOKUP(VENDAS!C2070,Bairros!$A$2:$B$90,2,0))))</f>
        <v/>
      </c>
      <c r="J2070" s="7" t="str">
        <f t="shared" si="129"/>
        <v/>
      </c>
      <c r="K2070" s="9">
        <f t="shared" ca="1" si="130"/>
        <v>45404.878290162036</v>
      </c>
      <c r="L2070" s="10">
        <f t="shared" ca="1" si="131"/>
        <v>45404.878290046297</v>
      </c>
    </row>
    <row r="2071" spans="6:12" x14ac:dyDescent="0.25">
      <c r="F2071" s="11" t="str">
        <f>IF(ISBLANK(D2071),"",(VLOOKUP(D2071,Cardápio!$A$2:$B$16,2,0))*E2071)</f>
        <v/>
      </c>
      <c r="H2071" s="7" t="str">
        <f t="shared" si="128"/>
        <v/>
      </c>
      <c r="I2071" s="7" t="str">
        <f>IF(AND(ISBLANK(D2071),ISBLANK(C2071)),"",((VLOOKUP(D2071,Cardápio!$A$2:$C$16,3,0))*E2071)+IF(B2071="iFood",F2071*0.27,(VLOOKUP(VENDAS!C2071,Bairros!$A$2:$B$90,2,0))))</f>
        <v/>
      </c>
      <c r="J2071" s="7" t="str">
        <f t="shared" si="129"/>
        <v/>
      </c>
      <c r="K2071" s="9">
        <f t="shared" ca="1" si="130"/>
        <v>45404.878290162036</v>
      </c>
      <c r="L2071" s="10">
        <f t="shared" ca="1" si="131"/>
        <v>45404.878290046297</v>
      </c>
    </row>
    <row r="2072" spans="6:12" x14ac:dyDescent="0.25">
      <c r="F2072" s="11" t="str">
        <f>IF(ISBLANK(D2072),"",(VLOOKUP(D2072,Cardápio!$A$2:$B$16,2,0))*E2072)</f>
        <v/>
      </c>
      <c r="H2072" s="7" t="str">
        <f t="shared" si="128"/>
        <v/>
      </c>
      <c r="I2072" s="7" t="str">
        <f>IF(AND(ISBLANK(D2072),ISBLANK(C2072)),"",((VLOOKUP(D2072,Cardápio!$A$2:$C$16,3,0))*E2072)+IF(B2072="iFood",F2072*0.27,(VLOOKUP(VENDAS!C2072,Bairros!$A$2:$B$90,2,0))))</f>
        <v/>
      </c>
      <c r="J2072" s="7" t="str">
        <f t="shared" si="129"/>
        <v/>
      </c>
      <c r="K2072" s="9">
        <f t="shared" ca="1" si="130"/>
        <v>45404.878290162036</v>
      </c>
      <c r="L2072" s="10">
        <f t="shared" ca="1" si="131"/>
        <v>45404.878290046297</v>
      </c>
    </row>
    <row r="2073" spans="6:12" x14ac:dyDescent="0.25">
      <c r="F2073" s="11" t="str">
        <f>IF(ISBLANK(D2073),"",(VLOOKUP(D2073,Cardápio!$A$2:$B$16,2,0))*E2073)</f>
        <v/>
      </c>
      <c r="H2073" s="7" t="str">
        <f t="shared" si="128"/>
        <v/>
      </c>
      <c r="I2073" s="7" t="str">
        <f>IF(AND(ISBLANK(D2073),ISBLANK(C2073)),"",((VLOOKUP(D2073,Cardápio!$A$2:$C$16,3,0))*E2073)+IF(B2073="iFood",F2073*0.27,(VLOOKUP(VENDAS!C2073,Bairros!$A$2:$B$90,2,0))))</f>
        <v/>
      </c>
      <c r="J2073" s="7" t="str">
        <f t="shared" si="129"/>
        <v/>
      </c>
      <c r="K2073" s="9">
        <f t="shared" ca="1" si="130"/>
        <v>45404.878290162036</v>
      </c>
      <c r="L2073" s="10">
        <f t="shared" ca="1" si="131"/>
        <v>45404.878290046297</v>
      </c>
    </row>
    <row r="2074" spans="6:12" x14ac:dyDescent="0.25">
      <c r="F2074" s="11" t="str">
        <f>IF(ISBLANK(D2074),"",(VLOOKUP(D2074,Cardápio!$A$2:$B$16,2,0))*E2074)</f>
        <v/>
      </c>
      <c r="H2074" s="7" t="str">
        <f t="shared" si="128"/>
        <v/>
      </c>
      <c r="I2074" s="7" t="str">
        <f>IF(AND(ISBLANK(D2074),ISBLANK(C2074)),"",((VLOOKUP(D2074,Cardápio!$A$2:$C$16,3,0))*E2074)+IF(B2074="iFood",F2074*0.27,(VLOOKUP(VENDAS!C2074,Bairros!$A$2:$B$90,2,0))))</f>
        <v/>
      </c>
      <c r="J2074" s="7" t="str">
        <f t="shared" si="129"/>
        <v/>
      </c>
      <c r="K2074" s="9">
        <f t="shared" ca="1" si="130"/>
        <v>45404.878290162036</v>
      </c>
      <c r="L2074" s="10">
        <f t="shared" ca="1" si="131"/>
        <v>45404.878290046297</v>
      </c>
    </row>
    <row r="2075" spans="6:12" x14ac:dyDescent="0.25">
      <c r="F2075" s="11" t="str">
        <f>IF(ISBLANK(D2075),"",(VLOOKUP(D2075,Cardápio!$A$2:$B$16,2,0))*E2075)</f>
        <v/>
      </c>
      <c r="H2075" s="7" t="str">
        <f t="shared" si="128"/>
        <v/>
      </c>
      <c r="I2075" s="7" t="str">
        <f>IF(AND(ISBLANK(D2075),ISBLANK(C2075)),"",((VLOOKUP(D2075,Cardápio!$A$2:$C$16,3,0))*E2075)+IF(B2075="iFood",F2075*0.27,(VLOOKUP(VENDAS!C2075,Bairros!$A$2:$B$90,2,0))))</f>
        <v/>
      </c>
      <c r="J2075" s="7" t="str">
        <f t="shared" si="129"/>
        <v/>
      </c>
      <c r="K2075" s="9">
        <f t="shared" ca="1" si="130"/>
        <v>45404.878290162036</v>
      </c>
      <c r="L2075" s="10">
        <f t="shared" ca="1" si="131"/>
        <v>45404.878290046297</v>
      </c>
    </row>
    <row r="2076" spans="6:12" x14ac:dyDescent="0.25">
      <c r="F2076" s="11" t="str">
        <f>IF(ISBLANK(D2076),"",(VLOOKUP(D2076,Cardápio!$A$2:$B$16,2,0))*E2076)</f>
        <v/>
      </c>
      <c r="H2076" s="7" t="str">
        <f t="shared" si="128"/>
        <v/>
      </c>
      <c r="I2076" s="7" t="str">
        <f>IF(AND(ISBLANK(D2076),ISBLANK(C2076)),"",((VLOOKUP(D2076,Cardápio!$A$2:$C$16,3,0))*E2076)+IF(B2076="iFood",F2076*0.27,(VLOOKUP(VENDAS!C2076,Bairros!$A$2:$B$90,2,0))))</f>
        <v/>
      </c>
      <c r="J2076" s="7" t="str">
        <f t="shared" si="129"/>
        <v/>
      </c>
      <c r="K2076" s="9">
        <f t="shared" ca="1" si="130"/>
        <v>45404.878290162036</v>
      </c>
      <c r="L2076" s="10">
        <f t="shared" ca="1" si="131"/>
        <v>45404.878290046297</v>
      </c>
    </row>
    <row r="2077" spans="6:12" x14ac:dyDescent="0.25">
      <c r="F2077" s="11" t="str">
        <f>IF(ISBLANK(D2077),"",(VLOOKUP(D2077,Cardápio!$A$2:$B$16,2,0))*E2077)</f>
        <v/>
      </c>
      <c r="H2077" s="7" t="str">
        <f t="shared" si="128"/>
        <v/>
      </c>
      <c r="I2077" s="7" t="str">
        <f>IF(AND(ISBLANK(D2077),ISBLANK(C2077)),"",((VLOOKUP(D2077,Cardápio!$A$2:$C$16,3,0))*E2077)+IF(B2077="iFood",F2077*0.27,(VLOOKUP(VENDAS!C2077,Bairros!$A$2:$B$90,2,0))))</f>
        <v/>
      </c>
      <c r="J2077" s="7" t="str">
        <f t="shared" si="129"/>
        <v/>
      </c>
      <c r="K2077" s="9">
        <f t="shared" ca="1" si="130"/>
        <v>45404.878290162036</v>
      </c>
      <c r="L2077" s="10">
        <f t="shared" ca="1" si="131"/>
        <v>45404.878290046297</v>
      </c>
    </row>
    <row r="2078" spans="6:12" x14ac:dyDescent="0.25">
      <c r="F2078" s="11" t="str">
        <f>IF(ISBLANK(D2078),"",(VLOOKUP(D2078,Cardápio!$A$2:$B$16,2,0))*E2078)</f>
        <v/>
      </c>
      <c r="H2078" s="7" t="str">
        <f t="shared" si="128"/>
        <v/>
      </c>
      <c r="I2078" s="7" t="str">
        <f>IF(AND(ISBLANK(D2078),ISBLANK(C2078)),"",((VLOOKUP(D2078,Cardápio!$A$2:$C$16,3,0))*E2078)+IF(B2078="iFood",F2078*0.27,(VLOOKUP(VENDAS!C2078,Bairros!$A$2:$B$90,2,0))))</f>
        <v/>
      </c>
      <c r="J2078" s="7" t="str">
        <f t="shared" si="129"/>
        <v/>
      </c>
      <c r="K2078" s="9">
        <f t="shared" ca="1" si="130"/>
        <v>45404.878290162036</v>
      </c>
      <c r="L2078" s="10">
        <f t="shared" ca="1" si="131"/>
        <v>45404.878290046297</v>
      </c>
    </row>
    <row r="2079" spans="6:12" x14ac:dyDescent="0.25">
      <c r="F2079" s="11" t="str">
        <f>IF(ISBLANK(D2079),"",(VLOOKUP(D2079,Cardápio!$A$2:$B$16,2,0))*E2079)</f>
        <v/>
      </c>
      <c r="H2079" s="7" t="str">
        <f t="shared" si="128"/>
        <v/>
      </c>
      <c r="I2079" s="7" t="str">
        <f>IF(AND(ISBLANK(D2079),ISBLANK(C2079)),"",((VLOOKUP(D2079,Cardápio!$A$2:$C$16,3,0))*E2079)+IF(B2079="iFood",F2079*0.27,(VLOOKUP(VENDAS!C2079,Bairros!$A$2:$B$90,2,0))))</f>
        <v/>
      </c>
      <c r="J2079" s="7" t="str">
        <f t="shared" si="129"/>
        <v/>
      </c>
      <c r="K2079" s="9">
        <f t="shared" ca="1" si="130"/>
        <v>45404.878290162036</v>
      </c>
      <c r="L2079" s="10">
        <f t="shared" ca="1" si="131"/>
        <v>45404.878290046297</v>
      </c>
    </row>
    <row r="2080" spans="6:12" x14ac:dyDescent="0.25">
      <c r="F2080" s="11" t="str">
        <f>IF(ISBLANK(D2080),"",(VLOOKUP(D2080,Cardápio!$A$2:$B$16,2,0))*E2080)</f>
        <v/>
      </c>
      <c r="H2080" s="7" t="str">
        <f t="shared" si="128"/>
        <v/>
      </c>
      <c r="I2080" s="7" t="str">
        <f>IF(AND(ISBLANK(D2080),ISBLANK(C2080)),"",((VLOOKUP(D2080,Cardápio!$A$2:$C$16,3,0))*E2080)+IF(B2080="iFood",F2080*0.27,(VLOOKUP(VENDAS!C2080,Bairros!$A$2:$B$90,2,0))))</f>
        <v/>
      </c>
      <c r="J2080" s="7" t="str">
        <f t="shared" si="129"/>
        <v/>
      </c>
      <c r="K2080" s="9">
        <f t="shared" ca="1" si="130"/>
        <v>45404.878290162036</v>
      </c>
      <c r="L2080" s="10">
        <f t="shared" ca="1" si="131"/>
        <v>45404.878290046297</v>
      </c>
    </row>
    <row r="2081" spans="6:12" x14ac:dyDescent="0.25">
      <c r="F2081" s="11" t="str">
        <f>IF(ISBLANK(D2081),"",(VLOOKUP(D2081,Cardápio!$A$2:$B$16,2,0))*E2081)</f>
        <v/>
      </c>
      <c r="H2081" s="7" t="str">
        <f t="shared" si="128"/>
        <v/>
      </c>
      <c r="I2081" s="7" t="str">
        <f>IF(AND(ISBLANK(D2081),ISBLANK(C2081)),"",((VLOOKUP(D2081,Cardápio!$A$2:$C$16,3,0))*E2081)+IF(B2081="iFood",F2081*0.27,(VLOOKUP(VENDAS!C2081,Bairros!$A$2:$B$90,2,0))))</f>
        <v/>
      </c>
      <c r="J2081" s="7" t="str">
        <f t="shared" si="129"/>
        <v/>
      </c>
      <c r="K2081" s="9">
        <f t="shared" ca="1" si="130"/>
        <v>45404.878290162036</v>
      </c>
      <c r="L2081" s="10">
        <f t="shared" ca="1" si="131"/>
        <v>45404.878290046297</v>
      </c>
    </row>
    <row r="2082" spans="6:12" x14ac:dyDescent="0.25">
      <c r="F2082" s="11" t="str">
        <f>IF(ISBLANK(D2082),"",(VLOOKUP(D2082,Cardápio!$A$2:$B$16,2,0))*E2082)</f>
        <v/>
      </c>
      <c r="H2082" s="7" t="str">
        <f t="shared" si="128"/>
        <v/>
      </c>
      <c r="I2082" s="7" t="str">
        <f>IF(AND(ISBLANK(D2082),ISBLANK(C2082)),"",((VLOOKUP(D2082,Cardápio!$A$2:$C$16,3,0))*E2082)+IF(B2082="iFood",F2082*0.27,(VLOOKUP(VENDAS!C2082,Bairros!$A$2:$B$90,2,0))))</f>
        <v/>
      </c>
      <c r="J2082" s="7" t="str">
        <f t="shared" si="129"/>
        <v/>
      </c>
      <c r="K2082" s="9">
        <f t="shared" ca="1" si="130"/>
        <v>45404.878290162036</v>
      </c>
      <c r="L2082" s="10">
        <f t="shared" ca="1" si="131"/>
        <v>45404.878290046297</v>
      </c>
    </row>
    <row r="2083" spans="6:12" x14ac:dyDescent="0.25">
      <c r="F2083" s="11" t="str">
        <f>IF(ISBLANK(D2083),"",(VLOOKUP(D2083,Cardápio!$A$2:$B$16,2,0))*E2083)</f>
        <v/>
      </c>
      <c r="H2083" s="7" t="str">
        <f t="shared" si="128"/>
        <v/>
      </c>
      <c r="I2083" s="7" t="str">
        <f>IF(AND(ISBLANK(D2083),ISBLANK(C2083)),"",((VLOOKUP(D2083,Cardápio!$A$2:$C$16,3,0))*E2083)+IF(B2083="iFood",F2083*0.27,(VLOOKUP(VENDAS!C2083,Bairros!$A$2:$B$90,2,0))))</f>
        <v/>
      </c>
      <c r="J2083" s="7" t="str">
        <f t="shared" si="129"/>
        <v/>
      </c>
      <c r="K2083" s="9">
        <f t="shared" ca="1" si="130"/>
        <v>45404.878290162036</v>
      </c>
      <c r="L2083" s="10">
        <f t="shared" ca="1" si="131"/>
        <v>45404.878290046297</v>
      </c>
    </row>
    <row r="2084" spans="6:12" x14ac:dyDescent="0.25">
      <c r="F2084" s="11" t="str">
        <f>IF(ISBLANK(D2084),"",(VLOOKUP(D2084,Cardápio!$A$2:$B$16,2,0))*E2084)</f>
        <v/>
      </c>
      <c r="H2084" s="7" t="str">
        <f t="shared" si="128"/>
        <v/>
      </c>
      <c r="I2084" s="7" t="str">
        <f>IF(AND(ISBLANK(D2084),ISBLANK(C2084)),"",((VLOOKUP(D2084,Cardápio!$A$2:$C$16,3,0))*E2084)+IF(B2084="iFood",F2084*0.27,(VLOOKUP(VENDAS!C2084,Bairros!$A$2:$B$90,2,0))))</f>
        <v/>
      </c>
      <c r="J2084" s="7" t="str">
        <f t="shared" si="129"/>
        <v/>
      </c>
      <c r="K2084" s="9">
        <f t="shared" ca="1" si="130"/>
        <v>45404.878290162036</v>
      </c>
      <c r="L2084" s="10">
        <f t="shared" ca="1" si="131"/>
        <v>45404.878290046297</v>
      </c>
    </row>
    <row r="2085" spans="6:12" x14ac:dyDescent="0.25">
      <c r="F2085" s="11" t="str">
        <f>IF(ISBLANK(D2085),"",(VLOOKUP(D2085,Cardápio!$A$2:$B$16,2,0))*E2085)</f>
        <v/>
      </c>
      <c r="H2085" s="7" t="str">
        <f t="shared" si="128"/>
        <v/>
      </c>
      <c r="I2085" s="7" t="str">
        <f>IF(AND(ISBLANK(D2085),ISBLANK(C2085)),"",((VLOOKUP(D2085,Cardápio!$A$2:$C$16,3,0))*E2085)+IF(B2085="iFood",F2085*0.27,(VLOOKUP(VENDAS!C2085,Bairros!$A$2:$B$90,2,0))))</f>
        <v/>
      </c>
      <c r="J2085" s="7" t="str">
        <f t="shared" si="129"/>
        <v/>
      </c>
      <c r="K2085" s="9">
        <f t="shared" ca="1" si="130"/>
        <v>45404.878290162036</v>
      </c>
      <c r="L2085" s="10">
        <f t="shared" ca="1" si="131"/>
        <v>45404.878290046297</v>
      </c>
    </row>
    <row r="2086" spans="6:12" x14ac:dyDescent="0.25">
      <c r="F2086" s="11" t="str">
        <f>IF(ISBLANK(D2086),"",(VLOOKUP(D2086,Cardápio!$A$2:$B$16,2,0))*E2086)</f>
        <v/>
      </c>
      <c r="H2086" s="7" t="str">
        <f t="shared" si="128"/>
        <v/>
      </c>
      <c r="I2086" s="7" t="str">
        <f>IF(AND(ISBLANK(D2086),ISBLANK(C2086)),"",((VLOOKUP(D2086,Cardápio!$A$2:$C$16,3,0))*E2086)+IF(B2086="iFood",F2086*0.27,(VLOOKUP(VENDAS!C2086,Bairros!$A$2:$B$90,2,0))))</f>
        <v/>
      </c>
      <c r="J2086" s="7" t="str">
        <f t="shared" si="129"/>
        <v/>
      </c>
      <c r="K2086" s="9">
        <f t="shared" ca="1" si="130"/>
        <v>45404.878290162036</v>
      </c>
      <c r="L2086" s="10">
        <f t="shared" ca="1" si="131"/>
        <v>45404.878290046297</v>
      </c>
    </row>
    <row r="2087" spans="6:12" x14ac:dyDescent="0.25">
      <c r="F2087" s="11" t="str">
        <f>IF(ISBLANK(D2087),"",(VLOOKUP(D2087,Cardápio!$A$2:$B$16,2,0))*E2087)</f>
        <v/>
      </c>
      <c r="H2087" s="7" t="str">
        <f t="shared" si="128"/>
        <v/>
      </c>
      <c r="I2087" s="7" t="str">
        <f>IF(AND(ISBLANK(D2087),ISBLANK(C2087)),"",((VLOOKUP(D2087,Cardápio!$A$2:$C$16,3,0))*E2087)+IF(B2087="iFood",F2087*0.27,(VLOOKUP(VENDAS!C2087,Bairros!$A$2:$B$90,2,0))))</f>
        <v/>
      </c>
      <c r="J2087" s="7" t="str">
        <f t="shared" si="129"/>
        <v/>
      </c>
      <c r="K2087" s="9">
        <f t="shared" ca="1" si="130"/>
        <v>45404.878290162036</v>
      </c>
      <c r="L2087" s="10">
        <f t="shared" ca="1" si="131"/>
        <v>45404.878290046297</v>
      </c>
    </row>
    <row r="2088" spans="6:12" x14ac:dyDescent="0.25">
      <c r="F2088" s="11" t="str">
        <f>IF(ISBLANK(D2088),"",(VLOOKUP(D2088,Cardápio!$A$2:$B$16,2,0))*E2088)</f>
        <v/>
      </c>
      <c r="H2088" s="7" t="str">
        <f t="shared" si="128"/>
        <v/>
      </c>
      <c r="I2088" s="7" t="str">
        <f>IF(AND(ISBLANK(D2088),ISBLANK(C2088)),"",((VLOOKUP(D2088,Cardápio!$A$2:$C$16,3,0))*E2088)+IF(B2088="iFood",F2088*0.27,(VLOOKUP(VENDAS!C2088,Bairros!$A$2:$B$90,2,0))))</f>
        <v/>
      </c>
      <c r="J2088" s="7" t="str">
        <f t="shared" si="129"/>
        <v/>
      </c>
      <c r="K2088" s="9">
        <f t="shared" ca="1" si="130"/>
        <v>45404.878290162036</v>
      </c>
      <c r="L2088" s="10">
        <f t="shared" ca="1" si="131"/>
        <v>45404.878290046297</v>
      </c>
    </row>
    <row r="2089" spans="6:12" x14ac:dyDescent="0.25">
      <c r="F2089" s="11" t="str">
        <f>IF(ISBLANK(D2089),"",(VLOOKUP(D2089,Cardápio!$A$2:$B$16,2,0))*E2089)</f>
        <v/>
      </c>
      <c r="H2089" s="7" t="str">
        <f t="shared" si="128"/>
        <v/>
      </c>
      <c r="I2089" s="7" t="str">
        <f>IF(AND(ISBLANK(D2089),ISBLANK(C2089)),"",((VLOOKUP(D2089,Cardápio!$A$2:$C$16,3,0))*E2089)+IF(B2089="iFood",F2089*0.27,(VLOOKUP(VENDAS!C2089,Bairros!$A$2:$B$90,2,0))))</f>
        <v/>
      </c>
      <c r="J2089" s="7" t="str">
        <f t="shared" si="129"/>
        <v/>
      </c>
      <c r="K2089" s="9">
        <f t="shared" ca="1" si="130"/>
        <v>45404.878290162036</v>
      </c>
      <c r="L2089" s="10">
        <f t="shared" ca="1" si="131"/>
        <v>45404.878290046297</v>
      </c>
    </row>
    <row r="2090" spans="6:12" x14ac:dyDescent="0.25">
      <c r="F2090" s="11" t="str">
        <f>IF(ISBLANK(D2090),"",(VLOOKUP(D2090,Cardápio!$A$2:$B$16,2,0))*E2090)</f>
        <v/>
      </c>
      <c r="H2090" s="7" t="str">
        <f t="shared" si="128"/>
        <v/>
      </c>
      <c r="I2090" s="7" t="str">
        <f>IF(AND(ISBLANK(D2090),ISBLANK(C2090)),"",((VLOOKUP(D2090,Cardápio!$A$2:$C$16,3,0))*E2090)+IF(B2090="iFood",F2090*0.27,(VLOOKUP(VENDAS!C2090,Bairros!$A$2:$B$90,2,0))))</f>
        <v/>
      </c>
      <c r="J2090" s="7" t="str">
        <f t="shared" si="129"/>
        <v/>
      </c>
      <c r="K2090" s="9">
        <f t="shared" ca="1" si="130"/>
        <v>45404.878290162036</v>
      </c>
      <c r="L2090" s="10">
        <f t="shared" ca="1" si="131"/>
        <v>45404.878290046297</v>
      </c>
    </row>
    <row r="2091" spans="6:12" x14ac:dyDescent="0.25">
      <c r="F2091" s="11" t="str">
        <f>IF(ISBLANK(D2091),"",(VLOOKUP(D2091,Cardápio!$A$2:$B$16,2,0))*E2091)</f>
        <v/>
      </c>
      <c r="H2091" s="7" t="str">
        <f t="shared" si="128"/>
        <v/>
      </c>
      <c r="I2091" s="7" t="str">
        <f>IF(AND(ISBLANK(D2091),ISBLANK(C2091)),"",((VLOOKUP(D2091,Cardápio!$A$2:$C$16,3,0))*E2091)+IF(B2091="iFood",F2091*0.27,(VLOOKUP(VENDAS!C2091,Bairros!$A$2:$B$90,2,0))))</f>
        <v/>
      </c>
      <c r="J2091" s="7" t="str">
        <f t="shared" si="129"/>
        <v/>
      </c>
      <c r="K2091" s="9">
        <f t="shared" ca="1" si="130"/>
        <v>45404.878290162036</v>
      </c>
      <c r="L2091" s="10">
        <f t="shared" ca="1" si="131"/>
        <v>45404.878290046297</v>
      </c>
    </row>
    <row r="2092" spans="6:12" x14ac:dyDescent="0.25">
      <c r="F2092" s="11" t="str">
        <f>IF(ISBLANK(D2092),"",(VLOOKUP(D2092,Cardápio!$A$2:$B$16,2,0))*E2092)</f>
        <v/>
      </c>
      <c r="H2092" s="7" t="str">
        <f t="shared" si="128"/>
        <v/>
      </c>
      <c r="I2092" s="7" t="str">
        <f>IF(AND(ISBLANK(D2092),ISBLANK(C2092)),"",((VLOOKUP(D2092,Cardápio!$A$2:$C$16,3,0))*E2092)+IF(B2092="iFood",F2092*0.27,(VLOOKUP(VENDAS!C2092,Bairros!$A$2:$B$90,2,0))))</f>
        <v/>
      </c>
      <c r="J2092" s="7" t="str">
        <f t="shared" si="129"/>
        <v/>
      </c>
      <c r="K2092" s="9">
        <f t="shared" ca="1" si="130"/>
        <v>45404.878290162036</v>
      </c>
      <c r="L2092" s="10">
        <f t="shared" ca="1" si="131"/>
        <v>45404.878290046297</v>
      </c>
    </row>
    <row r="2093" spans="6:12" x14ac:dyDescent="0.25">
      <c r="F2093" s="11" t="str">
        <f>IF(ISBLANK(D2093),"",(VLOOKUP(D2093,Cardápio!$A$2:$B$16,2,0))*E2093)</f>
        <v/>
      </c>
      <c r="H2093" s="7" t="str">
        <f t="shared" si="128"/>
        <v/>
      </c>
      <c r="I2093" s="7" t="str">
        <f>IF(AND(ISBLANK(D2093),ISBLANK(C2093)),"",((VLOOKUP(D2093,Cardápio!$A$2:$C$16,3,0))*E2093)+IF(B2093="iFood",F2093*0.27,(VLOOKUP(VENDAS!C2093,Bairros!$A$2:$B$90,2,0))))</f>
        <v/>
      </c>
      <c r="J2093" s="7" t="str">
        <f t="shared" si="129"/>
        <v/>
      </c>
      <c r="K2093" s="9">
        <f t="shared" ca="1" si="130"/>
        <v>45404.878290162036</v>
      </c>
      <c r="L2093" s="10">
        <f t="shared" ca="1" si="131"/>
        <v>45404.878290046297</v>
      </c>
    </row>
    <row r="2094" spans="6:12" x14ac:dyDescent="0.25">
      <c r="F2094" s="11" t="str">
        <f>IF(ISBLANK(D2094),"",(VLOOKUP(D2094,Cardápio!$A$2:$B$16,2,0))*E2094)</f>
        <v/>
      </c>
      <c r="H2094" s="7" t="str">
        <f t="shared" si="128"/>
        <v/>
      </c>
      <c r="I2094" s="7" t="str">
        <f>IF(AND(ISBLANK(D2094),ISBLANK(C2094)),"",((VLOOKUP(D2094,Cardápio!$A$2:$C$16,3,0))*E2094)+IF(B2094="iFood",F2094*0.27,(VLOOKUP(VENDAS!C2094,Bairros!$A$2:$B$90,2,0))))</f>
        <v/>
      </c>
      <c r="J2094" s="7" t="str">
        <f t="shared" si="129"/>
        <v/>
      </c>
      <c r="K2094" s="9">
        <f t="shared" ca="1" si="130"/>
        <v>45404.878290162036</v>
      </c>
      <c r="L2094" s="10">
        <f t="shared" ca="1" si="131"/>
        <v>45404.878290046297</v>
      </c>
    </row>
    <row r="2095" spans="6:12" x14ac:dyDescent="0.25">
      <c r="F2095" s="11" t="str">
        <f>IF(ISBLANK(D2095),"",(VLOOKUP(D2095,Cardápio!$A$2:$B$16,2,0))*E2095)</f>
        <v/>
      </c>
      <c r="H2095" s="7" t="str">
        <f t="shared" si="128"/>
        <v/>
      </c>
      <c r="I2095" s="7" t="str">
        <f>IF(AND(ISBLANK(D2095),ISBLANK(C2095)),"",((VLOOKUP(D2095,Cardápio!$A$2:$C$16,3,0))*E2095)+IF(B2095="iFood",F2095*0.27,(VLOOKUP(VENDAS!C2095,Bairros!$A$2:$B$90,2,0))))</f>
        <v/>
      </c>
      <c r="J2095" s="7" t="str">
        <f t="shared" si="129"/>
        <v/>
      </c>
      <c r="K2095" s="9">
        <f t="shared" ca="1" si="130"/>
        <v>45404.878290162036</v>
      </c>
      <c r="L2095" s="10">
        <f t="shared" ca="1" si="131"/>
        <v>45404.878290046297</v>
      </c>
    </row>
    <row r="2096" spans="6:12" x14ac:dyDescent="0.25">
      <c r="F2096" s="11" t="str">
        <f>IF(ISBLANK(D2096),"",(VLOOKUP(D2096,Cardápio!$A$2:$B$16,2,0))*E2096)</f>
        <v/>
      </c>
      <c r="H2096" s="7" t="str">
        <f t="shared" si="128"/>
        <v/>
      </c>
      <c r="I2096" s="7" t="str">
        <f>IF(AND(ISBLANK(D2096),ISBLANK(C2096)),"",((VLOOKUP(D2096,Cardápio!$A$2:$C$16,3,0))*E2096)+IF(B2096="iFood",F2096*0.27,(VLOOKUP(VENDAS!C2096,Bairros!$A$2:$B$90,2,0))))</f>
        <v/>
      </c>
      <c r="J2096" s="7" t="str">
        <f t="shared" si="129"/>
        <v/>
      </c>
      <c r="K2096" s="9">
        <f t="shared" ca="1" si="130"/>
        <v>45404.878290162036</v>
      </c>
      <c r="L2096" s="10">
        <f t="shared" ca="1" si="131"/>
        <v>45404.878290046297</v>
      </c>
    </row>
    <row r="2097" spans="6:12" x14ac:dyDescent="0.25">
      <c r="F2097" s="11" t="str">
        <f>IF(ISBLANK(D2097),"",(VLOOKUP(D2097,Cardápio!$A$2:$B$16,2,0))*E2097)</f>
        <v/>
      </c>
      <c r="H2097" s="7" t="str">
        <f t="shared" si="128"/>
        <v/>
      </c>
      <c r="I2097" s="7" t="str">
        <f>IF(AND(ISBLANK(D2097),ISBLANK(C2097)),"",((VLOOKUP(D2097,Cardápio!$A$2:$C$16,3,0))*E2097)+IF(B2097="iFood",F2097*0.27,(VLOOKUP(VENDAS!C2097,Bairros!$A$2:$B$90,2,0))))</f>
        <v/>
      </c>
      <c r="J2097" s="7" t="str">
        <f t="shared" si="129"/>
        <v/>
      </c>
      <c r="K2097" s="9">
        <f t="shared" ca="1" si="130"/>
        <v>45404.878290162036</v>
      </c>
      <c r="L2097" s="10">
        <f t="shared" ca="1" si="131"/>
        <v>45404.878290046297</v>
      </c>
    </row>
    <row r="2098" spans="6:12" x14ac:dyDescent="0.25">
      <c r="F2098" s="11" t="str">
        <f>IF(ISBLANK(D2098),"",(VLOOKUP(D2098,Cardápio!$A$2:$B$16,2,0))*E2098)</f>
        <v/>
      </c>
      <c r="H2098" s="7" t="str">
        <f t="shared" si="128"/>
        <v/>
      </c>
      <c r="I2098" s="7" t="str">
        <f>IF(AND(ISBLANK(D2098),ISBLANK(C2098)),"",((VLOOKUP(D2098,Cardápio!$A$2:$C$16,3,0))*E2098)+IF(B2098="iFood",F2098*0.27,(VLOOKUP(VENDAS!C2098,Bairros!$A$2:$B$90,2,0))))</f>
        <v/>
      </c>
      <c r="J2098" s="7" t="str">
        <f t="shared" si="129"/>
        <v/>
      </c>
      <c r="K2098" s="9">
        <f t="shared" ca="1" si="130"/>
        <v>45404.878290162036</v>
      </c>
      <c r="L2098" s="10">
        <f t="shared" ca="1" si="131"/>
        <v>45404.878290046297</v>
      </c>
    </row>
    <row r="2099" spans="6:12" x14ac:dyDescent="0.25">
      <c r="F2099" s="11" t="str">
        <f>IF(ISBLANK(D2099),"",(VLOOKUP(D2099,Cardápio!$A$2:$B$16,2,0))*E2099)</f>
        <v/>
      </c>
      <c r="H2099" s="7" t="str">
        <f t="shared" si="128"/>
        <v/>
      </c>
      <c r="I2099" s="7" t="str">
        <f>IF(AND(ISBLANK(D2099),ISBLANK(C2099)),"",((VLOOKUP(D2099,Cardápio!$A$2:$C$16,3,0))*E2099)+IF(B2099="iFood",F2099*0.27,(VLOOKUP(VENDAS!C2099,Bairros!$A$2:$B$90,2,0))))</f>
        <v/>
      </c>
      <c r="J2099" s="7" t="str">
        <f t="shared" si="129"/>
        <v/>
      </c>
      <c r="K2099" s="9">
        <f t="shared" ca="1" si="130"/>
        <v>45404.878290162036</v>
      </c>
      <c r="L2099" s="10">
        <f t="shared" ca="1" si="131"/>
        <v>45404.878290046297</v>
      </c>
    </row>
    <row r="2100" spans="6:12" x14ac:dyDescent="0.25">
      <c r="F2100" s="11" t="str">
        <f>IF(ISBLANK(D2100),"",(VLOOKUP(D2100,Cardápio!$A$2:$B$16,2,0))*E2100)</f>
        <v/>
      </c>
      <c r="H2100" s="7" t="str">
        <f t="shared" si="128"/>
        <v/>
      </c>
      <c r="I2100" s="7" t="str">
        <f>IF(AND(ISBLANK(D2100),ISBLANK(C2100)),"",((VLOOKUP(D2100,Cardápio!$A$2:$C$16,3,0))*E2100)+IF(B2100="iFood",F2100*0.27,(VLOOKUP(VENDAS!C2100,Bairros!$A$2:$B$90,2,0))))</f>
        <v/>
      </c>
      <c r="J2100" s="7" t="str">
        <f t="shared" si="129"/>
        <v/>
      </c>
      <c r="K2100" s="9">
        <f t="shared" ca="1" si="130"/>
        <v>45404.878290162036</v>
      </c>
      <c r="L2100" s="10">
        <f t="shared" ca="1" si="131"/>
        <v>45404.878290046297</v>
      </c>
    </row>
    <row r="2101" spans="6:12" x14ac:dyDescent="0.25">
      <c r="F2101" s="11" t="str">
        <f>IF(ISBLANK(D2101),"",(VLOOKUP(D2101,Cardápio!$A$2:$B$16,2,0))*E2101)</f>
        <v/>
      </c>
      <c r="H2101" s="7" t="str">
        <f t="shared" ref="H2101:H2164" si="132">IF(ISBLANK(D2101),"",F2101-G2101)</f>
        <v/>
      </c>
      <c r="I2101" s="7" t="str">
        <f>IF(AND(ISBLANK(D2101),ISBLANK(C2101)),"",((VLOOKUP(D2101,Cardápio!$A$2:$C$16,3,0))*E2101)+IF(B2101="iFood",F2101*0.27,(VLOOKUP(VENDAS!C2101,Bairros!$A$2:$B$90,2,0))))</f>
        <v/>
      </c>
      <c r="J2101" s="7" t="str">
        <f t="shared" ref="J2101:J2164" si="133">IF(OR(AND(ISBLANK(H2101),ISBLANK(I2101)),(AND(H2101="",I2101=""))),"",H2101-I2101)</f>
        <v/>
      </c>
      <c r="K2101" s="9">
        <f t="shared" ref="K2101:K2164" ca="1" si="134">IF(D2101&lt;&gt;"",K2101,NOW())</f>
        <v>45404.878290162036</v>
      </c>
      <c r="L2101" s="10">
        <f t="shared" ref="L2101:L2164" ca="1" si="135">IF(D2101&lt;&gt;"",L2101,NOW())</f>
        <v>45404.878290046297</v>
      </c>
    </row>
    <row r="2102" spans="6:12" x14ac:dyDescent="0.25">
      <c r="F2102" s="11" t="str">
        <f>IF(ISBLANK(D2102),"",(VLOOKUP(D2102,Cardápio!$A$2:$B$16,2,0))*E2102)</f>
        <v/>
      </c>
      <c r="H2102" s="7" t="str">
        <f t="shared" si="132"/>
        <v/>
      </c>
      <c r="I2102" s="7" t="str">
        <f>IF(AND(ISBLANK(D2102),ISBLANK(C2102)),"",((VLOOKUP(D2102,Cardápio!$A$2:$C$16,3,0))*E2102)+IF(B2102="iFood",F2102*0.27,(VLOOKUP(VENDAS!C2102,Bairros!$A$2:$B$90,2,0))))</f>
        <v/>
      </c>
      <c r="J2102" s="7" t="str">
        <f t="shared" si="133"/>
        <v/>
      </c>
      <c r="K2102" s="9">
        <f t="shared" ca="1" si="134"/>
        <v>45404.878290162036</v>
      </c>
      <c r="L2102" s="10">
        <f t="shared" ca="1" si="135"/>
        <v>45404.878290046297</v>
      </c>
    </row>
    <row r="2103" spans="6:12" x14ac:dyDescent="0.25">
      <c r="F2103" s="11" t="str">
        <f>IF(ISBLANK(D2103),"",(VLOOKUP(D2103,Cardápio!$A$2:$B$16,2,0))*E2103)</f>
        <v/>
      </c>
      <c r="H2103" s="7" t="str">
        <f t="shared" si="132"/>
        <v/>
      </c>
      <c r="I2103" s="7" t="str">
        <f>IF(AND(ISBLANK(D2103),ISBLANK(C2103)),"",((VLOOKUP(D2103,Cardápio!$A$2:$C$16,3,0))*E2103)+IF(B2103="iFood",F2103*0.27,(VLOOKUP(VENDAS!C2103,Bairros!$A$2:$B$90,2,0))))</f>
        <v/>
      </c>
      <c r="J2103" s="7" t="str">
        <f t="shared" si="133"/>
        <v/>
      </c>
      <c r="K2103" s="9">
        <f t="shared" ca="1" si="134"/>
        <v>45404.878290162036</v>
      </c>
      <c r="L2103" s="10">
        <f t="shared" ca="1" si="135"/>
        <v>45404.878290046297</v>
      </c>
    </row>
    <row r="2104" spans="6:12" x14ac:dyDescent="0.25">
      <c r="F2104" s="11" t="str">
        <f>IF(ISBLANK(D2104),"",(VLOOKUP(D2104,Cardápio!$A$2:$B$16,2,0))*E2104)</f>
        <v/>
      </c>
      <c r="H2104" s="7" t="str">
        <f t="shared" si="132"/>
        <v/>
      </c>
      <c r="I2104" s="7" t="str">
        <f>IF(AND(ISBLANK(D2104),ISBLANK(C2104)),"",((VLOOKUP(D2104,Cardápio!$A$2:$C$16,3,0))*E2104)+IF(B2104="iFood",F2104*0.27,(VLOOKUP(VENDAS!C2104,Bairros!$A$2:$B$90,2,0))))</f>
        <v/>
      </c>
      <c r="J2104" s="7" t="str">
        <f t="shared" si="133"/>
        <v/>
      </c>
      <c r="K2104" s="9">
        <f t="shared" ca="1" si="134"/>
        <v>45404.878290162036</v>
      </c>
      <c r="L2104" s="10">
        <f t="shared" ca="1" si="135"/>
        <v>45404.878290046297</v>
      </c>
    </row>
    <row r="2105" spans="6:12" x14ac:dyDescent="0.25">
      <c r="F2105" s="11" t="str">
        <f>IF(ISBLANK(D2105),"",(VLOOKUP(D2105,Cardápio!$A$2:$B$16,2,0))*E2105)</f>
        <v/>
      </c>
      <c r="H2105" s="7" t="str">
        <f t="shared" si="132"/>
        <v/>
      </c>
      <c r="I2105" s="7" t="str">
        <f>IF(AND(ISBLANK(D2105),ISBLANK(C2105)),"",((VLOOKUP(D2105,Cardápio!$A$2:$C$16,3,0))*E2105)+IF(B2105="iFood",F2105*0.27,(VLOOKUP(VENDAS!C2105,Bairros!$A$2:$B$90,2,0))))</f>
        <v/>
      </c>
      <c r="J2105" s="7" t="str">
        <f t="shared" si="133"/>
        <v/>
      </c>
      <c r="K2105" s="9">
        <f t="shared" ca="1" si="134"/>
        <v>45404.878290162036</v>
      </c>
      <c r="L2105" s="10">
        <f t="shared" ca="1" si="135"/>
        <v>45404.878290046297</v>
      </c>
    </row>
    <row r="2106" spans="6:12" x14ac:dyDescent="0.25">
      <c r="F2106" s="11" t="str">
        <f>IF(ISBLANK(D2106),"",(VLOOKUP(D2106,Cardápio!$A$2:$B$16,2,0))*E2106)</f>
        <v/>
      </c>
      <c r="H2106" s="7" t="str">
        <f t="shared" si="132"/>
        <v/>
      </c>
      <c r="I2106" s="7" t="str">
        <f>IF(AND(ISBLANK(D2106),ISBLANK(C2106)),"",((VLOOKUP(D2106,Cardápio!$A$2:$C$16,3,0))*E2106)+IF(B2106="iFood",F2106*0.27,(VLOOKUP(VENDAS!C2106,Bairros!$A$2:$B$90,2,0))))</f>
        <v/>
      </c>
      <c r="J2106" s="7" t="str">
        <f t="shared" si="133"/>
        <v/>
      </c>
      <c r="K2106" s="9">
        <f t="shared" ca="1" si="134"/>
        <v>45404.878290162036</v>
      </c>
      <c r="L2106" s="10">
        <f t="shared" ca="1" si="135"/>
        <v>45404.878290046297</v>
      </c>
    </row>
    <row r="2107" spans="6:12" x14ac:dyDescent="0.25">
      <c r="F2107" s="11" t="str">
        <f>IF(ISBLANK(D2107),"",(VLOOKUP(D2107,Cardápio!$A$2:$B$16,2,0))*E2107)</f>
        <v/>
      </c>
      <c r="H2107" s="7" t="str">
        <f t="shared" si="132"/>
        <v/>
      </c>
      <c r="I2107" s="7" t="str">
        <f>IF(AND(ISBLANK(D2107),ISBLANK(C2107)),"",((VLOOKUP(D2107,Cardápio!$A$2:$C$16,3,0))*E2107)+IF(B2107="iFood",F2107*0.27,(VLOOKUP(VENDAS!C2107,Bairros!$A$2:$B$90,2,0))))</f>
        <v/>
      </c>
      <c r="J2107" s="7" t="str">
        <f t="shared" si="133"/>
        <v/>
      </c>
      <c r="K2107" s="9">
        <f t="shared" ca="1" si="134"/>
        <v>45404.878290162036</v>
      </c>
      <c r="L2107" s="10">
        <f t="shared" ca="1" si="135"/>
        <v>45404.878290046297</v>
      </c>
    </row>
    <row r="2108" spans="6:12" x14ac:dyDescent="0.25">
      <c r="F2108" s="11" t="str">
        <f>IF(ISBLANK(D2108),"",(VLOOKUP(D2108,Cardápio!$A$2:$B$16,2,0))*E2108)</f>
        <v/>
      </c>
      <c r="H2108" s="7" t="str">
        <f t="shared" si="132"/>
        <v/>
      </c>
      <c r="I2108" s="7" t="str">
        <f>IF(AND(ISBLANK(D2108),ISBLANK(C2108)),"",((VLOOKUP(D2108,Cardápio!$A$2:$C$16,3,0))*E2108)+IF(B2108="iFood",F2108*0.27,(VLOOKUP(VENDAS!C2108,Bairros!$A$2:$B$90,2,0))))</f>
        <v/>
      </c>
      <c r="J2108" s="7" t="str">
        <f t="shared" si="133"/>
        <v/>
      </c>
      <c r="K2108" s="9">
        <f t="shared" ca="1" si="134"/>
        <v>45404.878290162036</v>
      </c>
      <c r="L2108" s="10">
        <f t="shared" ca="1" si="135"/>
        <v>45404.878290046297</v>
      </c>
    </row>
    <row r="2109" spans="6:12" x14ac:dyDescent="0.25">
      <c r="F2109" s="11" t="str">
        <f>IF(ISBLANK(D2109),"",(VLOOKUP(D2109,Cardápio!$A$2:$B$16,2,0))*E2109)</f>
        <v/>
      </c>
      <c r="H2109" s="7" t="str">
        <f t="shared" si="132"/>
        <v/>
      </c>
      <c r="I2109" s="7" t="str">
        <f>IF(AND(ISBLANK(D2109),ISBLANK(C2109)),"",((VLOOKUP(D2109,Cardápio!$A$2:$C$16,3,0))*E2109)+IF(B2109="iFood",F2109*0.27,(VLOOKUP(VENDAS!C2109,Bairros!$A$2:$B$90,2,0))))</f>
        <v/>
      </c>
      <c r="J2109" s="7" t="str">
        <f t="shared" si="133"/>
        <v/>
      </c>
      <c r="K2109" s="9">
        <f t="shared" ca="1" si="134"/>
        <v>45404.878290162036</v>
      </c>
      <c r="L2109" s="10">
        <f t="shared" ca="1" si="135"/>
        <v>45404.878290046297</v>
      </c>
    </row>
    <row r="2110" spans="6:12" x14ac:dyDescent="0.25">
      <c r="F2110" s="11" t="str">
        <f>IF(ISBLANK(D2110),"",(VLOOKUP(D2110,Cardápio!$A$2:$B$16,2,0))*E2110)</f>
        <v/>
      </c>
      <c r="H2110" s="7" t="str">
        <f t="shared" si="132"/>
        <v/>
      </c>
      <c r="I2110" s="7" t="str">
        <f>IF(AND(ISBLANK(D2110),ISBLANK(C2110)),"",((VLOOKUP(D2110,Cardápio!$A$2:$C$16,3,0))*E2110)+IF(B2110="iFood",F2110*0.27,(VLOOKUP(VENDAS!C2110,Bairros!$A$2:$B$90,2,0))))</f>
        <v/>
      </c>
      <c r="J2110" s="7" t="str">
        <f t="shared" si="133"/>
        <v/>
      </c>
      <c r="K2110" s="9">
        <f t="shared" ca="1" si="134"/>
        <v>45404.878290162036</v>
      </c>
      <c r="L2110" s="10">
        <f t="shared" ca="1" si="135"/>
        <v>45404.878290046297</v>
      </c>
    </row>
    <row r="2111" spans="6:12" x14ac:dyDescent="0.25">
      <c r="F2111" s="11" t="str">
        <f>IF(ISBLANK(D2111),"",(VLOOKUP(D2111,Cardápio!$A$2:$B$16,2,0))*E2111)</f>
        <v/>
      </c>
      <c r="H2111" s="7" t="str">
        <f t="shared" si="132"/>
        <v/>
      </c>
      <c r="I2111" s="7" t="str">
        <f>IF(AND(ISBLANK(D2111),ISBLANK(C2111)),"",((VLOOKUP(D2111,Cardápio!$A$2:$C$16,3,0))*E2111)+IF(B2111="iFood",F2111*0.27,(VLOOKUP(VENDAS!C2111,Bairros!$A$2:$B$90,2,0))))</f>
        <v/>
      </c>
      <c r="J2111" s="7" t="str">
        <f t="shared" si="133"/>
        <v/>
      </c>
      <c r="K2111" s="9">
        <f t="shared" ca="1" si="134"/>
        <v>45404.878290162036</v>
      </c>
      <c r="L2111" s="10">
        <f t="shared" ca="1" si="135"/>
        <v>45404.878290046297</v>
      </c>
    </row>
    <row r="2112" spans="6:12" x14ac:dyDescent="0.25">
      <c r="F2112" s="11" t="str">
        <f>IF(ISBLANK(D2112),"",(VLOOKUP(D2112,Cardápio!$A$2:$B$16,2,0))*E2112)</f>
        <v/>
      </c>
      <c r="H2112" s="7" t="str">
        <f t="shared" si="132"/>
        <v/>
      </c>
      <c r="I2112" s="7" t="str">
        <f>IF(AND(ISBLANK(D2112),ISBLANK(C2112)),"",((VLOOKUP(D2112,Cardápio!$A$2:$C$16,3,0))*E2112)+IF(B2112="iFood",F2112*0.27,(VLOOKUP(VENDAS!C2112,Bairros!$A$2:$B$90,2,0))))</f>
        <v/>
      </c>
      <c r="J2112" s="7" t="str">
        <f t="shared" si="133"/>
        <v/>
      </c>
      <c r="K2112" s="9">
        <f t="shared" ca="1" si="134"/>
        <v>45404.878290162036</v>
      </c>
      <c r="L2112" s="10">
        <f t="shared" ca="1" si="135"/>
        <v>45404.878290046297</v>
      </c>
    </row>
    <row r="2113" spans="6:12" x14ac:dyDescent="0.25">
      <c r="F2113" s="11" t="str">
        <f>IF(ISBLANK(D2113),"",(VLOOKUP(D2113,Cardápio!$A$2:$B$16,2,0))*E2113)</f>
        <v/>
      </c>
      <c r="H2113" s="7" t="str">
        <f t="shared" si="132"/>
        <v/>
      </c>
      <c r="I2113" s="7" t="str">
        <f>IF(AND(ISBLANK(D2113),ISBLANK(C2113)),"",((VLOOKUP(D2113,Cardápio!$A$2:$C$16,3,0))*E2113)+IF(B2113="iFood",F2113*0.27,(VLOOKUP(VENDAS!C2113,Bairros!$A$2:$B$90,2,0))))</f>
        <v/>
      </c>
      <c r="J2113" s="7" t="str">
        <f t="shared" si="133"/>
        <v/>
      </c>
      <c r="K2113" s="9">
        <f t="shared" ca="1" si="134"/>
        <v>45404.878290162036</v>
      </c>
      <c r="L2113" s="10">
        <f t="shared" ca="1" si="135"/>
        <v>45404.878290046297</v>
      </c>
    </row>
    <row r="2114" spans="6:12" x14ac:dyDescent="0.25">
      <c r="F2114" s="11" t="str">
        <f>IF(ISBLANK(D2114),"",(VLOOKUP(D2114,Cardápio!$A$2:$B$16,2,0))*E2114)</f>
        <v/>
      </c>
      <c r="H2114" s="7" t="str">
        <f t="shared" si="132"/>
        <v/>
      </c>
      <c r="I2114" s="7" t="str">
        <f>IF(AND(ISBLANK(D2114),ISBLANK(C2114)),"",((VLOOKUP(D2114,Cardápio!$A$2:$C$16,3,0))*E2114)+IF(B2114="iFood",F2114*0.27,(VLOOKUP(VENDAS!C2114,Bairros!$A$2:$B$90,2,0))))</f>
        <v/>
      </c>
      <c r="J2114" s="7" t="str">
        <f t="shared" si="133"/>
        <v/>
      </c>
      <c r="K2114" s="9">
        <f t="shared" ca="1" si="134"/>
        <v>45404.878290162036</v>
      </c>
      <c r="L2114" s="10">
        <f t="shared" ca="1" si="135"/>
        <v>45404.878290046297</v>
      </c>
    </row>
    <row r="2115" spans="6:12" x14ac:dyDescent="0.25">
      <c r="F2115" s="11" t="str">
        <f>IF(ISBLANK(D2115),"",(VLOOKUP(D2115,Cardápio!$A$2:$B$16,2,0))*E2115)</f>
        <v/>
      </c>
      <c r="H2115" s="7" t="str">
        <f t="shared" si="132"/>
        <v/>
      </c>
      <c r="I2115" s="7" t="str">
        <f>IF(AND(ISBLANK(D2115),ISBLANK(C2115)),"",((VLOOKUP(D2115,Cardápio!$A$2:$C$16,3,0))*E2115)+IF(B2115="iFood",F2115*0.27,(VLOOKUP(VENDAS!C2115,Bairros!$A$2:$B$90,2,0))))</f>
        <v/>
      </c>
      <c r="J2115" s="7" t="str">
        <f t="shared" si="133"/>
        <v/>
      </c>
      <c r="K2115" s="9">
        <f t="shared" ca="1" si="134"/>
        <v>45404.878290162036</v>
      </c>
      <c r="L2115" s="10">
        <f t="shared" ca="1" si="135"/>
        <v>45404.878290046297</v>
      </c>
    </row>
    <row r="2116" spans="6:12" x14ac:dyDescent="0.25">
      <c r="F2116" s="11" t="str">
        <f>IF(ISBLANK(D2116),"",(VLOOKUP(D2116,Cardápio!$A$2:$B$16,2,0))*E2116)</f>
        <v/>
      </c>
      <c r="H2116" s="7" t="str">
        <f t="shared" si="132"/>
        <v/>
      </c>
      <c r="I2116" s="7" t="str">
        <f>IF(AND(ISBLANK(D2116),ISBLANK(C2116)),"",((VLOOKUP(D2116,Cardápio!$A$2:$C$16,3,0))*E2116)+IF(B2116="iFood",F2116*0.27,(VLOOKUP(VENDAS!C2116,Bairros!$A$2:$B$90,2,0))))</f>
        <v/>
      </c>
      <c r="J2116" s="7" t="str">
        <f t="shared" si="133"/>
        <v/>
      </c>
      <c r="K2116" s="9">
        <f t="shared" ca="1" si="134"/>
        <v>45404.878290162036</v>
      </c>
      <c r="L2116" s="10">
        <f t="shared" ca="1" si="135"/>
        <v>45404.878290046297</v>
      </c>
    </row>
    <row r="2117" spans="6:12" x14ac:dyDescent="0.25">
      <c r="F2117" s="11" t="str">
        <f>IF(ISBLANK(D2117),"",(VLOOKUP(D2117,Cardápio!$A$2:$B$16,2,0))*E2117)</f>
        <v/>
      </c>
      <c r="H2117" s="7" t="str">
        <f t="shared" si="132"/>
        <v/>
      </c>
      <c r="I2117" s="7" t="str">
        <f>IF(AND(ISBLANK(D2117),ISBLANK(C2117)),"",((VLOOKUP(D2117,Cardápio!$A$2:$C$16,3,0))*E2117)+IF(B2117="iFood",F2117*0.27,(VLOOKUP(VENDAS!C2117,Bairros!$A$2:$B$90,2,0))))</f>
        <v/>
      </c>
      <c r="J2117" s="7" t="str">
        <f t="shared" si="133"/>
        <v/>
      </c>
      <c r="K2117" s="9">
        <f t="shared" ca="1" si="134"/>
        <v>45404.878290162036</v>
      </c>
      <c r="L2117" s="10">
        <f t="shared" ca="1" si="135"/>
        <v>45404.878290046297</v>
      </c>
    </row>
    <row r="2118" spans="6:12" x14ac:dyDescent="0.25">
      <c r="F2118" s="11" t="str">
        <f>IF(ISBLANK(D2118),"",(VLOOKUP(D2118,Cardápio!$A$2:$B$16,2,0))*E2118)</f>
        <v/>
      </c>
      <c r="H2118" s="7" t="str">
        <f t="shared" si="132"/>
        <v/>
      </c>
      <c r="I2118" s="7" t="str">
        <f>IF(AND(ISBLANK(D2118),ISBLANK(C2118)),"",((VLOOKUP(D2118,Cardápio!$A$2:$C$16,3,0))*E2118)+IF(B2118="iFood",F2118*0.27,(VLOOKUP(VENDAS!C2118,Bairros!$A$2:$B$90,2,0))))</f>
        <v/>
      </c>
      <c r="J2118" s="7" t="str">
        <f t="shared" si="133"/>
        <v/>
      </c>
      <c r="K2118" s="9">
        <f t="shared" ca="1" si="134"/>
        <v>45404.878290162036</v>
      </c>
      <c r="L2118" s="10">
        <f t="shared" ca="1" si="135"/>
        <v>45404.878290046297</v>
      </c>
    </row>
    <row r="2119" spans="6:12" x14ac:dyDescent="0.25">
      <c r="F2119" s="11" t="str">
        <f>IF(ISBLANK(D2119),"",(VLOOKUP(D2119,Cardápio!$A$2:$B$16,2,0))*E2119)</f>
        <v/>
      </c>
      <c r="H2119" s="7" t="str">
        <f t="shared" si="132"/>
        <v/>
      </c>
      <c r="I2119" s="7" t="str">
        <f>IF(AND(ISBLANK(D2119),ISBLANK(C2119)),"",((VLOOKUP(D2119,Cardápio!$A$2:$C$16,3,0))*E2119)+IF(B2119="iFood",F2119*0.27,(VLOOKUP(VENDAS!C2119,Bairros!$A$2:$B$90,2,0))))</f>
        <v/>
      </c>
      <c r="J2119" s="7" t="str">
        <f t="shared" si="133"/>
        <v/>
      </c>
      <c r="K2119" s="9">
        <f t="shared" ca="1" si="134"/>
        <v>45404.878290162036</v>
      </c>
      <c r="L2119" s="10">
        <f t="shared" ca="1" si="135"/>
        <v>45404.878290046297</v>
      </c>
    </row>
    <row r="2120" spans="6:12" x14ac:dyDescent="0.25">
      <c r="F2120" s="11" t="str">
        <f>IF(ISBLANK(D2120),"",(VLOOKUP(D2120,Cardápio!$A$2:$B$16,2,0))*E2120)</f>
        <v/>
      </c>
      <c r="H2120" s="7" t="str">
        <f t="shared" si="132"/>
        <v/>
      </c>
      <c r="I2120" s="7" t="str">
        <f>IF(AND(ISBLANK(D2120),ISBLANK(C2120)),"",((VLOOKUP(D2120,Cardápio!$A$2:$C$16,3,0))*E2120)+IF(B2120="iFood",F2120*0.27,(VLOOKUP(VENDAS!C2120,Bairros!$A$2:$B$90,2,0))))</f>
        <v/>
      </c>
      <c r="J2120" s="7" t="str">
        <f t="shared" si="133"/>
        <v/>
      </c>
      <c r="K2120" s="9">
        <f t="shared" ca="1" si="134"/>
        <v>45404.878290162036</v>
      </c>
      <c r="L2120" s="10">
        <f t="shared" ca="1" si="135"/>
        <v>45404.878290046297</v>
      </c>
    </row>
    <row r="2121" spans="6:12" x14ac:dyDescent="0.25">
      <c r="F2121" s="11" t="str">
        <f>IF(ISBLANK(D2121),"",(VLOOKUP(D2121,Cardápio!$A$2:$B$16,2,0))*E2121)</f>
        <v/>
      </c>
      <c r="H2121" s="7" t="str">
        <f t="shared" si="132"/>
        <v/>
      </c>
      <c r="I2121" s="7" t="str">
        <f>IF(AND(ISBLANK(D2121),ISBLANK(C2121)),"",((VLOOKUP(D2121,Cardápio!$A$2:$C$16,3,0))*E2121)+IF(B2121="iFood",F2121*0.27,(VLOOKUP(VENDAS!C2121,Bairros!$A$2:$B$90,2,0))))</f>
        <v/>
      </c>
      <c r="J2121" s="7" t="str">
        <f t="shared" si="133"/>
        <v/>
      </c>
      <c r="K2121" s="9">
        <f t="shared" ca="1" si="134"/>
        <v>45404.878290162036</v>
      </c>
      <c r="L2121" s="10">
        <f t="shared" ca="1" si="135"/>
        <v>45404.878290046297</v>
      </c>
    </row>
    <row r="2122" spans="6:12" x14ac:dyDescent="0.25">
      <c r="F2122" s="11" t="str">
        <f>IF(ISBLANK(D2122),"",(VLOOKUP(D2122,Cardápio!$A$2:$B$16,2,0))*E2122)</f>
        <v/>
      </c>
      <c r="H2122" s="7" t="str">
        <f t="shared" si="132"/>
        <v/>
      </c>
      <c r="I2122" s="7" t="str">
        <f>IF(AND(ISBLANK(D2122),ISBLANK(C2122)),"",((VLOOKUP(D2122,Cardápio!$A$2:$C$16,3,0))*E2122)+IF(B2122="iFood",F2122*0.27,(VLOOKUP(VENDAS!C2122,Bairros!$A$2:$B$90,2,0))))</f>
        <v/>
      </c>
      <c r="J2122" s="7" t="str">
        <f t="shared" si="133"/>
        <v/>
      </c>
      <c r="K2122" s="9">
        <f t="shared" ca="1" si="134"/>
        <v>45404.878290162036</v>
      </c>
      <c r="L2122" s="10">
        <f t="shared" ca="1" si="135"/>
        <v>45404.878290046297</v>
      </c>
    </row>
    <row r="2123" spans="6:12" x14ac:dyDescent="0.25">
      <c r="F2123" s="11" t="str">
        <f>IF(ISBLANK(D2123),"",(VLOOKUP(D2123,Cardápio!$A$2:$B$16,2,0))*E2123)</f>
        <v/>
      </c>
      <c r="H2123" s="7" t="str">
        <f t="shared" si="132"/>
        <v/>
      </c>
      <c r="I2123" s="7" t="str">
        <f>IF(AND(ISBLANK(D2123),ISBLANK(C2123)),"",((VLOOKUP(D2123,Cardápio!$A$2:$C$16,3,0))*E2123)+IF(B2123="iFood",F2123*0.27,(VLOOKUP(VENDAS!C2123,Bairros!$A$2:$B$90,2,0))))</f>
        <v/>
      </c>
      <c r="J2123" s="7" t="str">
        <f t="shared" si="133"/>
        <v/>
      </c>
      <c r="K2123" s="9">
        <f t="shared" ca="1" si="134"/>
        <v>45404.878290162036</v>
      </c>
      <c r="L2123" s="10">
        <f t="shared" ca="1" si="135"/>
        <v>45404.878290046297</v>
      </c>
    </row>
    <row r="2124" spans="6:12" x14ac:dyDescent="0.25">
      <c r="F2124" s="11" t="str">
        <f>IF(ISBLANK(D2124),"",(VLOOKUP(D2124,Cardápio!$A$2:$B$16,2,0))*E2124)</f>
        <v/>
      </c>
      <c r="H2124" s="7" t="str">
        <f t="shared" si="132"/>
        <v/>
      </c>
      <c r="I2124" s="7" t="str">
        <f>IF(AND(ISBLANK(D2124),ISBLANK(C2124)),"",((VLOOKUP(D2124,Cardápio!$A$2:$C$16,3,0))*E2124)+IF(B2124="iFood",F2124*0.27,(VLOOKUP(VENDAS!C2124,Bairros!$A$2:$B$90,2,0))))</f>
        <v/>
      </c>
      <c r="J2124" s="7" t="str">
        <f t="shared" si="133"/>
        <v/>
      </c>
      <c r="K2124" s="9">
        <f t="shared" ca="1" si="134"/>
        <v>45404.878290162036</v>
      </c>
      <c r="L2124" s="10">
        <f t="shared" ca="1" si="135"/>
        <v>45404.878290046297</v>
      </c>
    </row>
    <row r="2125" spans="6:12" x14ac:dyDescent="0.25">
      <c r="F2125" s="11" t="str">
        <f>IF(ISBLANK(D2125),"",(VLOOKUP(D2125,Cardápio!$A$2:$B$16,2,0))*E2125)</f>
        <v/>
      </c>
      <c r="H2125" s="7" t="str">
        <f t="shared" si="132"/>
        <v/>
      </c>
      <c r="I2125" s="7" t="str">
        <f>IF(AND(ISBLANK(D2125),ISBLANK(C2125)),"",((VLOOKUP(D2125,Cardápio!$A$2:$C$16,3,0))*E2125)+IF(B2125="iFood",F2125*0.27,(VLOOKUP(VENDAS!C2125,Bairros!$A$2:$B$90,2,0))))</f>
        <v/>
      </c>
      <c r="J2125" s="7" t="str">
        <f t="shared" si="133"/>
        <v/>
      </c>
      <c r="K2125" s="9">
        <f t="shared" ca="1" si="134"/>
        <v>45404.878290162036</v>
      </c>
      <c r="L2125" s="10">
        <f t="shared" ca="1" si="135"/>
        <v>45404.878290046297</v>
      </c>
    </row>
    <row r="2126" spans="6:12" x14ac:dyDescent="0.25">
      <c r="F2126" s="11" t="str">
        <f>IF(ISBLANK(D2126),"",(VLOOKUP(D2126,Cardápio!$A$2:$B$16,2,0))*E2126)</f>
        <v/>
      </c>
      <c r="H2126" s="7" t="str">
        <f t="shared" si="132"/>
        <v/>
      </c>
      <c r="I2126" s="7" t="str">
        <f>IF(AND(ISBLANK(D2126),ISBLANK(C2126)),"",((VLOOKUP(D2126,Cardápio!$A$2:$C$16,3,0))*E2126)+IF(B2126="iFood",F2126*0.27,(VLOOKUP(VENDAS!C2126,Bairros!$A$2:$B$90,2,0))))</f>
        <v/>
      </c>
      <c r="J2126" s="7" t="str">
        <f t="shared" si="133"/>
        <v/>
      </c>
      <c r="K2126" s="9">
        <f t="shared" ca="1" si="134"/>
        <v>45404.878290162036</v>
      </c>
      <c r="L2126" s="10">
        <f t="shared" ca="1" si="135"/>
        <v>45404.878290046297</v>
      </c>
    </row>
    <row r="2127" spans="6:12" x14ac:dyDescent="0.25">
      <c r="F2127" s="11" t="str">
        <f>IF(ISBLANK(D2127),"",(VLOOKUP(D2127,Cardápio!$A$2:$B$16,2,0))*E2127)</f>
        <v/>
      </c>
      <c r="H2127" s="7" t="str">
        <f t="shared" si="132"/>
        <v/>
      </c>
      <c r="I2127" s="7" t="str">
        <f>IF(AND(ISBLANK(D2127),ISBLANK(C2127)),"",((VLOOKUP(D2127,Cardápio!$A$2:$C$16,3,0))*E2127)+IF(B2127="iFood",F2127*0.27,(VLOOKUP(VENDAS!C2127,Bairros!$A$2:$B$90,2,0))))</f>
        <v/>
      </c>
      <c r="J2127" s="7" t="str">
        <f t="shared" si="133"/>
        <v/>
      </c>
      <c r="K2127" s="9">
        <f t="shared" ca="1" si="134"/>
        <v>45404.878290162036</v>
      </c>
      <c r="L2127" s="10">
        <f t="shared" ca="1" si="135"/>
        <v>45404.878290046297</v>
      </c>
    </row>
    <row r="2128" spans="6:12" x14ac:dyDescent="0.25">
      <c r="F2128" s="11" t="str">
        <f>IF(ISBLANK(D2128),"",(VLOOKUP(D2128,Cardápio!$A$2:$B$16,2,0))*E2128)</f>
        <v/>
      </c>
      <c r="H2128" s="7" t="str">
        <f t="shared" si="132"/>
        <v/>
      </c>
      <c r="I2128" s="7" t="str">
        <f>IF(AND(ISBLANK(D2128),ISBLANK(C2128)),"",((VLOOKUP(D2128,Cardápio!$A$2:$C$16,3,0))*E2128)+IF(B2128="iFood",F2128*0.27,(VLOOKUP(VENDAS!C2128,Bairros!$A$2:$B$90,2,0))))</f>
        <v/>
      </c>
      <c r="J2128" s="7" t="str">
        <f t="shared" si="133"/>
        <v/>
      </c>
      <c r="K2128" s="9">
        <f t="shared" ca="1" si="134"/>
        <v>45404.878290162036</v>
      </c>
      <c r="L2128" s="10">
        <f t="shared" ca="1" si="135"/>
        <v>45404.878290046297</v>
      </c>
    </row>
    <row r="2129" spans="6:12" x14ac:dyDescent="0.25">
      <c r="F2129" s="11" t="str">
        <f>IF(ISBLANK(D2129),"",(VLOOKUP(D2129,Cardápio!$A$2:$B$16,2,0))*E2129)</f>
        <v/>
      </c>
      <c r="H2129" s="7" t="str">
        <f t="shared" si="132"/>
        <v/>
      </c>
      <c r="I2129" s="7" t="str">
        <f>IF(AND(ISBLANK(D2129),ISBLANK(C2129)),"",((VLOOKUP(D2129,Cardápio!$A$2:$C$16,3,0))*E2129)+IF(B2129="iFood",F2129*0.27,(VLOOKUP(VENDAS!C2129,Bairros!$A$2:$B$90,2,0))))</f>
        <v/>
      </c>
      <c r="J2129" s="7" t="str">
        <f t="shared" si="133"/>
        <v/>
      </c>
      <c r="K2129" s="9">
        <f t="shared" ca="1" si="134"/>
        <v>45404.878290162036</v>
      </c>
      <c r="L2129" s="10">
        <f t="shared" ca="1" si="135"/>
        <v>45404.878290046297</v>
      </c>
    </row>
    <row r="2130" spans="6:12" x14ac:dyDescent="0.25">
      <c r="F2130" s="11" t="str">
        <f>IF(ISBLANK(D2130),"",(VLOOKUP(D2130,Cardápio!$A$2:$B$16,2,0))*E2130)</f>
        <v/>
      </c>
      <c r="H2130" s="7" t="str">
        <f t="shared" si="132"/>
        <v/>
      </c>
      <c r="I2130" s="7" t="str">
        <f>IF(AND(ISBLANK(D2130),ISBLANK(C2130)),"",((VLOOKUP(D2130,Cardápio!$A$2:$C$16,3,0))*E2130)+IF(B2130="iFood",F2130*0.27,(VLOOKUP(VENDAS!C2130,Bairros!$A$2:$B$90,2,0))))</f>
        <v/>
      </c>
      <c r="J2130" s="7" t="str">
        <f t="shared" si="133"/>
        <v/>
      </c>
      <c r="K2130" s="9">
        <f t="shared" ca="1" si="134"/>
        <v>45404.878290162036</v>
      </c>
      <c r="L2130" s="10">
        <f t="shared" ca="1" si="135"/>
        <v>45404.878290046297</v>
      </c>
    </row>
    <row r="2131" spans="6:12" x14ac:dyDescent="0.25">
      <c r="F2131" s="11" t="str">
        <f>IF(ISBLANK(D2131),"",(VLOOKUP(D2131,Cardápio!$A$2:$B$16,2,0))*E2131)</f>
        <v/>
      </c>
      <c r="H2131" s="7" t="str">
        <f t="shared" si="132"/>
        <v/>
      </c>
      <c r="I2131" s="7" t="str">
        <f>IF(AND(ISBLANK(D2131),ISBLANK(C2131)),"",((VLOOKUP(D2131,Cardápio!$A$2:$C$16,3,0))*E2131)+IF(B2131="iFood",F2131*0.27,(VLOOKUP(VENDAS!C2131,Bairros!$A$2:$B$90,2,0))))</f>
        <v/>
      </c>
      <c r="J2131" s="7" t="str">
        <f t="shared" si="133"/>
        <v/>
      </c>
      <c r="K2131" s="9">
        <f t="shared" ca="1" si="134"/>
        <v>45404.878290162036</v>
      </c>
      <c r="L2131" s="10">
        <f t="shared" ca="1" si="135"/>
        <v>45404.878290046297</v>
      </c>
    </row>
    <row r="2132" spans="6:12" x14ac:dyDescent="0.25">
      <c r="F2132" s="11" t="str">
        <f>IF(ISBLANK(D2132),"",(VLOOKUP(D2132,Cardápio!$A$2:$B$16,2,0))*E2132)</f>
        <v/>
      </c>
      <c r="H2132" s="7" t="str">
        <f t="shared" si="132"/>
        <v/>
      </c>
      <c r="I2132" s="7" t="str">
        <f>IF(AND(ISBLANK(D2132),ISBLANK(C2132)),"",((VLOOKUP(D2132,Cardápio!$A$2:$C$16,3,0))*E2132)+IF(B2132="iFood",F2132*0.27,(VLOOKUP(VENDAS!C2132,Bairros!$A$2:$B$90,2,0))))</f>
        <v/>
      </c>
      <c r="J2132" s="7" t="str">
        <f t="shared" si="133"/>
        <v/>
      </c>
      <c r="K2132" s="9">
        <f t="shared" ca="1" si="134"/>
        <v>45404.878290162036</v>
      </c>
      <c r="L2132" s="10">
        <f t="shared" ca="1" si="135"/>
        <v>45404.878290046297</v>
      </c>
    </row>
    <row r="2133" spans="6:12" x14ac:dyDescent="0.25">
      <c r="F2133" s="11" t="str">
        <f>IF(ISBLANK(D2133),"",(VLOOKUP(D2133,Cardápio!$A$2:$B$16,2,0))*E2133)</f>
        <v/>
      </c>
      <c r="H2133" s="7" t="str">
        <f t="shared" si="132"/>
        <v/>
      </c>
      <c r="I2133" s="7" t="str">
        <f>IF(AND(ISBLANK(D2133),ISBLANK(C2133)),"",((VLOOKUP(D2133,Cardápio!$A$2:$C$16,3,0))*E2133)+IF(B2133="iFood",F2133*0.27,(VLOOKUP(VENDAS!C2133,Bairros!$A$2:$B$90,2,0))))</f>
        <v/>
      </c>
      <c r="J2133" s="7" t="str">
        <f t="shared" si="133"/>
        <v/>
      </c>
      <c r="K2133" s="9">
        <f t="shared" ca="1" si="134"/>
        <v>45404.878290162036</v>
      </c>
      <c r="L2133" s="10">
        <f t="shared" ca="1" si="135"/>
        <v>45404.878290046297</v>
      </c>
    </row>
    <row r="2134" spans="6:12" x14ac:dyDescent="0.25">
      <c r="F2134" s="11" t="str">
        <f>IF(ISBLANK(D2134),"",(VLOOKUP(D2134,Cardápio!$A$2:$B$16,2,0))*E2134)</f>
        <v/>
      </c>
      <c r="H2134" s="7" t="str">
        <f t="shared" si="132"/>
        <v/>
      </c>
      <c r="I2134" s="7" t="str">
        <f>IF(AND(ISBLANK(D2134),ISBLANK(C2134)),"",((VLOOKUP(D2134,Cardápio!$A$2:$C$16,3,0))*E2134)+IF(B2134="iFood",F2134*0.27,(VLOOKUP(VENDAS!C2134,Bairros!$A$2:$B$90,2,0))))</f>
        <v/>
      </c>
      <c r="J2134" s="7" t="str">
        <f t="shared" si="133"/>
        <v/>
      </c>
      <c r="K2134" s="9">
        <f t="shared" ca="1" si="134"/>
        <v>45404.878290162036</v>
      </c>
      <c r="L2134" s="10">
        <f t="shared" ca="1" si="135"/>
        <v>45404.878290046297</v>
      </c>
    </row>
    <row r="2135" spans="6:12" x14ac:dyDescent="0.25">
      <c r="F2135" s="11" t="str">
        <f>IF(ISBLANK(D2135),"",(VLOOKUP(D2135,Cardápio!$A$2:$B$16,2,0))*E2135)</f>
        <v/>
      </c>
      <c r="H2135" s="7" t="str">
        <f t="shared" si="132"/>
        <v/>
      </c>
      <c r="I2135" s="7" t="str">
        <f>IF(AND(ISBLANK(D2135),ISBLANK(C2135)),"",((VLOOKUP(D2135,Cardápio!$A$2:$C$16,3,0))*E2135)+IF(B2135="iFood",F2135*0.27,(VLOOKUP(VENDAS!C2135,Bairros!$A$2:$B$90,2,0))))</f>
        <v/>
      </c>
      <c r="J2135" s="7" t="str">
        <f t="shared" si="133"/>
        <v/>
      </c>
      <c r="K2135" s="9">
        <f t="shared" ca="1" si="134"/>
        <v>45404.878290162036</v>
      </c>
      <c r="L2135" s="10">
        <f t="shared" ca="1" si="135"/>
        <v>45404.878290046297</v>
      </c>
    </row>
    <row r="2136" spans="6:12" x14ac:dyDescent="0.25">
      <c r="F2136" s="11" t="str">
        <f>IF(ISBLANK(D2136),"",(VLOOKUP(D2136,Cardápio!$A$2:$B$16,2,0))*E2136)</f>
        <v/>
      </c>
      <c r="H2136" s="7" t="str">
        <f t="shared" si="132"/>
        <v/>
      </c>
      <c r="I2136" s="7" t="str">
        <f>IF(AND(ISBLANK(D2136),ISBLANK(C2136)),"",((VLOOKUP(D2136,Cardápio!$A$2:$C$16,3,0))*E2136)+IF(B2136="iFood",F2136*0.27,(VLOOKUP(VENDAS!C2136,Bairros!$A$2:$B$90,2,0))))</f>
        <v/>
      </c>
      <c r="J2136" s="7" t="str">
        <f t="shared" si="133"/>
        <v/>
      </c>
      <c r="K2136" s="9">
        <f t="shared" ca="1" si="134"/>
        <v>45404.878290162036</v>
      </c>
      <c r="L2136" s="10">
        <f t="shared" ca="1" si="135"/>
        <v>45404.878290046297</v>
      </c>
    </row>
    <row r="2137" spans="6:12" x14ac:dyDescent="0.25">
      <c r="F2137" s="11" t="str">
        <f>IF(ISBLANK(D2137),"",(VLOOKUP(D2137,Cardápio!$A$2:$B$16,2,0))*E2137)</f>
        <v/>
      </c>
      <c r="H2137" s="7" t="str">
        <f t="shared" si="132"/>
        <v/>
      </c>
      <c r="I2137" s="7" t="str">
        <f>IF(AND(ISBLANK(D2137),ISBLANK(C2137)),"",((VLOOKUP(D2137,Cardápio!$A$2:$C$16,3,0))*E2137)+IF(B2137="iFood",F2137*0.27,(VLOOKUP(VENDAS!C2137,Bairros!$A$2:$B$90,2,0))))</f>
        <v/>
      </c>
      <c r="J2137" s="7" t="str">
        <f t="shared" si="133"/>
        <v/>
      </c>
      <c r="K2137" s="9">
        <f t="shared" ca="1" si="134"/>
        <v>45404.878290162036</v>
      </c>
      <c r="L2137" s="10">
        <f t="shared" ca="1" si="135"/>
        <v>45404.878290046297</v>
      </c>
    </row>
    <row r="2138" spans="6:12" x14ac:dyDescent="0.25">
      <c r="F2138" s="11" t="str">
        <f>IF(ISBLANK(D2138),"",(VLOOKUP(D2138,Cardápio!$A$2:$B$16,2,0))*E2138)</f>
        <v/>
      </c>
      <c r="H2138" s="7" t="str">
        <f t="shared" si="132"/>
        <v/>
      </c>
      <c r="I2138" s="7" t="str">
        <f>IF(AND(ISBLANK(D2138),ISBLANK(C2138)),"",((VLOOKUP(D2138,Cardápio!$A$2:$C$16,3,0))*E2138)+IF(B2138="iFood",F2138*0.27,(VLOOKUP(VENDAS!C2138,Bairros!$A$2:$B$90,2,0))))</f>
        <v/>
      </c>
      <c r="J2138" s="7" t="str">
        <f t="shared" si="133"/>
        <v/>
      </c>
      <c r="K2138" s="9">
        <f t="shared" ca="1" si="134"/>
        <v>45404.878290162036</v>
      </c>
      <c r="L2138" s="10">
        <f t="shared" ca="1" si="135"/>
        <v>45404.878290046297</v>
      </c>
    </row>
    <row r="2139" spans="6:12" x14ac:dyDescent="0.25">
      <c r="F2139" s="11" t="str">
        <f>IF(ISBLANK(D2139),"",(VLOOKUP(D2139,Cardápio!$A$2:$B$16,2,0))*E2139)</f>
        <v/>
      </c>
      <c r="H2139" s="7" t="str">
        <f t="shared" si="132"/>
        <v/>
      </c>
      <c r="I2139" s="7" t="str">
        <f>IF(AND(ISBLANK(D2139),ISBLANK(C2139)),"",((VLOOKUP(D2139,Cardápio!$A$2:$C$16,3,0))*E2139)+IF(B2139="iFood",F2139*0.27,(VLOOKUP(VENDAS!C2139,Bairros!$A$2:$B$90,2,0))))</f>
        <v/>
      </c>
      <c r="J2139" s="7" t="str">
        <f t="shared" si="133"/>
        <v/>
      </c>
      <c r="K2139" s="9">
        <f t="shared" ca="1" si="134"/>
        <v>45404.878290162036</v>
      </c>
      <c r="L2139" s="10">
        <f t="shared" ca="1" si="135"/>
        <v>45404.878290046297</v>
      </c>
    </row>
    <row r="2140" spans="6:12" x14ac:dyDescent="0.25">
      <c r="F2140" s="11" t="str">
        <f>IF(ISBLANK(D2140),"",(VLOOKUP(D2140,Cardápio!$A$2:$B$16,2,0))*E2140)</f>
        <v/>
      </c>
      <c r="H2140" s="7" t="str">
        <f t="shared" si="132"/>
        <v/>
      </c>
      <c r="I2140" s="7" t="str">
        <f>IF(AND(ISBLANK(D2140),ISBLANK(C2140)),"",((VLOOKUP(D2140,Cardápio!$A$2:$C$16,3,0))*E2140)+IF(B2140="iFood",F2140*0.27,(VLOOKUP(VENDAS!C2140,Bairros!$A$2:$B$90,2,0))))</f>
        <v/>
      </c>
      <c r="J2140" s="7" t="str">
        <f t="shared" si="133"/>
        <v/>
      </c>
      <c r="K2140" s="9">
        <f t="shared" ca="1" si="134"/>
        <v>45404.878290162036</v>
      </c>
      <c r="L2140" s="10">
        <f t="shared" ca="1" si="135"/>
        <v>45404.878290046297</v>
      </c>
    </row>
    <row r="2141" spans="6:12" x14ac:dyDescent="0.25">
      <c r="F2141" s="11" t="str">
        <f>IF(ISBLANK(D2141),"",(VLOOKUP(D2141,Cardápio!$A$2:$B$16,2,0))*E2141)</f>
        <v/>
      </c>
      <c r="H2141" s="7" t="str">
        <f t="shared" si="132"/>
        <v/>
      </c>
      <c r="I2141" s="7" t="str">
        <f>IF(AND(ISBLANK(D2141),ISBLANK(C2141)),"",((VLOOKUP(D2141,Cardápio!$A$2:$C$16,3,0))*E2141)+IF(B2141="iFood",F2141*0.27,(VLOOKUP(VENDAS!C2141,Bairros!$A$2:$B$90,2,0))))</f>
        <v/>
      </c>
      <c r="J2141" s="7" t="str">
        <f t="shared" si="133"/>
        <v/>
      </c>
      <c r="K2141" s="9">
        <f t="shared" ca="1" si="134"/>
        <v>45404.878290162036</v>
      </c>
      <c r="L2141" s="10">
        <f t="shared" ca="1" si="135"/>
        <v>45404.878290046297</v>
      </c>
    </row>
    <row r="2142" spans="6:12" x14ac:dyDescent="0.25">
      <c r="F2142" s="11" t="str">
        <f>IF(ISBLANK(D2142),"",(VLOOKUP(D2142,Cardápio!$A$2:$B$16,2,0))*E2142)</f>
        <v/>
      </c>
      <c r="H2142" s="7" t="str">
        <f t="shared" si="132"/>
        <v/>
      </c>
      <c r="I2142" s="7" t="str">
        <f>IF(AND(ISBLANK(D2142),ISBLANK(C2142)),"",((VLOOKUP(D2142,Cardápio!$A$2:$C$16,3,0))*E2142)+IF(B2142="iFood",F2142*0.27,(VLOOKUP(VENDAS!C2142,Bairros!$A$2:$B$90,2,0))))</f>
        <v/>
      </c>
      <c r="J2142" s="7" t="str">
        <f t="shared" si="133"/>
        <v/>
      </c>
      <c r="K2142" s="9">
        <f t="shared" ca="1" si="134"/>
        <v>45404.878290162036</v>
      </c>
      <c r="L2142" s="10">
        <f t="shared" ca="1" si="135"/>
        <v>45404.878290046297</v>
      </c>
    </row>
    <row r="2143" spans="6:12" x14ac:dyDescent="0.25">
      <c r="F2143" s="11" t="str">
        <f>IF(ISBLANK(D2143),"",(VLOOKUP(D2143,Cardápio!$A$2:$B$16,2,0))*E2143)</f>
        <v/>
      </c>
      <c r="H2143" s="7" t="str">
        <f t="shared" si="132"/>
        <v/>
      </c>
      <c r="I2143" s="7" t="str">
        <f>IF(AND(ISBLANK(D2143),ISBLANK(C2143)),"",((VLOOKUP(D2143,Cardápio!$A$2:$C$16,3,0))*E2143)+IF(B2143="iFood",F2143*0.27,(VLOOKUP(VENDAS!C2143,Bairros!$A$2:$B$90,2,0))))</f>
        <v/>
      </c>
      <c r="J2143" s="7" t="str">
        <f t="shared" si="133"/>
        <v/>
      </c>
      <c r="K2143" s="9">
        <f t="shared" ca="1" si="134"/>
        <v>45404.878290162036</v>
      </c>
      <c r="L2143" s="10">
        <f t="shared" ca="1" si="135"/>
        <v>45404.878290046297</v>
      </c>
    </row>
    <row r="2144" spans="6:12" x14ac:dyDescent="0.25">
      <c r="F2144" s="11" t="str">
        <f>IF(ISBLANK(D2144),"",(VLOOKUP(D2144,Cardápio!$A$2:$B$16,2,0))*E2144)</f>
        <v/>
      </c>
      <c r="H2144" s="7" t="str">
        <f t="shared" si="132"/>
        <v/>
      </c>
      <c r="I2144" s="7" t="str">
        <f>IF(AND(ISBLANK(D2144),ISBLANK(C2144)),"",((VLOOKUP(D2144,Cardápio!$A$2:$C$16,3,0))*E2144)+IF(B2144="iFood",F2144*0.27,(VLOOKUP(VENDAS!C2144,Bairros!$A$2:$B$90,2,0))))</f>
        <v/>
      </c>
      <c r="J2144" s="7" t="str">
        <f t="shared" si="133"/>
        <v/>
      </c>
      <c r="K2144" s="9">
        <f t="shared" ca="1" si="134"/>
        <v>45404.878290162036</v>
      </c>
      <c r="L2144" s="10">
        <f t="shared" ca="1" si="135"/>
        <v>45404.878290046297</v>
      </c>
    </row>
    <row r="2145" spans="6:12" x14ac:dyDescent="0.25">
      <c r="F2145" s="11" t="str">
        <f>IF(ISBLANK(D2145),"",(VLOOKUP(D2145,Cardápio!$A$2:$B$16,2,0))*E2145)</f>
        <v/>
      </c>
      <c r="H2145" s="7" t="str">
        <f t="shared" si="132"/>
        <v/>
      </c>
      <c r="I2145" s="7" t="str">
        <f>IF(AND(ISBLANK(D2145),ISBLANK(C2145)),"",((VLOOKUP(D2145,Cardápio!$A$2:$C$16,3,0))*E2145)+IF(B2145="iFood",F2145*0.27,(VLOOKUP(VENDAS!C2145,Bairros!$A$2:$B$90,2,0))))</f>
        <v/>
      </c>
      <c r="J2145" s="7" t="str">
        <f t="shared" si="133"/>
        <v/>
      </c>
      <c r="K2145" s="9">
        <f t="shared" ca="1" si="134"/>
        <v>45404.878290162036</v>
      </c>
      <c r="L2145" s="10">
        <f t="shared" ca="1" si="135"/>
        <v>45404.878290046297</v>
      </c>
    </row>
    <row r="2146" spans="6:12" x14ac:dyDescent="0.25">
      <c r="F2146" s="11" t="str">
        <f>IF(ISBLANK(D2146),"",(VLOOKUP(D2146,Cardápio!$A$2:$B$16,2,0))*E2146)</f>
        <v/>
      </c>
      <c r="H2146" s="7" t="str">
        <f t="shared" si="132"/>
        <v/>
      </c>
      <c r="I2146" s="7" t="str">
        <f>IF(AND(ISBLANK(D2146),ISBLANK(C2146)),"",((VLOOKUP(D2146,Cardápio!$A$2:$C$16,3,0))*E2146)+IF(B2146="iFood",F2146*0.27,(VLOOKUP(VENDAS!C2146,Bairros!$A$2:$B$90,2,0))))</f>
        <v/>
      </c>
      <c r="J2146" s="7" t="str">
        <f t="shared" si="133"/>
        <v/>
      </c>
      <c r="K2146" s="9">
        <f t="shared" ca="1" si="134"/>
        <v>45404.878290162036</v>
      </c>
      <c r="L2146" s="10">
        <f t="shared" ca="1" si="135"/>
        <v>45404.878290046297</v>
      </c>
    </row>
    <row r="2147" spans="6:12" x14ac:dyDescent="0.25">
      <c r="F2147" s="11" t="str">
        <f>IF(ISBLANK(D2147),"",(VLOOKUP(D2147,Cardápio!$A$2:$B$16,2,0))*E2147)</f>
        <v/>
      </c>
      <c r="H2147" s="7" t="str">
        <f t="shared" si="132"/>
        <v/>
      </c>
      <c r="I2147" s="7" t="str">
        <f>IF(AND(ISBLANK(D2147),ISBLANK(C2147)),"",((VLOOKUP(D2147,Cardápio!$A$2:$C$16,3,0))*E2147)+IF(B2147="iFood",F2147*0.27,(VLOOKUP(VENDAS!C2147,Bairros!$A$2:$B$90,2,0))))</f>
        <v/>
      </c>
      <c r="J2147" s="7" t="str">
        <f t="shared" si="133"/>
        <v/>
      </c>
      <c r="K2147" s="9">
        <f t="shared" ca="1" si="134"/>
        <v>45404.878290162036</v>
      </c>
      <c r="L2147" s="10">
        <f t="shared" ca="1" si="135"/>
        <v>45404.878290046297</v>
      </c>
    </row>
    <row r="2148" spans="6:12" x14ac:dyDescent="0.25">
      <c r="F2148" s="11" t="str">
        <f>IF(ISBLANK(D2148),"",(VLOOKUP(D2148,Cardápio!$A$2:$B$16,2,0))*E2148)</f>
        <v/>
      </c>
      <c r="H2148" s="7" t="str">
        <f t="shared" si="132"/>
        <v/>
      </c>
      <c r="I2148" s="7" t="str">
        <f>IF(AND(ISBLANK(D2148),ISBLANK(C2148)),"",((VLOOKUP(D2148,Cardápio!$A$2:$C$16,3,0))*E2148)+IF(B2148="iFood",F2148*0.27,(VLOOKUP(VENDAS!C2148,Bairros!$A$2:$B$90,2,0))))</f>
        <v/>
      </c>
      <c r="J2148" s="7" t="str">
        <f t="shared" si="133"/>
        <v/>
      </c>
      <c r="K2148" s="9">
        <f t="shared" ca="1" si="134"/>
        <v>45404.878290162036</v>
      </c>
      <c r="L2148" s="10">
        <f t="shared" ca="1" si="135"/>
        <v>45404.878290046297</v>
      </c>
    </row>
    <row r="2149" spans="6:12" x14ac:dyDescent="0.25">
      <c r="F2149" s="11" t="str">
        <f>IF(ISBLANK(D2149),"",(VLOOKUP(D2149,Cardápio!$A$2:$B$16,2,0))*E2149)</f>
        <v/>
      </c>
      <c r="H2149" s="7" t="str">
        <f t="shared" si="132"/>
        <v/>
      </c>
      <c r="I2149" s="7" t="str">
        <f>IF(AND(ISBLANK(D2149),ISBLANK(C2149)),"",((VLOOKUP(D2149,Cardápio!$A$2:$C$16,3,0))*E2149)+IF(B2149="iFood",F2149*0.27,(VLOOKUP(VENDAS!C2149,Bairros!$A$2:$B$90,2,0))))</f>
        <v/>
      </c>
      <c r="J2149" s="7" t="str">
        <f t="shared" si="133"/>
        <v/>
      </c>
      <c r="K2149" s="9">
        <f t="shared" ca="1" si="134"/>
        <v>45404.878290162036</v>
      </c>
      <c r="L2149" s="10">
        <f t="shared" ca="1" si="135"/>
        <v>45404.878290046297</v>
      </c>
    </row>
    <row r="2150" spans="6:12" x14ac:dyDescent="0.25">
      <c r="F2150" s="11" t="str">
        <f>IF(ISBLANK(D2150),"",(VLOOKUP(D2150,Cardápio!$A$2:$B$16,2,0))*E2150)</f>
        <v/>
      </c>
      <c r="H2150" s="7" t="str">
        <f t="shared" si="132"/>
        <v/>
      </c>
      <c r="I2150" s="7" t="str">
        <f>IF(AND(ISBLANK(D2150),ISBLANK(C2150)),"",((VLOOKUP(D2150,Cardápio!$A$2:$C$16,3,0))*E2150)+IF(B2150="iFood",F2150*0.27,(VLOOKUP(VENDAS!C2150,Bairros!$A$2:$B$90,2,0))))</f>
        <v/>
      </c>
      <c r="J2150" s="7" t="str">
        <f t="shared" si="133"/>
        <v/>
      </c>
      <c r="K2150" s="9">
        <f t="shared" ca="1" si="134"/>
        <v>45404.878290162036</v>
      </c>
      <c r="L2150" s="10">
        <f t="shared" ca="1" si="135"/>
        <v>45404.878290046297</v>
      </c>
    </row>
    <row r="2151" spans="6:12" x14ac:dyDescent="0.25">
      <c r="F2151" s="11" t="str">
        <f>IF(ISBLANK(D2151),"",(VLOOKUP(D2151,Cardápio!$A$2:$B$16,2,0))*E2151)</f>
        <v/>
      </c>
      <c r="H2151" s="7" t="str">
        <f t="shared" si="132"/>
        <v/>
      </c>
      <c r="I2151" s="7" t="str">
        <f>IF(AND(ISBLANK(D2151),ISBLANK(C2151)),"",((VLOOKUP(D2151,Cardápio!$A$2:$C$16,3,0))*E2151)+IF(B2151="iFood",F2151*0.27,(VLOOKUP(VENDAS!C2151,Bairros!$A$2:$B$90,2,0))))</f>
        <v/>
      </c>
      <c r="J2151" s="7" t="str">
        <f t="shared" si="133"/>
        <v/>
      </c>
      <c r="K2151" s="9">
        <f t="shared" ca="1" si="134"/>
        <v>45404.878290162036</v>
      </c>
      <c r="L2151" s="10">
        <f t="shared" ca="1" si="135"/>
        <v>45404.878290046297</v>
      </c>
    </row>
    <row r="2152" spans="6:12" x14ac:dyDescent="0.25">
      <c r="F2152" s="11" t="str">
        <f>IF(ISBLANK(D2152),"",(VLOOKUP(D2152,Cardápio!$A$2:$B$16,2,0))*E2152)</f>
        <v/>
      </c>
      <c r="H2152" s="7" t="str">
        <f t="shared" si="132"/>
        <v/>
      </c>
      <c r="I2152" s="7" t="str">
        <f>IF(AND(ISBLANK(D2152),ISBLANK(C2152)),"",((VLOOKUP(D2152,Cardápio!$A$2:$C$16,3,0))*E2152)+IF(B2152="iFood",F2152*0.27,(VLOOKUP(VENDAS!C2152,Bairros!$A$2:$B$90,2,0))))</f>
        <v/>
      </c>
      <c r="J2152" s="7" t="str">
        <f t="shared" si="133"/>
        <v/>
      </c>
      <c r="K2152" s="9">
        <f t="shared" ca="1" si="134"/>
        <v>45404.878290162036</v>
      </c>
      <c r="L2152" s="10">
        <f t="shared" ca="1" si="135"/>
        <v>45404.878290046297</v>
      </c>
    </row>
    <row r="2153" spans="6:12" x14ac:dyDescent="0.25">
      <c r="F2153" s="11" t="str">
        <f>IF(ISBLANK(D2153),"",(VLOOKUP(D2153,Cardápio!$A$2:$B$16,2,0))*E2153)</f>
        <v/>
      </c>
      <c r="H2153" s="7" t="str">
        <f t="shared" si="132"/>
        <v/>
      </c>
      <c r="I2153" s="7" t="str">
        <f>IF(AND(ISBLANK(D2153),ISBLANK(C2153)),"",((VLOOKUP(D2153,Cardápio!$A$2:$C$16,3,0))*E2153)+IF(B2153="iFood",F2153*0.27,(VLOOKUP(VENDAS!C2153,Bairros!$A$2:$B$90,2,0))))</f>
        <v/>
      </c>
      <c r="J2153" s="7" t="str">
        <f t="shared" si="133"/>
        <v/>
      </c>
      <c r="K2153" s="9">
        <f t="shared" ca="1" si="134"/>
        <v>45404.878290162036</v>
      </c>
      <c r="L2153" s="10">
        <f t="shared" ca="1" si="135"/>
        <v>45404.878290046297</v>
      </c>
    </row>
    <row r="2154" spans="6:12" x14ac:dyDescent="0.25">
      <c r="F2154" s="11" t="str">
        <f>IF(ISBLANK(D2154),"",(VLOOKUP(D2154,Cardápio!$A$2:$B$16,2,0))*E2154)</f>
        <v/>
      </c>
      <c r="H2154" s="7" t="str">
        <f t="shared" si="132"/>
        <v/>
      </c>
      <c r="I2154" s="7" t="str">
        <f>IF(AND(ISBLANK(D2154),ISBLANK(C2154)),"",((VLOOKUP(D2154,Cardápio!$A$2:$C$16,3,0))*E2154)+IF(B2154="iFood",F2154*0.27,(VLOOKUP(VENDAS!C2154,Bairros!$A$2:$B$90,2,0))))</f>
        <v/>
      </c>
      <c r="J2154" s="7" t="str">
        <f t="shared" si="133"/>
        <v/>
      </c>
      <c r="K2154" s="9">
        <f t="shared" ca="1" si="134"/>
        <v>45404.878290162036</v>
      </c>
      <c r="L2154" s="10">
        <f t="shared" ca="1" si="135"/>
        <v>45404.878290046297</v>
      </c>
    </row>
    <row r="2155" spans="6:12" x14ac:dyDescent="0.25">
      <c r="F2155" s="11" t="str">
        <f>IF(ISBLANK(D2155),"",(VLOOKUP(D2155,Cardápio!$A$2:$B$16,2,0))*E2155)</f>
        <v/>
      </c>
      <c r="H2155" s="7" t="str">
        <f t="shared" si="132"/>
        <v/>
      </c>
      <c r="I2155" s="7" t="str">
        <f>IF(AND(ISBLANK(D2155),ISBLANK(C2155)),"",((VLOOKUP(D2155,Cardápio!$A$2:$C$16,3,0))*E2155)+IF(B2155="iFood",F2155*0.27,(VLOOKUP(VENDAS!C2155,Bairros!$A$2:$B$90,2,0))))</f>
        <v/>
      </c>
      <c r="J2155" s="7" t="str">
        <f t="shared" si="133"/>
        <v/>
      </c>
      <c r="K2155" s="9">
        <f t="shared" ca="1" si="134"/>
        <v>45404.878290162036</v>
      </c>
      <c r="L2155" s="10">
        <f t="shared" ca="1" si="135"/>
        <v>45404.878290046297</v>
      </c>
    </row>
    <row r="2156" spans="6:12" x14ac:dyDescent="0.25">
      <c r="F2156" s="11" t="str">
        <f>IF(ISBLANK(D2156),"",(VLOOKUP(D2156,Cardápio!$A$2:$B$16,2,0))*E2156)</f>
        <v/>
      </c>
      <c r="H2156" s="7" t="str">
        <f t="shared" si="132"/>
        <v/>
      </c>
      <c r="I2156" s="7" t="str">
        <f>IF(AND(ISBLANK(D2156),ISBLANK(C2156)),"",((VLOOKUP(D2156,Cardápio!$A$2:$C$16,3,0))*E2156)+IF(B2156="iFood",F2156*0.27,(VLOOKUP(VENDAS!C2156,Bairros!$A$2:$B$90,2,0))))</f>
        <v/>
      </c>
      <c r="J2156" s="7" t="str">
        <f t="shared" si="133"/>
        <v/>
      </c>
      <c r="K2156" s="9">
        <f t="shared" ca="1" si="134"/>
        <v>45404.878290162036</v>
      </c>
      <c r="L2156" s="10">
        <f t="shared" ca="1" si="135"/>
        <v>45404.878290046297</v>
      </c>
    </row>
    <row r="2157" spans="6:12" x14ac:dyDescent="0.25">
      <c r="F2157" s="11" t="str">
        <f>IF(ISBLANK(D2157),"",(VLOOKUP(D2157,Cardápio!$A$2:$B$16,2,0))*E2157)</f>
        <v/>
      </c>
      <c r="H2157" s="7" t="str">
        <f t="shared" si="132"/>
        <v/>
      </c>
      <c r="I2157" s="7" t="str">
        <f>IF(AND(ISBLANK(D2157),ISBLANK(C2157)),"",((VLOOKUP(D2157,Cardápio!$A$2:$C$16,3,0))*E2157)+IF(B2157="iFood",F2157*0.27,(VLOOKUP(VENDAS!C2157,Bairros!$A$2:$B$90,2,0))))</f>
        <v/>
      </c>
      <c r="J2157" s="7" t="str">
        <f t="shared" si="133"/>
        <v/>
      </c>
      <c r="K2157" s="9">
        <f t="shared" ca="1" si="134"/>
        <v>45404.878290162036</v>
      </c>
      <c r="L2157" s="10">
        <f t="shared" ca="1" si="135"/>
        <v>45404.878290046297</v>
      </c>
    </row>
    <row r="2158" spans="6:12" x14ac:dyDescent="0.25">
      <c r="F2158" s="11" t="str">
        <f>IF(ISBLANK(D2158),"",(VLOOKUP(D2158,Cardápio!$A$2:$B$16,2,0))*E2158)</f>
        <v/>
      </c>
      <c r="H2158" s="7" t="str">
        <f t="shared" si="132"/>
        <v/>
      </c>
      <c r="I2158" s="7" t="str">
        <f>IF(AND(ISBLANK(D2158),ISBLANK(C2158)),"",((VLOOKUP(D2158,Cardápio!$A$2:$C$16,3,0))*E2158)+IF(B2158="iFood",F2158*0.27,(VLOOKUP(VENDAS!C2158,Bairros!$A$2:$B$90,2,0))))</f>
        <v/>
      </c>
      <c r="J2158" s="7" t="str">
        <f t="shared" si="133"/>
        <v/>
      </c>
      <c r="K2158" s="9">
        <f t="shared" ca="1" si="134"/>
        <v>45404.878290162036</v>
      </c>
      <c r="L2158" s="10">
        <f t="shared" ca="1" si="135"/>
        <v>45404.878290046297</v>
      </c>
    </row>
    <row r="2159" spans="6:12" x14ac:dyDescent="0.25">
      <c r="F2159" s="11" t="str">
        <f>IF(ISBLANK(D2159),"",(VLOOKUP(D2159,Cardápio!$A$2:$B$16,2,0))*E2159)</f>
        <v/>
      </c>
      <c r="H2159" s="7" t="str">
        <f t="shared" si="132"/>
        <v/>
      </c>
      <c r="I2159" s="7" t="str">
        <f>IF(AND(ISBLANK(D2159),ISBLANK(C2159)),"",((VLOOKUP(D2159,Cardápio!$A$2:$C$16,3,0))*E2159)+IF(B2159="iFood",F2159*0.27,(VLOOKUP(VENDAS!C2159,Bairros!$A$2:$B$90,2,0))))</f>
        <v/>
      </c>
      <c r="J2159" s="7" t="str">
        <f t="shared" si="133"/>
        <v/>
      </c>
      <c r="K2159" s="9">
        <f t="shared" ca="1" si="134"/>
        <v>45404.878290162036</v>
      </c>
      <c r="L2159" s="10">
        <f t="shared" ca="1" si="135"/>
        <v>45404.878290046297</v>
      </c>
    </row>
    <row r="2160" spans="6:12" x14ac:dyDescent="0.25">
      <c r="F2160" s="11" t="str">
        <f>IF(ISBLANK(D2160),"",(VLOOKUP(D2160,Cardápio!$A$2:$B$16,2,0))*E2160)</f>
        <v/>
      </c>
      <c r="H2160" s="7" t="str">
        <f t="shared" si="132"/>
        <v/>
      </c>
      <c r="I2160" s="7" t="str">
        <f>IF(AND(ISBLANK(D2160),ISBLANK(C2160)),"",((VLOOKUP(D2160,Cardápio!$A$2:$C$16,3,0))*E2160)+IF(B2160="iFood",F2160*0.27,(VLOOKUP(VENDAS!C2160,Bairros!$A$2:$B$90,2,0))))</f>
        <v/>
      </c>
      <c r="J2160" s="7" t="str">
        <f t="shared" si="133"/>
        <v/>
      </c>
      <c r="K2160" s="9">
        <f t="shared" ca="1" si="134"/>
        <v>45404.878290162036</v>
      </c>
      <c r="L2160" s="10">
        <f t="shared" ca="1" si="135"/>
        <v>45404.878290046297</v>
      </c>
    </row>
    <row r="2161" spans="6:12" x14ac:dyDescent="0.25">
      <c r="F2161" s="11" t="str">
        <f>IF(ISBLANK(D2161),"",(VLOOKUP(D2161,Cardápio!$A$2:$B$16,2,0))*E2161)</f>
        <v/>
      </c>
      <c r="H2161" s="7" t="str">
        <f t="shared" si="132"/>
        <v/>
      </c>
      <c r="I2161" s="7" t="str">
        <f>IF(AND(ISBLANK(D2161),ISBLANK(C2161)),"",((VLOOKUP(D2161,Cardápio!$A$2:$C$16,3,0))*E2161)+IF(B2161="iFood",F2161*0.27,(VLOOKUP(VENDAS!C2161,Bairros!$A$2:$B$90,2,0))))</f>
        <v/>
      </c>
      <c r="J2161" s="7" t="str">
        <f t="shared" si="133"/>
        <v/>
      </c>
      <c r="K2161" s="9">
        <f t="shared" ca="1" si="134"/>
        <v>45404.878290162036</v>
      </c>
      <c r="L2161" s="10">
        <f t="shared" ca="1" si="135"/>
        <v>45404.878290046297</v>
      </c>
    </row>
    <row r="2162" spans="6:12" x14ac:dyDescent="0.25">
      <c r="F2162" s="11" t="str">
        <f>IF(ISBLANK(D2162),"",(VLOOKUP(D2162,Cardápio!$A$2:$B$16,2,0))*E2162)</f>
        <v/>
      </c>
      <c r="H2162" s="7" t="str">
        <f t="shared" si="132"/>
        <v/>
      </c>
      <c r="I2162" s="7" t="str">
        <f>IF(AND(ISBLANK(D2162),ISBLANK(C2162)),"",((VLOOKUP(D2162,Cardápio!$A$2:$C$16,3,0))*E2162)+IF(B2162="iFood",F2162*0.27,(VLOOKUP(VENDAS!C2162,Bairros!$A$2:$B$90,2,0))))</f>
        <v/>
      </c>
      <c r="J2162" s="7" t="str">
        <f t="shared" si="133"/>
        <v/>
      </c>
      <c r="K2162" s="9">
        <f t="shared" ca="1" si="134"/>
        <v>45404.878290162036</v>
      </c>
      <c r="L2162" s="10">
        <f t="shared" ca="1" si="135"/>
        <v>45404.878290046297</v>
      </c>
    </row>
    <row r="2163" spans="6:12" x14ac:dyDescent="0.25">
      <c r="F2163" s="11" t="str">
        <f>IF(ISBLANK(D2163),"",(VLOOKUP(D2163,Cardápio!$A$2:$B$16,2,0))*E2163)</f>
        <v/>
      </c>
      <c r="H2163" s="7" t="str">
        <f t="shared" si="132"/>
        <v/>
      </c>
      <c r="I2163" s="7" t="str">
        <f>IF(AND(ISBLANK(D2163),ISBLANK(C2163)),"",((VLOOKUP(D2163,Cardápio!$A$2:$C$16,3,0))*E2163)+IF(B2163="iFood",F2163*0.27,(VLOOKUP(VENDAS!C2163,Bairros!$A$2:$B$90,2,0))))</f>
        <v/>
      </c>
      <c r="J2163" s="7" t="str">
        <f t="shared" si="133"/>
        <v/>
      </c>
      <c r="K2163" s="9">
        <f t="shared" ca="1" si="134"/>
        <v>45404.878290162036</v>
      </c>
      <c r="L2163" s="10">
        <f t="shared" ca="1" si="135"/>
        <v>45404.878290046297</v>
      </c>
    </row>
    <row r="2164" spans="6:12" x14ac:dyDescent="0.25">
      <c r="F2164" s="11" t="str">
        <f>IF(ISBLANK(D2164),"",(VLOOKUP(D2164,Cardápio!$A$2:$B$16,2,0))*E2164)</f>
        <v/>
      </c>
      <c r="H2164" s="7" t="str">
        <f t="shared" si="132"/>
        <v/>
      </c>
      <c r="I2164" s="7" t="str">
        <f>IF(AND(ISBLANK(D2164),ISBLANK(C2164)),"",((VLOOKUP(D2164,Cardápio!$A$2:$C$16,3,0))*E2164)+IF(B2164="iFood",F2164*0.27,(VLOOKUP(VENDAS!C2164,Bairros!$A$2:$B$90,2,0))))</f>
        <v/>
      </c>
      <c r="J2164" s="7" t="str">
        <f t="shared" si="133"/>
        <v/>
      </c>
      <c r="K2164" s="9">
        <f t="shared" ca="1" si="134"/>
        <v>45404.878290162036</v>
      </c>
      <c r="L2164" s="10">
        <f t="shared" ca="1" si="135"/>
        <v>45404.878290046297</v>
      </c>
    </row>
    <row r="2165" spans="6:12" x14ac:dyDescent="0.25">
      <c r="F2165" s="11" t="str">
        <f>IF(ISBLANK(D2165),"",(VLOOKUP(D2165,Cardápio!$A$2:$B$16,2,0))*E2165)</f>
        <v/>
      </c>
      <c r="H2165" s="7" t="str">
        <f t="shared" ref="H2165:H2228" si="136">IF(ISBLANK(D2165),"",F2165-G2165)</f>
        <v/>
      </c>
      <c r="I2165" s="7" t="str">
        <f>IF(AND(ISBLANK(D2165),ISBLANK(C2165)),"",((VLOOKUP(D2165,Cardápio!$A$2:$C$16,3,0))*E2165)+IF(B2165="iFood",F2165*0.27,(VLOOKUP(VENDAS!C2165,Bairros!$A$2:$B$90,2,0))))</f>
        <v/>
      </c>
      <c r="J2165" s="7" t="str">
        <f t="shared" ref="J2165:J2228" si="137">IF(OR(AND(ISBLANK(H2165),ISBLANK(I2165)),(AND(H2165="",I2165=""))),"",H2165-I2165)</f>
        <v/>
      </c>
      <c r="K2165" s="9">
        <f t="shared" ref="K2165:K2228" ca="1" si="138">IF(D2165&lt;&gt;"",K2165,NOW())</f>
        <v>45404.878290162036</v>
      </c>
      <c r="L2165" s="10">
        <f t="shared" ref="L2165:L2228" ca="1" si="139">IF(D2165&lt;&gt;"",L2165,NOW())</f>
        <v>45404.878290046297</v>
      </c>
    </row>
    <row r="2166" spans="6:12" x14ac:dyDescent="0.25">
      <c r="F2166" s="11" t="str">
        <f>IF(ISBLANK(D2166),"",(VLOOKUP(D2166,Cardápio!$A$2:$B$16,2,0))*E2166)</f>
        <v/>
      </c>
      <c r="H2166" s="7" t="str">
        <f t="shared" si="136"/>
        <v/>
      </c>
      <c r="I2166" s="7" t="str">
        <f>IF(AND(ISBLANK(D2166),ISBLANK(C2166)),"",((VLOOKUP(D2166,Cardápio!$A$2:$C$16,3,0))*E2166)+IF(B2166="iFood",F2166*0.27,(VLOOKUP(VENDAS!C2166,Bairros!$A$2:$B$90,2,0))))</f>
        <v/>
      </c>
      <c r="J2166" s="7" t="str">
        <f t="shared" si="137"/>
        <v/>
      </c>
      <c r="K2166" s="9">
        <f t="shared" ca="1" si="138"/>
        <v>45404.878290162036</v>
      </c>
      <c r="L2166" s="10">
        <f t="shared" ca="1" si="139"/>
        <v>45404.878290046297</v>
      </c>
    </row>
    <row r="2167" spans="6:12" x14ac:dyDescent="0.25">
      <c r="F2167" s="11" t="str">
        <f>IF(ISBLANK(D2167),"",(VLOOKUP(D2167,Cardápio!$A$2:$B$16,2,0))*E2167)</f>
        <v/>
      </c>
      <c r="H2167" s="7" t="str">
        <f t="shared" si="136"/>
        <v/>
      </c>
      <c r="I2167" s="7" t="str">
        <f>IF(AND(ISBLANK(D2167),ISBLANK(C2167)),"",((VLOOKUP(D2167,Cardápio!$A$2:$C$16,3,0))*E2167)+IF(B2167="iFood",F2167*0.27,(VLOOKUP(VENDAS!C2167,Bairros!$A$2:$B$90,2,0))))</f>
        <v/>
      </c>
      <c r="J2167" s="7" t="str">
        <f t="shared" si="137"/>
        <v/>
      </c>
      <c r="K2167" s="9">
        <f t="shared" ca="1" si="138"/>
        <v>45404.878290162036</v>
      </c>
      <c r="L2167" s="10">
        <f t="shared" ca="1" si="139"/>
        <v>45404.878290046297</v>
      </c>
    </row>
    <row r="2168" spans="6:12" x14ac:dyDescent="0.25">
      <c r="F2168" s="11" t="str">
        <f>IF(ISBLANK(D2168),"",(VLOOKUP(D2168,Cardápio!$A$2:$B$16,2,0))*E2168)</f>
        <v/>
      </c>
      <c r="H2168" s="7" t="str">
        <f t="shared" si="136"/>
        <v/>
      </c>
      <c r="I2168" s="7" t="str">
        <f>IF(AND(ISBLANK(D2168),ISBLANK(C2168)),"",((VLOOKUP(D2168,Cardápio!$A$2:$C$16,3,0))*E2168)+IF(B2168="iFood",F2168*0.27,(VLOOKUP(VENDAS!C2168,Bairros!$A$2:$B$90,2,0))))</f>
        <v/>
      </c>
      <c r="J2168" s="7" t="str">
        <f t="shared" si="137"/>
        <v/>
      </c>
      <c r="K2168" s="9">
        <f t="shared" ca="1" si="138"/>
        <v>45404.878290162036</v>
      </c>
      <c r="L2168" s="10">
        <f t="shared" ca="1" si="139"/>
        <v>45404.878290046297</v>
      </c>
    </row>
    <row r="2169" spans="6:12" x14ac:dyDescent="0.25">
      <c r="F2169" s="11" t="str">
        <f>IF(ISBLANK(D2169),"",(VLOOKUP(D2169,Cardápio!$A$2:$B$16,2,0))*E2169)</f>
        <v/>
      </c>
      <c r="H2169" s="7" t="str">
        <f t="shared" si="136"/>
        <v/>
      </c>
      <c r="I2169" s="7" t="str">
        <f>IF(AND(ISBLANK(D2169),ISBLANK(C2169)),"",((VLOOKUP(D2169,Cardápio!$A$2:$C$16,3,0))*E2169)+IF(B2169="iFood",F2169*0.27,(VLOOKUP(VENDAS!C2169,Bairros!$A$2:$B$90,2,0))))</f>
        <v/>
      </c>
      <c r="J2169" s="7" t="str">
        <f t="shared" si="137"/>
        <v/>
      </c>
      <c r="K2169" s="9">
        <f t="shared" ca="1" si="138"/>
        <v>45404.878290162036</v>
      </c>
      <c r="L2169" s="10">
        <f t="shared" ca="1" si="139"/>
        <v>45404.878290046297</v>
      </c>
    </row>
    <row r="2170" spans="6:12" x14ac:dyDescent="0.25">
      <c r="F2170" s="11" t="str">
        <f>IF(ISBLANK(D2170),"",(VLOOKUP(D2170,Cardápio!$A$2:$B$16,2,0))*E2170)</f>
        <v/>
      </c>
      <c r="H2170" s="7" t="str">
        <f t="shared" si="136"/>
        <v/>
      </c>
      <c r="I2170" s="7" t="str">
        <f>IF(AND(ISBLANK(D2170),ISBLANK(C2170)),"",((VLOOKUP(D2170,Cardápio!$A$2:$C$16,3,0))*E2170)+IF(B2170="iFood",F2170*0.27,(VLOOKUP(VENDAS!C2170,Bairros!$A$2:$B$90,2,0))))</f>
        <v/>
      </c>
      <c r="J2170" s="7" t="str">
        <f t="shared" si="137"/>
        <v/>
      </c>
      <c r="K2170" s="9">
        <f t="shared" ca="1" si="138"/>
        <v>45404.878290162036</v>
      </c>
      <c r="L2170" s="10">
        <f t="shared" ca="1" si="139"/>
        <v>45404.878290046297</v>
      </c>
    </row>
    <row r="2171" spans="6:12" x14ac:dyDescent="0.25">
      <c r="F2171" s="11" t="str">
        <f>IF(ISBLANK(D2171),"",(VLOOKUP(D2171,Cardápio!$A$2:$B$16,2,0))*E2171)</f>
        <v/>
      </c>
      <c r="H2171" s="7" t="str">
        <f t="shared" si="136"/>
        <v/>
      </c>
      <c r="I2171" s="7" t="str">
        <f>IF(AND(ISBLANK(D2171),ISBLANK(C2171)),"",((VLOOKUP(D2171,Cardápio!$A$2:$C$16,3,0))*E2171)+IF(B2171="iFood",F2171*0.27,(VLOOKUP(VENDAS!C2171,Bairros!$A$2:$B$90,2,0))))</f>
        <v/>
      </c>
      <c r="J2171" s="7" t="str">
        <f t="shared" si="137"/>
        <v/>
      </c>
      <c r="K2171" s="9">
        <f t="shared" ca="1" si="138"/>
        <v>45404.878290162036</v>
      </c>
      <c r="L2171" s="10">
        <f t="shared" ca="1" si="139"/>
        <v>45404.878290046297</v>
      </c>
    </row>
    <row r="2172" spans="6:12" x14ac:dyDescent="0.25">
      <c r="F2172" s="11" t="str">
        <f>IF(ISBLANK(D2172),"",(VLOOKUP(D2172,Cardápio!$A$2:$B$16,2,0))*E2172)</f>
        <v/>
      </c>
      <c r="H2172" s="7" t="str">
        <f t="shared" si="136"/>
        <v/>
      </c>
      <c r="I2172" s="7" t="str">
        <f>IF(AND(ISBLANK(D2172),ISBLANK(C2172)),"",((VLOOKUP(D2172,Cardápio!$A$2:$C$16,3,0))*E2172)+IF(B2172="iFood",F2172*0.27,(VLOOKUP(VENDAS!C2172,Bairros!$A$2:$B$90,2,0))))</f>
        <v/>
      </c>
      <c r="J2172" s="7" t="str">
        <f t="shared" si="137"/>
        <v/>
      </c>
      <c r="K2172" s="9">
        <f t="shared" ca="1" si="138"/>
        <v>45404.878290162036</v>
      </c>
      <c r="L2172" s="10">
        <f t="shared" ca="1" si="139"/>
        <v>45404.878290046297</v>
      </c>
    </row>
    <row r="2173" spans="6:12" x14ac:dyDescent="0.25">
      <c r="F2173" s="11" t="str">
        <f>IF(ISBLANK(D2173),"",(VLOOKUP(D2173,Cardápio!$A$2:$B$16,2,0))*E2173)</f>
        <v/>
      </c>
      <c r="H2173" s="7" t="str">
        <f t="shared" si="136"/>
        <v/>
      </c>
      <c r="I2173" s="7" t="str">
        <f>IF(AND(ISBLANK(D2173),ISBLANK(C2173)),"",((VLOOKUP(D2173,Cardápio!$A$2:$C$16,3,0))*E2173)+IF(B2173="iFood",F2173*0.27,(VLOOKUP(VENDAS!C2173,Bairros!$A$2:$B$90,2,0))))</f>
        <v/>
      </c>
      <c r="J2173" s="7" t="str">
        <f t="shared" si="137"/>
        <v/>
      </c>
      <c r="K2173" s="9">
        <f t="shared" ca="1" si="138"/>
        <v>45404.878290162036</v>
      </c>
      <c r="L2173" s="10">
        <f t="shared" ca="1" si="139"/>
        <v>45404.878290046297</v>
      </c>
    </row>
    <row r="2174" spans="6:12" x14ac:dyDescent="0.25">
      <c r="F2174" s="11" t="str">
        <f>IF(ISBLANK(D2174),"",(VLOOKUP(D2174,Cardápio!$A$2:$B$16,2,0))*E2174)</f>
        <v/>
      </c>
      <c r="H2174" s="7" t="str">
        <f t="shared" si="136"/>
        <v/>
      </c>
      <c r="I2174" s="7" t="str">
        <f>IF(AND(ISBLANK(D2174),ISBLANK(C2174)),"",((VLOOKUP(D2174,Cardápio!$A$2:$C$16,3,0))*E2174)+IF(B2174="iFood",F2174*0.27,(VLOOKUP(VENDAS!C2174,Bairros!$A$2:$B$90,2,0))))</f>
        <v/>
      </c>
      <c r="J2174" s="7" t="str">
        <f t="shared" si="137"/>
        <v/>
      </c>
      <c r="K2174" s="9">
        <f t="shared" ca="1" si="138"/>
        <v>45404.878290162036</v>
      </c>
      <c r="L2174" s="10">
        <f t="shared" ca="1" si="139"/>
        <v>45404.878290046297</v>
      </c>
    </row>
    <row r="2175" spans="6:12" x14ac:dyDescent="0.25">
      <c r="F2175" s="11" t="str">
        <f>IF(ISBLANK(D2175),"",(VLOOKUP(D2175,Cardápio!$A$2:$B$16,2,0))*E2175)</f>
        <v/>
      </c>
      <c r="H2175" s="7" t="str">
        <f t="shared" si="136"/>
        <v/>
      </c>
      <c r="I2175" s="7" t="str">
        <f>IF(AND(ISBLANK(D2175),ISBLANK(C2175)),"",((VLOOKUP(D2175,Cardápio!$A$2:$C$16,3,0))*E2175)+IF(B2175="iFood",F2175*0.27,(VLOOKUP(VENDAS!C2175,Bairros!$A$2:$B$90,2,0))))</f>
        <v/>
      </c>
      <c r="J2175" s="7" t="str">
        <f t="shared" si="137"/>
        <v/>
      </c>
      <c r="K2175" s="9">
        <f t="shared" ca="1" si="138"/>
        <v>45404.878290162036</v>
      </c>
      <c r="L2175" s="10">
        <f t="shared" ca="1" si="139"/>
        <v>45404.878290046297</v>
      </c>
    </row>
    <row r="2176" spans="6:12" x14ac:dyDescent="0.25">
      <c r="F2176" s="11" t="str">
        <f>IF(ISBLANK(D2176),"",(VLOOKUP(D2176,Cardápio!$A$2:$B$16,2,0))*E2176)</f>
        <v/>
      </c>
      <c r="H2176" s="7" t="str">
        <f t="shared" si="136"/>
        <v/>
      </c>
      <c r="I2176" s="7" t="str">
        <f>IF(AND(ISBLANK(D2176),ISBLANK(C2176)),"",((VLOOKUP(D2176,Cardápio!$A$2:$C$16,3,0))*E2176)+IF(B2176="iFood",F2176*0.27,(VLOOKUP(VENDAS!C2176,Bairros!$A$2:$B$90,2,0))))</f>
        <v/>
      </c>
      <c r="J2176" s="7" t="str">
        <f t="shared" si="137"/>
        <v/>
      </c>
      <c r="K2176" s="9">
        <f t="shared" ca="1" si="138"/>
        <v>45404.878290162036</v>
      </c>
      <c r="L2176" s="10">
        <f t="shared" ca="1" si="139"/>
        <v>45404.878290046297</v>
      </c>
    </row>
    <row r="2177" spans="6:12" x14ac:dyDescent="0.25">
      <c r="F2177" s="11" t="str">
        <f>IF(ISBLANK(D2177),"",(VLOOKUP(D2177,Cardápio!$A$2:$B$16,2,0))*E2177)</f>
        <v/>
      </c>
      <c r="H2177" s="7" t="str">
        <f t="shared" si="136"/>
        <v/>
      </c>
      <c r="I2177" s="7" t="str">
        <f>IF(AND(ISBLANK(D2177),ISBLANK(C2177)),"",((VLOOKUP(D2177,Cardápio!$A$2:$C$16,3,0))*E2177)+IF(B2177="iFood",F2177*0.27,(VLOOKUP(VENDAS!C2177,Bairros!$A$2:$B$90,2,0))))</f>
        <v/>
      </c>
      <c r="J2177" s="7" t="str">
        <f t="shared" si="137"/>
        <v/>
      </c>
      <c r="K2177" s="9">
        <f t="shared" ca="1" si="138"/>
        <v>45404.878290162036</v>
      </c>
      <c r="L2177" s="10">
        <f t="shared" ca="1" si="139"/>
        <v>45404.878290046297</v>
      </c>
    </row>
    <row r="2178" spans="6:12" x14ac:dyDescent="0.25">
      <c r="F2178" s="11" t="str">
        <f>IF(ISBLANK(D2178),"",(VLOOKUP(D2178,Cardápio!$A$2:$B$16,2,0))*E2178)</f>
        <v/>
      </c>
      <c r="H2178" s="7" t="str">
        <f t="shared" si="136"/>
        <v/>
      </c>
      <c r="I2178" s="7" t="str">
        <f>IF(AND(ISBLANK(D2178),ISBLANK(C2178)),"",((VLOOKUP(D2178,Cardápio!$A$2:$C$16,3,0))*E2178)+IF(B2178="iFood",F2178*0.27,(VLOOKUP(VENDAS!C2178,Bairros!$A$2:$B$90,2,0))))</f>
        <v/>
      </c>
      <c r="J2178" s="7" t="str">
        <f t="shared" si="137"/>
        <v/>
      </c>
      <c r="K2178" s="9">
        <f t="shared" ca="1" si="138"/>
        <v>45404.878290162036</v>
      </c>
      <c r="L2178" s="10">
        <f t="shared" ca="1" si="139"/>
        <v>45404.878290046297</v>
      </c>
    </row>
    <row r="2179" spans="6:12" x14ac:dyDescent="0.25">
      <c r="F2179" s="11" t="str">
        <f>IF(ISBLANK(D2179),"",(VLOOKUP(D2179,Cardápio!$A$2:$B$16,2,0))*E2179)</f>
        <v/>
      </c>
      <c r="H2179" s="7" t="str">
        <f t="shared" si="136"/>
        <v/>
      </c>
      <c r="I2179" s="7" t="str">
        <f>IF(AND(ISBLANK(D2179),ISBLANK(C2179)),"",((VLOOKUP(D2179,Cardápio!$A$2:$C$16,3,0))*E2179)+IF(B2179="iFood",F2179*0.27,(VLOOKUP(VENDAS!C2179,Bairros!$A$2:$B$90,2,0))))</f>
        <v/>
      </c>
      <c r="J2179" s="7" t="str">
        <f t="shared" si="137"/>
        <v/>
      </c>
      <c r="K2179" s="9">
        <f t="shared" ca="1" si="138"/>
        <v>45404.878290162036</v>
      </c>
      <c r="L2179" s="10">
        <f t="shared" ca="1" si="139"/>
        <v>45404.878290046297</v>
      </c>
    </row>
    <row r="2180" spans="6:12" x14ac:dyDescent="0.25">
      <c r="F2180" s="11" t="str">
        <f>IF(ISBLANK(D2180),"",(VLOOKUP(D2180,Cardápio!$A$2:$B$16,2,0))*E2180)</f>
        <v/>
      </c>
      <c r="H2180" s="7" t="str">
        <f t="shared" si="136"/>
        <v/>
      </c>
      <c r="I2180" s="7" t="str">
        <f>IF(AND(ISBLANK(D2180),ISBLANK(C2180)),"",((VLOOKUP(D2180,Cardápio!$A$2:$C$16,3,0))*E2180)+IF(B2180="iFood",F2180*0.27,(VLOOKUP(VENDAS!C2180,Bairros!$A$2:$B$90,2,0))))</f>
        <v/>
      </c>
      <c r="J2180" s="7" t="str">
        <f t="shared" si="137"/>
        <v/>
      </c>
      <c r="K2180" s="9">
        <f t="shared" ca="1" si="138"/>
        <v>45404.878290162036</v>
      </c>
      <c r="L2180" s="10">
        <f t="shared" ca="1" si="139"/>
        <v>45404.878290046297</v>
      </c>
    </row>
    <row r="2181" spans="6:12" x14ac:dyDescent="0.25">
      <c r="F2181" s="11" t="str">
        <f>IF(ISBLANK(D2181),"",(VLOOKUP(D2181,Cardápio!$A$2:$B$16,2,0))*E2181)</f>
        <v/>
      </c>
      <c r="H2181" s="7" t="str">
        <f t="shared" si="136"/>
        <v/>
      </c>
      <c r="I2181" s="7" t="str">
        <f>IF(AND(ISBLANK(D2181),ISBLANK(C2181)),"",((VLOOKUP(D2181,Cardápio!$A$2:$C$16,3,0))*E2181)+IF(B2181="iFood",F2181*0.27,(VLOOKUP(VENDAS!C2181,Bairros!$A$2:$B$90,2,0))))</f>
        <v/>
      </c>
      <c r="J2181" s="7" t="str">
        <f t="shared" si="137"/>
        <v/>
      </c>
      <c r="K2181" s="9">
        <f t="shared" ca="1" si="138"/>
        <v>45404.878290162036</v>
      </c>
      <c r="L2181" s="10">
        <f t="shared" ca="1" si="139"/>
        <v>45404.878290046297</v>
      </c>
    </row>
    <row r="2182" spans="6:12" x14ac:dyDescent="0.25">
      <c r="F2182" s="11" t="str">
        <f>IF(ISBLANK(D2182),"",(VLOOKUP(D2182,Cardápio!$A$2:$B$16,2,0))*E2182)</f>
        <v/>
      </c>
      <c r="H2182" s="7" t="str">
        <f t="shared" si="136"/>
        <v/>
      </c>
      <c r="I2182" s="7" t="str">
        <f>IF(AND(ISBLANK(D2182),ISBLANK(C2182)),"",((VLOOKUP(D2182,Cardápio!$A$2:$C$16,3,0))*E2182)+IF(B2182="iFood",F2182*0.27,(VLOOKUP(VENDAS!C2182,Bairros!$A$2:$B$90,2,0))))</f>
        <v/>
      </c>
      <c r="J2182" s="7" t="str">
        <f t="shared" si="137"/>
        <v/>
      </c>
      <c r="K2182" s="9">
        <f t="shared" ca="1" si="138"/>
        <v>45404.878290162036</v>
      </c>
      <c r="L2182" s="10">
        <f t="shared" ca="1" si="139"/>
        <v>45404.878290046297</v>
      </c>
    </row>
    <row r="2183" spans="6:12" x14ac:dyDescent="0.25">
      <c r="F2183" s="11" t="str">
        <f>IF(ISBLANK(D2183),"",(VLOOKUP(D2183,Cardápio!$A$2:$B$16,2,0))*E2183)</f>
        <v/>
      </c>
      <c r="H2183" s="7" t="str">
        <f t="shared" si="136"/>
        <v/>
      </c>
      <c r="I2183" s="7" t="str">
        <f>IF(AND(ISBLANK(D2183),ISBLANK(C2183)),"",((VLOOKUP(D2183,Cardápio!$A$2:$C$16,3,0))*E2183)+IF(B2183="iFood",F2183*0.27,(VLOOKUP(VENDAS!C2183,Bairros!$A$2:$B$90,2,0))))</f>
        <v/>
      </c>
      <c r="J2183" s="7" t="str">
        <f t="shared" si="137"/>
        <v/>
      </c>
      <c r="K2183" s="9">
        <f t="shared" ca="1" si="138"/>
        <v>45404.878290162036</v>
      </c>
      <c r="L2183" s="10">
        <f t="shared" ca="1" si="139"/>
        <v>45404.878290046297</v>
      </c>
    </row>
    <row r="2184" spans="6:12" x14ac:dyDescent="0.25">
      <c r="F2184" s="11" t="str">
        <f>IF(ISBLANK(D2184),"",(VLOOKUP(D2184,Cardápio!$A$2:$B$16,2,0))*E2184)</f>
        <v/>
      </c>
      <c r="H2184" s="7" t="str">
        <f t="shared" si="136"/>
        <v/>
      </c>
      <c r="I2184" s="7" t="str">
        <f>IF(AND(ISBLANK(D2184),ISBLANK(C2184)),"",((VLOOKUP(D2184,Cardápio!$A$2:$C$16,3,0))*E2184)+IF(B2184="iFood",F2184*0.27,(VLOOKUP(VENDAS!C2184,Bairros!$A$2:$B$90,2,0))))</f>
        <v/>
      </c>
      <c r="J2184" s="7" t="str">
        <f t="shared" si="137"/>
        <v/>
      </c>
      <c r="K2184" s="9">
        <f t="shared" ca="1" si="138"/>
        <v>45404.878290162036</v>
      </c>
      <c r="L2184" s="10">
        <f t="shared" ca="1" si="139"/>
        <v>45404.878290046297</v>
      </c>
    </row>
    <row r="2185" spans="6:12" x14ac:dyDescent="0.25">
      <c r="F2185" s="11" t="str">
        <f>IF(ISBLANK(D2185),"",(VLOOKUP(D2185,Cardápio!$A$2:$B$16,2,0))*E2185)</f>
        <v/>
      </c>
      <c r="H2185" s="7" t="str">
        <f t="shared" si="136"/>
        <v/>
      </c>
      <c r="I2185" s="7" t="str">
        <f>IF(AND(ISBLANK(D2185),ISBLANK(C2185)),"",((VLOOKUP(D2185,Cardápio!$A$2:$C$16,3,0))*E2185)+IF(B2185="iFood",F2185*0.27,(VLOOKUP(VENDAS!C2185,Bairros!$A$2:$B$90,2,0))))</f>
        <v/>
      </c>
      <c r="J2185" s="7" t="str">
        <f t="shared" si="137"/>
        <v/>
      </c>
      <c r="K2185" s="9">
        <f t="shared" ca="1" si="138"/>
        <v>45404.878290162036</v>
      </c>
      <c r="L2185" s="10">
        <f t="shared" ca="1" si="139"/>
        <v>45404.878290046297</v>
      </c>
    </row>
    <row r="2186" spans="6:12" x14ac:dyDescent="0.25">
      <c r="F2186" s="11" t="str">
        <f>IF(ISBLANK(D2186),"",(VLOOKUP(D2186,Cardápio!$A$2:$B$16,2,0))*E2186)</f>
        <v/>
      </c>
      <c r="H2186" s="7" t="str">
        <f t="shared" si="136"/>
        <v/>
      </c>
      <c r="I2186" s="7" t="str">
        <f>IF(AND(ISBLANK(D2186),ISBLANK(C2186)),"",((VLOOKUP(D2186,Cardápio!$A$2:$C$16,3,0))*E2186)+IF(B2186="iFood",F2186*0.27,(VLOOKUP(VENDAS!C2186,Bairros!$A$2:$B$90,2,0))))</f>
        <v/>
      </c>
      <c r="J2186" s="7" t="str">
        <f t="shared" si="137"/>
        <v/>
      </c>
      <c r="K2186" s="9">
        <f t="shared" ca="1" si="138"/>
        <v>45404.878290162036</v>
      </c>
      <c r="L2186" s="10">
        <f t="shared" ca="1" si="139"/>
        <v>45404.878290046297</v>
      </c>
    </row>
    <row r="2187" spans="6:12" x14ac:dyDescent="0.25">
      <c r="F2187" s="11" t="str">
        <f>IF(ISBLANK(D2187),"",(VLOOKUP(D2187,Cardápio!$A$2:$B$16,2,0))*E2187)</f>
        <v/>
      </c>
      <c r="H2187" s="7" t="str">
        <f t="shared" si="136"/>
        <v/>
      </c>
      <c r="I2187" s="7" t="str">
        <f>IF(AND(ISBLANK(D2187),ISBLANK(C2187)),"",((VLOOKUP(D2187,Cardápio!$A$2:$C$16,3,0))*E2187)+IF(B2187="iFood",F2187*0.27,(VLOOKUP(VENDAS!C2187,Bairros!$A$2:$B$90,2,0))))</f>
        <v/>
      </c>
      <c r="J2187" s="7" t="str">
        <f t="shared" si="137"/>
        <v/>
      </c>
      <c r="K2187" s="9">
        <f t="shared" ca="1" si="138"/>
        <v>45404.878290162036</v>
      </c>
      <c r="L2187" s="10">
        <f t="shared" ca="1" si="139"/>
        <v>45404.878290046297</v>
      </c>
    </row>
    <row r="2188" spans="6:12" x14ac:dyDescent="0.25">
      <c r="F2188" s="11" t="str">
        <f>IF(ISBLANK(D2188),"",(VLOOKUP(D2188,Cardápio!$A$2:$B$16,2,0))*E2188)</f>
        <v/>
      </c>
      <c r="H2188" s="7" t="str">
        <f t="shared" si="136"/>
        <v/>
      </c>
      <c r="I2188" s="7" t="str">
        <f>IF(AND(ISBLANK(D2188),ISBLANK(C2188)),"",((VLOOKUP(D2188,Cardápio!$A$2:$C$16,3,0))*E2188)+IF(B2188="iFood",F2188*0.27,(VLOOKUP(VENDAS!C2188,Bairros!$A$2:$B$90,2,0))))</f>
        <v/>
      </c>
      <c r="J2188" s="7" t="str">
        <f t="shared" si="137"/>
        <v/>
      </c>
      <c r="K2188" s="9">
        <f t="shared" ca="1" si="138"/>
        <v>45404.878290162036</v>
      </c>
      <c r="L2188" s="10">
        <f t="shared" ca="1" si="139"/>
        <v>45404.878290046297</v>
      </c>
    </row>
    <row r="2189" spans="6:12" x14ac:dyDescent="0.25">
      <c r="F2189" s="11" t="str">
        <f>IF(ISBLANK(D2189),"",(VLOOKUP(D2189,Cardápio!$A$2:$B$16,2,0))*E2189)</f>
        <v/>
      </c>
      <c r="H2189" s="7" t="str">
        <f t="shared" si="136"/>
        <v/>
      </c>
      <c r="I2189" s="7" t="str">
        <f>IF(AND(ISBLANK(D2189),ISBLANK(C2189)),"",((VLOOKUP(D2189,Cardápio!$A$2:$C$16,3,0))*E2189)+IF(B2189="iFood",F2189*0.27,(VLOOKUP(VENDAS!C2189,Bairros!$A$2:$B$90,2,0))))</f>
        <v/>
      </c>
      <c r="J2189" s="7" t="str">
        <f t="shared" si="137"/>
        <v/>
      </c>
      <c r="K2189" s="9">
        <f t="shared" ca="1" si="138"/>
        <v>45404.878290162036</v>
      </c>
      <c r="L2189" s="10">
        <f t="shared" ca="1" si="139"/>
        <v>45404.878290046297</v>
      </c>
    </row>
    <row r="2190" spans="6:12" x14ac:dyDescent="0.25">
      <c r="F2190" s="11" t="str">
        <f>IF(ISBLANK(D2190),"",(VLOOKUP(D2190,Cardápio!$A$2:$B$16,2,0))*E2190)</f>
        <v/>
      </c>
      <c r="H2190" s="7" t="str">
        <f t="shared" si="136"/>
        <v/>
      </c>
      <c r="I2190" s="7" t="str">
        <f>IF(AND(ISBLANK(D2190),ISBLANK(C2190)),"",((VLOOKUP(D2190,Cardápio!$A$2:$C$16,3,0))*E2190)+IF(B2190="iFood",F2190*0.27,(VLOOKUP(VENDAS!C2190,Bairros!$A$2:$B$90,2,0))))</f>
        <v/>
      </c>
      <c r="J2190" s="7" t="str">
        <f t="shared" si="137"/>
        <v/>
      </c>
      <c r="K2190" s="9">
        <f t="shared" ca="1" si="138"/>
        <v>45404.878290162036</v>
      </c>
      <c r="L2190" s="10">
        <f t="shared" ca="1" si="139"/>
        <v>45404.878290046297</v>
      </c>
    </row>
    <row r="2191" spans="6:12" x14ac:dyDescent="0.25">
      <c r="F2191" s="11" t="str">
        <f>IF(ISBLANK(D2191),"",(VLOOKUP(D2191,Cardápio!$A$2:$B$16,2,0))*E2191)</f>
        <v/>
      </c>
      <c r="H2191" s="7" t="str">
        <f t="shared" si="136"/>
        <v/>
      </c>
      <c r="I2191" s="7" t="str">
        <f>IF(AND(ISBLANK(D2191),ISBLANK(C2191)),"",((VLOOKUP(D2191,Cardápio!$A$2:$C$16,3,0))*E2191)+IF(B2191="iFood",F2191*0.27,(VLOOKUP(VENDAS!C2191,Bairros!$A$2:$B$90,2,0))))</f>
        <v/>
      </c>
      <c r="J2191" s="7" t="str">
        <f t="shared" si="137"/>
        <v/>
      </c>
      <c r="K2191" s="9">
        <f t="shared" ca="1" si="138"/>
        <v>45404.878290162036</v>
      </c>
      <c r="L2191" s="10">
        <f t="shared" ca="1" si="139"/>
        <v>45404.878290046297</v>
      </c>
    </row>
    <row r="2192" spans="6:12" x14ac:dyDescent="0.25">
      <c r="F2192" s="11" t="str">
        <f>IF(ISBLANK(D2192),"",(VLOOKUP(D2192,Cardápio!$A$2:$B$16,2,0))*E2192)</f>
        <v/>
      </c>
      <c r="H2192" s="7" t="str">
        <f t="shared" si="136"/>
        <v/>
      </c>
      <c r="I2192" s="7" t="str">
        <f>IF(AND(ISBLANK(D2192),ISBLANK(C2192)),"",((VLOOKUP(D2192,Cardápio!$A$2:$C$16,3,0))*E2192)+IF(B2192="iFood",F2192*0.27,(VLOOKUP(VENDAS!C2192,Bairros!$A$2:$B$90,2,0))))</f>
        <v/>
      </c>
      <c r="J2192" s="7" t="str">
        <f t="shared" si="137"/>
        <v/>
      </c>
      <c r="K2192" s="9">
        <f t="shared" ca="1" si="138"/>
        <v>45404.878290162036</v>
      </c>
      <c r="L2192" s="10">
        <f t="shared" ca="1" si="139"/>
        <v>45404.878290046297</v>
      </c>
    </row>
    <row r="2193" spans="6:12" x14ac:dyDescent="0.25">
      <c r="F2193" s="11" t="str">
        <f>IF(ISBLANK(D2193),"",(VLOOKUP(D2193,Cardápio!$A$2:$B$16,2,0))*E2193)</f>
        <v/>
      </c>
      <c r="H2193" s="7" t="str">
        <f t="shared" si="136"/>
        <v/>
      </c>
      <c r="I2193" s="7" t="str">
        <f>IF(AND(ISBLANK(D2193),ISBLANK(C2193)),"",((VLOOKUP(D2193,Cardápio!$A$2:$C$16,3,0))*E2193)+IF(B2193="iFood",F2193*0.27,(VLOOKUP(VENDAS!C2193,Bairros!$A$2:$B$90,2,0))))</f>
        <v/>
      </c>
      <c r="J2193" s="7" t="str">
        <f t="shared" si="137"/>
        <v/>
      </c>
      <c r="K2193" s="9">
        <f t="shared" ca="1" si="138"/>
        <v>45404.878290162036</v>
      </c>
      <c r="L2193" s="10">
        <f t="shared" ca="1" si="139"/>
        <v>45404.878290046297</v>
      </c>
    </row>
    <row r="2194" spans="6:12" x14ac:dyDescent="0.25">
      <c r="F2194" s="11" t="str">
        <f>IF(ISBLANK(D2194),"",(VLOOKUP(D2194,Cardápio!$A$2:$B$16,2,0))*E2194)</f>
        <v/>
      </c>
      <c r="H2194" s="7" t="str">
        <f t="shared" si="136"/>
        <v/>
      </c>
      <c r="I2194" s="7" t="str">
        <f>IF(AND(ISBLANK(D2194),ISBLANK(C2194)),"",((VLOOKUP(D2194,Cardápio!$A$2:$C$16,3,0))*E2194)+IF(B2194="iFood",F2194*0.27,(VLOOKUP(VENDAS!C2194,Bairros!$A$2:$B$90,2,0))))</f>
        <v/>
      </c>
      <c r="J2194" s="7" t="str">
        <f t="shared" si="137"/>
        <v/>
      </c>
      <c r="K2194" s="9">
        <f t="shared" ca="1" si="138"/>
        <v>45404.878290162036</v>
      </c>
      <c r="L2194" s="10">
        <f t="shared" ca="1" si="139"/>
        <v>45404.878290046297</v>
      </c>
    </row>
    <row r="2195" spans="6:12" x14ac:dyDescent="0.25">
      <c r="F2195" s="11" t="str">
        <f>IF(ISBLANK(D2195),"",(VLOOKUP(D2195,Cardápio!$A$2:$B$16,2,0))*E2195)</f>
        <v/>
      </c>
      <c r="H2195" s="7" t="str">
        <f t="shared" si="136"/>
        <v/>
      </c>
      <c r="I2195" s="7" t="str">
        <f>IF(AND(ISBLANK(D2195),ISBLANK(C2195)),"",((VLOOKUP(D2195,Cardápio!$A$2:$C$16,3,0))*E2195)+IF(B2195="iFood",F2195*0.27,(VLOOKUP(VENDAS!C2195,Bairros!$A$2:$B$90,2,0))))</f>
        <v/>
      </c>
      <c r="J2195" s="7" t="str">
        <f t="shared" si="137"/>
        <v/>
      </c>
      <c r="K2195" s="9">
        <f t="shared" ca="1" si="138"/>
        <v>45404.878290162036</v>
      </c>
      <c r="L2195" s="10">
        <f t="shared" ca="1" si="139"/>
        <v>45404.878290046297</v>
      </c>
    </row>
    <row r="2196" spans="6:12" x14ac:dyDescent="0.25">
      <c r="F2196" s="11" t="str">
        <f>IF(ISBLANK(D2196),"",(VLOOKUP(D2196,Cardápio!$A$2:$B$16,2,0))*E2196)</f>
        <v/>
      </c>
      <c r="H2196" s="7" t="str">
        <f t="shared" si="136"/>
        <v/>
      </c>
      <c r="I2196" s="7" t="str">
        <f>IF(AND(ISBLANK(D2196),ISBLANK(C2196)),"",((VLOOKUP(D2196,Cardápio!$A$2:$C$16,3,0))*E2196)+IF(B2196="iFood",F2196*0.27,(VLOOKUP(VENDAS!C2196,Bairros!$A$2:$B$90,2,0))))</f>
        <v/>
      </c>
      <c r="J2196" s="7" t="str">
        <f t="shared" si="137"/>
        <v/>
      </c>
      <c r="K2196" s="9">
        <f t="shared" ca="1" si="138"/>
        <v>45404.878290162036</v>
      </c>
      <c r="L2196" s="10">
        <f t="shared" ca="1" si="139"/>
        <v>45404.878290046297</v>
      </c>
    </row>
    <row r="2197" spans="6:12" x14ac:dyDescent="0.25">
      <c r="F2197" s="11" t="str">
        <f>IF(ISBLANK(D2197),"",(VLOOKUP(D2197,Cardápio!$A$2:$B$16,2,0))*E2197)</f>
        <v/>
      </c>
      <c r="H2197" s="7" t="str">
        <f t="shared" si="136"/>
        <v/>
      </c>
      <c r="I2197" s="7" t="str">
        <f>IF(AND(ISBLANK(D2197),ISBLANK(C2197)),"",((VLOOKUP(D2197,Cardápio!$A$2:$C$16,3,0))*E2197)+IF(B2197="iFood",F2197*0.27,(VLOOKUP(VENDAS!C2197,Bairros!$A$2:$B$90,2,0))))</f>
        <v/>
      </c>
      <c r="J2197" s="7" t="str">
        <f t="shared" si="137"/>
        <v/>
      </c>
      <c r="K2197" s="9">
        <f t="shared" ca="1" si="138"/>
        <v>45404.878290162036</v>
      </c>
      <c r="L2197" s="10">
        <f t="shared" ca="1" si="139"/>
        <v>45404.878290046297</v>
      </c>
    </row>
    <row r="2198" spans="6:12" x14ac:dyDescent="0.25">
      <c r="F2198" s="11" t="str">
        <f>IF(ISBLANK(D2198),"",(VLOOKUP(D2198,Cardápio!$A$2:$B$16,2,0))*E2198)</f>
        <v/>
      </c>
      <c r="H2198" s="7" t="str">
        <f t="shared" si="136"/>
        <v/>
      </c>
      <c r="I2198" s="7" t="str">
        <f>IF(AND(ISBLANK(D2198),ISBLANK(C2198)),"",((VLOOKUP(D2198,Cardápio!$A$2:$C$16,3,0))*E2198)+IF(B2198="iFood",F2198*0.27,(VLOOKUP(VENDAS!C2198,Bairros!$A$2:$B$90,2,0))))</f>
        <v/>
      </c>
      <c r="J2198" s="7" t="str">
        <f t="shared" si="137"/>
        <v/>
      </c>
      <c r="K2198" s="9">
        <f t="shared" ca="1" si="138"/>
        <v>45404.878290162036</v>
      </c>
      <c r="L2198" s="10">
        <f t="shared" ca="1" si="139"/>
        <v>45404.878290046297</v>
      </c>
    </row>
    <row r="2199" spans="6:12" x14ac:dyDescent="0.25">
      <c r="F2199" s="11" t="str">
        <f>IF(ISBLANK(D2199),"",(VLOOKUP(D2199,Cardápio!$A$2:$B$16,2,0))*E2199)</f>
        <v/>
      </c>
      <c r="H2199" s="7" t="str">
        <f t="shared" si="136"/>
        <v/>
      </c>
      <c r="I2199" s="7" t="str">
        <f>IF(AND(ISBLANK(D2199),ISBLANK(C2199)),"",((VLOOKUP(D2199,Cardápio!$A$2:$C$16,3,0))*E2199)+IF(B2199="iFood",F2199*0.27,(VLOOKUP(VENDAS!C2199,Bairros!$A$2:$B$90,2,0))))</f>
        <v/>
      </c>
      <c r="J2199" s="7" t="str">
        <f t="shared" si="137"/>
        <v/>
      </c>
      <c r="K2199" s="9">
        <f t="shared" ca="1" si="138"/>
        <v>45404.878290162036</v>
      </c>
      <c r="L2199" s="10">
        <f t="shared" ca="1" si="139"/>
        <v>45404.878290046297</v>
      </c>
    </row>
    <row r="2200" spans="6:12" x14ac:dyDescent="0.25">
      <c r="F2200" s="11" t="str">
        <f>IF(ISBLANK(D2200),"",(VLOOKUP(D2200,Cardápio!$A$2:$B$16,2,0))*E2200)</f>
        <v/>
      </c>
      <c r="H2200" s="7" t="str">
        <f t="shared" si="136"/>
        <v/>
      </c>
      <c r="I2200" s="7" t="str">
        <f>IF(AND(ISBLANK(D2200),ISBLANK(C2200)),"",((VLOOKUP(D2200,Cardápio!$A$2:$C$16,3,0))*E2200)+IF(B2200="iFood",F2200*0.27,(VLOOKUP(VENDAS!C2200,Bairros!$A$2:$B$90,2,0))))</f>
        <v/>
      </c>
      <c r="J2200" s="7" t="str">
        <f t="shared" si="137"/>
        <v/>
      </c>
      <c r="K2200" s="9">
        <f t="shared" ca="1" si="138"/>
        <v>45404.878290162036</v>
      </c>
      <c r="L2200" s="10">
        <f t="shared" ca="1" si="139"/>
        <v>45404.878290046297</v>
      </c>
    </row>
    <row r="2201" spans="6:12" x14ac:dyDescent="0.25">
      <c r="F2201" s="11" t="str">
        <f>IF(ISBLANK(D2201),"",(VLOOKUP(D2201,Cardápio!$A$2:$B$16,2,0))*E2201)</f>
        <v/>
      </c>
      <c r="H2201" s="7" t="str">
        <f t="shared" si="136"/>
        <v/>
      </c>
      <c r="I2201" s="7" t="str">
        <f>IF(AND(ISBLANK(D2201),ISBLANK(C2201)),"",((VLOOKUP(D2201,Cardápio!$A$2:$C$16,3,0))*E2201)+IF(B2201="iFood",F2201*0.27,(VLOOKUP(VENDAS!C2201,Bairros!$A$2:$B$90,2,0))))</f>
        <v/>
      </c>
      <c r="J2201" s="7" t="str">
        <f t="shared" si="137"/>
        <v/>
      </c>
      <c r="K2201" s="9">
        <f t="shared" ca="1" si="138"/>
        <v>45404.878290162036</v>
      </c>
      <c r="L2201" s="10">
        <f t="shared" ca="1" si="139"/>
        <v>45404.878290046297</v>
      </c>
    </row>
    <row r="2202" spans="6:12" x14ac:dyDescent="0.25">
      <c r="F2202" s="11" t="str">
        <f>IF(ISBLANK(D2202),"",(VLOOKUP(D2202,Cardápio!$A$2:$B$16,2,0))*E2202)</f>
        <v/>
      </c>
      <c r="H2202" s="7" t="str">
        <f t="shared" si="136"/>
        <v/>
      </c>
      <c r="I2202" s="7" t="str">
        <f>IF(AND(ISBLANK(D2202),ISBLANK(C2202)),"",((VLOOKUP(D2202,Cardápio!$A$2:$C$16,3,0))*E2202)+IF(B2202="iFood",F2202*0.27,(VLOOKUP(VENDAS!C2202,Bairros!$A$2:$B$90,2,0))))</f>
        <v/>
      </c>
      <c r="J2202" s="7" t="str">
        <f t="shared" si="137"/>
        <v/>
      </c>
      <c r="K2202" s="9">
        <f t="shared" ca="1" si="138"/>
        <v>45404.878290162036</v>
      </c>
      <c r="L2202" s="10">
        <f t="shared" ca="1" si="139"/>
        <v>45404.878290046297</v>
      </c>
    </row>
    <row r="2203" spans="6:12" x14ac:dyDescent="0.25">
      <c r="F2203" s="11" t="str">
        <f>IF(ISBLANK(D2203),"",(VLOOKUP(D2203,Cardápio!$A$2:$B$16,2,0))*E2203)</f>
        <v/>
      </c>
      <c r="H2203" s="7" t="str">
        <f t="shared" si="136"/>
        <v/>
      </c>
      <c r="I2203" s="7" t="str">
        <f>IF(AND(ISBLANK(D2203),ISBLANK(C2203)),"",((VLOOKUP(D2203,Cardápio!$A$2:$C$16,3,0))*E2203)+IF(B2203="iFood",F2203*0.27,(VLOOKUP(VENDAS!C2203,Bairros!$A$2:$B$90,2,0))))</f>
        <v/>
      </c>
      <c r="J2203" s="7" t="str">
        <f t="shared" si="137"/>
        <v/>
      </c>
      <c r="K2203" s="9">
        <f t="shared" ca="1" si="138"/>
        <v>45404.878290162036</v>
      </c>
      <c r="L2203" s="10">
        <f t="shared" ca="1" si="139"/>
        <v>45404.878290046297</v>
      </c>
    </row>
    <row r="2204" spans="6:12" x14ac:dyDescent="0.25">
      <c r="F2204" s="11" t="str">
        <f>IF(ISBLANK(D2204),"",(VLOOKUP(D2204,Cardápio!$A$2:$B$16,2,0))*E2204)</f>
        <v/>
      </c>
      <c r="H2204" s="7" t="str">
        <f t="shared" si="136"/>
        <v/>
      </c>
      <c r="I2204" s="7" t="str">
        <f>IF(AND(ISBLANK(D2204),ISBLANK(C2204)),"",((VLOOKUP(D2204,Cardápio!$A$2:$C$16,3,0))*E2204)+IF(B2204="iFood",F2204*0.27,(VLOOKUP(VENDAS!C2204,Bairros!$A$2:$B$90,2,0))))</f>
        <v/>
      </c>
      <c r="J2204" s="7" t="str">
        <f t="shared" si="137"/>
        <v/>
      </c>
      <c r="K2204" s="9">
        <f t="shared" ca="1" si="138"/>
        <v>45404.878290162036</v>
      </c>
      <c r="L2204" s="10">
        <f t="shared" ca="1" si="139"/>
        <v>45404.878290046297</v>
      </c>
    </row>
    <row r="2205" spans="6:12" x14ac:dyDescent="0.25">
      <c r="F2205" s="11" t="str">
        <f>IF(ISBLANK(D2205),"",(VLOOKUP(D2205,Cardápio!$A$2:$B$16,2,0))*E2205)</f>
        <v/>
      </c>
      <c r="H2205" s="7" t="str">
        <f t="shared" si="136"/>
        <v/>
      </c>
      <c r="I2205" s="7" t="str">
        <f>IF(AND(ISBLANK(D2205),ISBLANK(C2205)),"",((VLOOKUP(D2205,Cardápio!$A$2:$C$16,3,0))*E2205)+IF(B2205="iFood",F2205*0.27,(VLOOKUP(VENDAS!C2205,Bairros!$A$2:$B$90,2,0))))</f>
        <v/>
      </c>
      <c r="J2205" s="7" t="str">
        <f t="shared" si="137"/>
        <v/>
      </c>
      <c r="K2205" s="9">
        <f t="shared" ca="1" si="138"/>
        <v>45404.878290162036</v>
      </c>
      <c r="L2205" s="10">
        <f t="shared" ca="1" si="139"/>
        <v>45404.878290046297</v>
      </c>
    </row>
    <row r="2206" spans="6:12" x14ac:dyDescent="0.25">
      <c r="F2206" s="11" t="str">
        <f>IF(ISBLANK(D2206),"",(VLOOKUP(D2206,Cardápio!$A$2:$B$16,2,0))*E2206)</f>
        <v/>
      </c>
      <c r="H2206" s="7" t="str">
        <f t="shared" si="136"/>
        <v/>
      </c>
      <c r="I2206" s="7" t="str">
        <f>IF(AND(ISBLANK(D2206),ISBLANK(C2206)),"",((VLOOKUP(D2206,Cardápio!$A$2:$C$16,3,0))*E2206)+IF(B2206="iFood",F2206*0.27,(VLOOKUP(VENDAS!C2206,Bairros!$A$2:$B$90,2,0))))</f>
        <v/>
      </c>
      <c r="J2206" s="7" t="str">
        <f t="shared" si="137"/>
        <v/>
      </c>
      <c r="K2206" s="9">
        <f t="shared" ca="1" si="138"/>
        <v>45404.878290162036</v>
      </c>
      <c r="L2206" s="10">
        <f t="shared" ca="1" si="139"/>
        <v>45404.878290046297</v>
      </c>
    </row>
    <row r="2207" spans="6:12" x14ac:dyDescent="0.25">
      <c r="F2207" s="11" t="str">
        <f>IF(ISBLANK(D2207),"",(VLOOKUP(D2207,Cardápio!$A$2:$B$16,2,0))*E2207)</f>
        <v/>
      </c>
      <c r="H2207" s="7" t="str">
        <f t="shared" si="136"/>
        <v/>
      </c>
      <c r="I2207" s="7" t="str">
        <f>IF(AND(ISBLANK(D2207),ISBLANK(C2207)),"",((VLOOKUP(D2207,Cardápio!$A$2:$C$16,3,0))*E2207)+IF(B2207="iFood",F2207*0.27,(VLOOKUP(VENDAS!C2207,Bairros!$A$2:$B$90,2,0))))</f>
        <v/>
      </c>
      <c r="J2207" s="7" t="str">
        <f t="shared" si="137"/>
        <v/>
      </c>
      <c r="K2207" s="9">
        <f t="shared" ca="1" si="138"/>
        <v>45404.878290162036</v>
      </c>
      <c r="L2207" s="10">
        <f t="shared" ca="1" si="139"/>
        <v>45404.878290046297</v>
      </c>
    </row>
    <row r="2208" spans="6:12" x14ac:dyDescent="0.25">
      <c r="F2208" s="11" t="str">
        <f>IF(ISBLANK(D2208),"",(VLOOKUP(D2208,Cardápio!$A$2:$B$16,2,0))*E2208)</f>
        <v/>
      </c>
      <c r="H2208" s="7" t="str">
        <f t="shared" si="136"/>
        <v/>
      </c>
      <c r="I2208" s="7" t="str">
        <f>IF(AND(ISBLANK(D2208),ISBLANK(C2208)),"",((VLOOKUP(D2208,Cardápio!$A$2:$C$16,3,0))*E2208)+IF(B2208="iFood",F2208*0.27,(VLOOKUP(VENDAS!C2208,Bairros!$A$2:$B$90,2,0))))</f>
        <v/>
      </c>
      <c r="J2208" s="7" t="str">
        <f t="shared" si="137"/>
        <v/>
      </c>
      <c r="K2208" s="9">
        <f t="shared" ca="1" si="138"/>
        <v>45404.878290162036</v>
      </c>
      <c r="L2208" s="10">
        <f t="shared" ca="1" si="139"/>
        <v>45404.878290046297</v>
      </c>
    </row>
    <row r="2209" spans="6:12" x14ac:dyDescent="0.25">
      <c r="F2209" s="11" t="str">
        <f>IF(ISBLANK(D2209),"",(VLOOKUP(D2209,Cardápio!$A$2:$B$16,2,0))*E2209)</f>
        <v/>
      </c>
      <c r="H2209" s="7" t="str">
        <f t="shared" si="136"/>
        <v/>
      </c>
      <c r="I2209" s="7" t="str">
        <f>IF(AND(ISBLANK(D2209),ISBLANK(C2209)),"",((VLOOKUP(D2209,Cardápio!$A$2:$C$16,3,0))*E2209)+IF(B2209="iFood",F2209*0.27,(VLOOKUP(VENDAS!C2209,Bairros!$A$2:$B$90,2,0))))</f>
        <v/>
      </c>
      <c r="J2209" s="7" t="str">
        <f t="shared" si="137"/>
        <v/>
      </c>
      <c r="K2209" s="9">
        <f t="shared" ca="1" si="138"/>
        <v>45404.878290162036</v>
      </c>
      <c r="L2209" s="10">
        <f t="shared" ca="1" si="139"/>
        <v>45404.878290046297</v>
      </c>
    </row>
    <row r="2210" spans="6:12" x14ac:dyDescent="0.25">
      <c r="F2210" s="11" t="str">
        <f>IF(ISBLANK(D2210),"",(VLOOKUP(D2210,Cardápio!$A$2:$B$16,2,0))*E2210)</f>
        <v/>
      </c>
      <c r="H2210" s="7" t="str">
        <f t="shared" si="136"/>
        <v/>
      </c>
      <c r="I2210" s="7" t="str">
        <f>IF(AND(ISBLANK(D2210),ISBLANK(C2210)),"",((VLOOKUP(D2210,Cardápio!$A$2:$C$16,3,0))*E2210)+IF(B2210="iFood",F2210*0.27,(VLOOKUP(VENDAS!C2210,Bairros!$A$2:$B$90,2,0))))</f>
        <v/>
      </c>
      <c r="J2210" s="7" t="str">
        <f t="shared" si="137"/>
        <v/>
      </c>
      <c r="K2210" s="9">
        <f t="shared" ca="1" si="138"/>
        <v>45404.878290162036</v>
      </c>
      <c r="L2210" s="10">
        <f t="shared" ca="1" si="139"/>
        <v>45404.878290046297</v>
      </c>
    </row>
    <row r="2211" spans="6:12" x14ac:dyDescent="0.25">
      <c r="F2211" s="11" t="str">
        <f>IF(ISBLANK(D2211),"",(VLOOKUP(D2211,Cardápio!$A$2:$B$16,2,0))*E2211)</f>
        <v/>
      </c>
      <c r="H2211" s="7" t="str">
        <f t="shared" si="136"/>
        <v/>
      </c>
      <c r="I2211" s="7" t="str">
        <f>IF(AND(ISBLANK(D2211),ISBLANK(C2211)),"",((VLOOKUP(D2211,Cardápio!$A$2:$C$16,3,0))*E2211)+IF(B2211="iFood",F2211*0.27,(VLOOKUP(VENDAS!C2211,Bairros!$A$2:$B$90,2,0))))</f>
        <v/>
      </c>
      <c r="J2211" s="7" t="str">
        <f t="shared" si="137"/>
        <v/>
      </c>
      <c r="K2211" s="9">
        <f t="shared" ca="1" si="138"/>
        <v>45404.878290162036</v>
      </c>
      <c r="L2211" s="10">
        <f t="shared" ca="1" si="139"/>
        <v>45404.878290046297</v>
      </c>
    </row>
    <row r="2212" spans="6:12" x14ac:dyDescent="0.25">
      <c r="F2212" s="11" t="str">
        <f>IF(ISBLANK(D2212),"",(VLOOKUP(D2212,Cardápio!$A$2:$B$16,2,0))*E2212)</f>
        <v/>
      </c>
      <c r="H2212" s="7" t="str">
        <f t="shared" si="136"/>
        <v/>
      </c>
      <c r="I2212" s="7" t="str">
        <f>IF(AND(ISBLANK(D2212),ISBLANK(C2212)),"",((VLOOKUP(D2212,Cardápio!$A$2:$C$16,3,0))*E2212)+IF(B2212="iFood",F2212*0.27,(VLOOKUP(VENDAS!C2212,Bairros!$A$2:$B$90,2,0))))</f>
        <v/>
      </c>
      <c r="J2212" s="7" t="str">
        <f t="shared" si="137"/>
        <v/>
      </c>
      <c r="K2212" s="9">
        <f t="shared" ca="1" si="138"/>
        <v>45404.878290162036</v>
      </c>
      <c r="L2212" s="10">
        <f t="shared" ca="1" si="139"/>
        <v>45404.878290046297</v>
      </c>
    </row>
    <row r="2213" spans="6:12" x14ac:dyDescent="0.25">
      <c r="F2213" s="11" t="str">
        <f>IF(ISBLANK(D2213),"",(VLOOKUP(D2213,Cardápio!$A$2:$B$16,2,0))*E2213)</f>
        <v/>
      </c>
      <c r="H2213" s="7" t="str">
        <f t="shared" si="136"/>
        <v/>
      </c>
      <c r="I2213" s="7" t="str">
        <f>IF(AND(ISBLANK(D2213),ISBLANK(C2213)),"",((VLOOKUP(D2213,Cardápio!$A$2:$C$16,3,0))*E2213)+IF(B2213="iFood",F2213*0.27,(VLOOKUP(VENDAS!C2213,Bairros!$A$2:$B$90,2,0))))</f>
        <v/>
      </c>
      <c r="J2213" s="7" t="str">
        <f t="shared" si="137"/>
        <v/>
      </c>
      <c r="K2213" s="9">
        <f t="shared" ca="1" si="138"/>
        <v>45404.878290162036</v>
      </c>
      <c r="L2213" s="10">
        <f t="shared" ca="1" si="139"/>
        <v>45404.878290046297</v>
      </c>
    </row>
    <row r="2214" spans="6:12" x14ac:dyDescent="0.25">
      <c r="F2214" s="11" t="str">
        <f>IF(ISBLANK(D2214),"",(VLOOKUP(D2214,Cardápio!$A$2:$B$16,2,0))*E2214)</f>
        <v/>
      </c>
      <c r="H2214" s="7" t="str">
        <f t="shared" si="136"/>
        <v/>
      </c>
      <c r="I2214" s="7" t="str">
        <f>IF(AND(ISBLANK(D2214),ISBLANK(C2214)),"",((VLOOKUP(D2214,Cardápio!$A$2:$C$16,3,0))*E2214)+IF(B2214="iFood",F2214*0.27,(VLOOKUP(VENDAS!C2214,Bairros!$A$2:$B$90,2,0))))</f>
        <v/>
      </c>
      <c r="J2214" s="7" t="str">
        <f t="shared" si="137"/>
        <v/>
      </c>
      <c r="K2214" s="9">
        <f t="shared" ca="1" si="138"/>
        <v>45404.878290162036</v>
      </c>
      <c r="L2214" s="10">
        <f t="shared" ca="1" si="139"/>
        <v>45404.878290046297</v>
      </c>
    </row>
    <row r="2215" spans="6:12" x14ac:dyDescent="0.25">
      <c r="F2215" s="11" t="str">
        <f>IF(ISBLANK(D2215),"",(VLOOKUP(D2215,Cardápio!$A$2:$B$16,2,0))*E2215)</f>
        <v/>
      </c>
      <c r="H2215" s="7" t="str">
        <f t="shared" si="136"/>
        <v/>
      </c>
      <c r="I2215" s="7" t="str">
        <f>IF(AND(ISBLANK(D2215),ISBLANK(C2215)),"",((VLOOKUP(D2215,Cardápio!$A$2:$C$16,3,0))*E2215)+IF(B2215="iFood",F2215*0.27,(VLOOKUP(VENDAS!C2215,Bairros!$A$2:$B$90,2,0))))</f>
        <v/>
      </c>
      <c r="J2215" s="7" t="str">
        <f t="shared" si="137"/>
        <v/>
      </c>
      <c r="K2215" s="9">
        <f t="shared" ca="1" si="138"/>
        <v>45404.878290162036</v>
      </c>
      <c r="L2215" s="10">
        <f t="shared" ca="1" si="139"/>
        <v>45404.878290046297</v>
      </c>
    </row>
    <row r="2216" spans="6:12" x14ac:dyDescent="0.25">
      <c r="F2216" s="11" t="str">
        <f>IF(ISBLANK(D2216),"",(VLOOKUP(D2216,Cardápio!$A$2:$B$16,2,0))*E2216)</f>
        <v/>
      </c>
      <c r="H2216" s="7" t="str">
        <f t="shared" si="136"/>
        <v/>
      </c>
      <c r="I2216" s="7" t="str">
        <f>IF(AND(ISBLANK(D2216),ISBLANK(C2216)),"",((VLOOKUP(D2216,Cardápio!$A$2:$C$16,3,0))*E2216)+IF(B2216="iFood",F2216*0.27,(VLOOKUP(VENDAS!C2216,Bairros!$A$2:$B$90,2,0))))</f>
        <v/>
      </c>
      <c r="J2216" s="7" t="str">
        <f t="shared" si="137"/>
        <v/>
      </c>
      <c r="K2216" s="9">
        <f t="shared" ca="1" si="138"/>
        <v>45404.878290162036</v>
      </c>
      <c r="L2216" s="10">
        <f t="shared" ca="1" si="139"/>
        <v>45404.878290046297</v>
      </c>
    </row>
    <row r="2217" spans="6:12" x14ac:dyDescent="0.25">
      <c r="F2217" s="11" t="str">
        <f>IF(ISBLANK(D2217),"",(VLOOKUP(D2217,Cardápio!$A$2:$B$16,2,0))*E2217)</f>
        <v/>
      </c>
      <c r="H2217" s="7" t="str">
        <f t="shared" si="136"/>
        <v/>
      </c>
      <c r="I2217" s="7" t="str">
        <f>IF(AND(ISBLANK(D2217),ISBLANK(C2217)),"",((VLOOKUP(D2217,Cardápio!$A$2:$C$16,3,0))*E2217)+IF(B2217="iFood",F2217*0.27,(VLOOKUP(VENDAS!C2217,Bairros!$A$2:$B$90,2,0))))</f>
        <v/>
      </c>
      <c r="J2217" s="7" t="str">
        <f t="shared" si="137"/>
        <v/>
      </c>
      <c r="K2217" s="9">
        <f t="shared" ca="1" si="138"/>
        <v>45404.878290162036</v>
      </c>
      <c r="L2217" s="10">
        <f t="shared" ca="1" si="139"/>
        <v>45404.878290046297</v>
      </c>
    </row>
    <row r="2218" spans="6:12" x14ac:dyDescent="0.25">
      <c r="F2218" s="11" t="str">
        <f>IF(ISBLANK(D2218),"",(VLOOKUP(D2218,Cardápio!$A$2:$B$16,2,0))*E2218)</f>
        <v/>
      </c>
      <c r="H2218" s="7" t="str">
        <f t="shared" si="136"/>
        <v/>
      </c>
      <c r="I2218" s="7" t="str">
        <f>IF(AND(ISBLANK(D2218),ISBLANK(C2218)),"",((VLOOKUP(D2218,Cardápio!$A$2:$C$16,3,0))*E2218)+IF(B2218="iFood",F2218*0.27,(VLOOKUP(VENDAS!C2218,Bairros!$A$2:$B$90,2,0))))</f>
        <v/>
      </c>
      <c r="J2218" s="7" t="str">
        <f t="shared" si="137"/>
        <v/>
      </c>
      <c r="K2218" s="9">
        <f t="shared" ca="1" si="138"/>
        <v>45404.878290162036</v>
      </c>
      <c r="L2218" s="10">
        <f t="shared" ca="1" si="139"/>
        <v>45404.878290046297</v>
      </c>
    </row>
    <row r="2219" spans="6:12" x14ac:dyDescent="0.25">
      <c r="F2219" s="11" t="str">
        <f>IF(ISBLANK(D2219),"",(VLOOKUP(D2219,Cardápio!$A$2:$B$16,2,0))*E2219)</f>
        <v/>
      </c>
      <c r="H2219" s="7" t="str">
        <f t="shared" si="136"/>
        <v/>
      </c>
      <c r="I2219" s="7" t="str">
        <f>IF(AND(ISBLANK(D2219),ISBLANK(C2219)),"",((VLOOKUP(D2219,Cardápio!$A$2:$C$16,3,0))*E2219)+IF(B2219="iFood",F2219*0.27,(VLOOKUP(VENDAS!C2219,Bairros!$A$2:$B$90,2,0))))</f>
        <v/>
      </c>
      <c r="J2219" s="7" t="str">
        <f t="shared" si="137"/>
        <v/>
      </c>
      <c r="K2219" s="9">
        <f t="shared" ca="1" si="138"/>
        <v>45404.878290162036</v>
      </c>
      <c r="L2219" s="10">
        <f t="shared" ca="1" si="139"/>
        <v>45404.878290046297</v>
      </c>
    </row>
    <row r="2220" spans="6:12" x14ac:dyDescent="0.25">
      <c r="F2220" s="11" t="str">
        <f>IF(ISBLANK(D2220),"",(VLOOKUP(D2220,Cardápio!$A$2:$B$16,2,0))*E2220)</f>
        <v/>
      </c>
      <c r="H2220" s="7" t="str">
        <f t="shared" si="136"/>
        <v/>
      </c>
      <c r="I2220" s="7" t="str">
        <f>IF(AND(ISBLANK(D2220),ISBLANK(C2220)),"",((VLOOKUP(D2220,Cardápio!$A$2:$C$16,3,0))*E2220)+IF(B2220="iFood",F2220*0.27,(VLOOKUP(VENDAS!C2220,Bairros!$A$2:$B$90,2,0))))</f>
        <v/>
      </c>
      <c r="J2220" s="7" t="str">
        <f t="shared" si="137"/>
        <v/>
      </c>
      <c r="K2220" s="9">
        <f t="shared" ca="1" si="138"/>
        <v>45404.878290162036</v>
      </c>
      <c r="L2220" s="10">
        <f t="shared" ca="1" si="139"/>
        <v>45404.878290046297</v>
      </c>
    </row>
    <row r="2221" spans="6:12" x14ac:dyDescent="0.25">
      <c r="F2221" s="11" t="str">
        <f>IF(ISBLANK(D2221),"",(VLOOKUP(D2221,Cardápio!$A$2:$B$16,2,0))*E2221)</f>
        <v/>
      </c>
      <c r="H2221" s="7" t="str">
        <f t="shared" si="136"/>
        <v/>
      </c>
      <c r="I2221" s="7" t="str">
        <f>IF(AND(ISBLANK(D2221),ISBLANK(C2221)),"",((VLOOKUP(D2221,Cardápio!$A$2:$C$16,3,0))*E2221)+IF(B2221="iFood",F2221*0.27,(VLOOKUP(VENDAS!C2221,Bairros!$A$2:$B$90,2,0))))</f>
        <v/>
      </c>
      <c r="J2221" s="7" t="str">
        <f t="shared" si="137"/>
        <v/>
      </c>
      <c r="K2221" s="9">
        <f t="shared" ca="1" si="138"/>
        <v>45404.878290162036</v>
      </c>
      <c r="L2221" s="10">
        <f t="shared" ca="1" si="139"/>
        <v>45404.878290046297</v>
      </c>
    </row>
    <row r="2222" spans="6:12" x14ac:dyDescent="0.25">
      <c r="F2222" s="11" t="str">
        <f>IF(ISBLANK(D2222),"",(VLOOKUP(D2222,Cardápio!$A$2:$B$16,2,0))*E2222)</f>
        <v/>
      </c>
      <c r="H2222" s="7" t="str">
        <f t="shared" si="136"/>
        <v/>
      </c>
      <c r="I2222" s="7" t="str">
        <f>IF(AND(ISBLANK(D2222),ISBLANK(C2222)),"",((VLOOKUP(D2222,Cardápio!$A$2:$C$16,3,0))*E2222)+IF(B2222="iFood",F2222*0.27,(VLOOKUP(VENDAS!C2222,Bairros!$A$2:$B$90,2,0))))</f>
        <v/>
      </c>
      <c r="J2222" s="7" t="str">
        <f t="shared" si="137"/>
        <v/>
      </c>
      <c r="K2222" s="9">
        <f t="shared" ca="1" si="138"/>
        <v>45404.878290162036</v>
      </c>
      <c r="L2222" s="10">
        <f t="shared" ca="1" si="139"/>
        <v>45404.878290046297</v>
      </c>
    </row>
    <row r="2223" spans="6:12" x14ac:dyDescent="0.25">
      <c r="F2223" s="11" t="str">
        <f>IF(ISBLANK(D2223),"",(VLOOKUP(D2223,Cardápio!$A$2:$B$16,2,0))*E2223)</f>
        <v/>
      </c>
      <c r="H2223" s="7" t="str">
        <f t="shared" si="136"/>
        <v/>
      </c>
      <c r="I2223" s="7" t="str">
        <f>IF(AND(ISBLANK(D2223),ISBLANK(C2223)),"",((VLOOKUP(D2223,Cardápio!$A$2:$C$16,3,0))*E2223)+IF(B2223="iFood",F2223*0.27,(VLOOKUP(VENDAS!C2223,Bairros!$A$2:$B$90,2,0))))</f>
        <v/>
      </c>
      <c r="J2223" s="7" t="str">
        <f t="shared" si="137"/>
        <v/>
      </c>
      <c r="K2223" s="9">
        <f t="shared" ca="1" si="138"/>
        <v>45404.878290162036</v>
      </c>
      <c r="L2223" s="10">
        <f t="shared" ca="1" si="139"/>
        <v>45404.878290046297</v>
      </c>
    </row>
    <row r="2224" spans="6:12" x14ac:dyDescent="0.25">
      <c r="F2224" s="11" t="str">
        <f>IF(ISBLANK(D2224),"",(VLOOKUP(D2224,Cardápio!$A$2:$B$16,2,0))*E2224)</f>
        <v/>
      </c>
      <c r="H2224" s="7" t="str">
        <f t="shared" si="136"/>
        <v/>
      </c>
      <c r="I2224" s="7" t="str">
        <f>IF(AND(ISBLANK(D2224),ISBLANK(C2224)),"",((VLOOKUP(D2224,Cardápio!$A$2:$C$16,3,0))*E2224)+IF(B2224="iFood",F2224*0.27,(VLOOKUP(VENDAS!C2224,Bairros!$A$2:$B$90,2,0))))</f>
        <v/>
      </c>
      <c r="J2224" s="7" t="str">
        <f t="shared" si="137"/>
        <v/>
      </c>
      <c r="K2224" s="9">
        <f t="shared" ca="1" si="138"/>
        <v>45404.878290162036</v>
      </c>
      <c r="L2224" s="10">
        <f t="shared" ca="1" si="139"/>
        <v>45404.878290046297</v>
      </c>
    </row>
    <row r="2225" spans="6:12" x14ac:dyDescent="0.25">
      <c r="F2225" s="11" t="str">
        <f>IF(ISBLANK(D2225),"",(VLOOKUP(D2225,Cardápio!$A$2:$B$16,2,0))*E2225)</f>
        <v/>
      </c>
      <c r="H2225" s="7" t="str">
        <f t="shared" si="136"/>
        <v/>
      </c>
      <c r="I2225" s="7" t="str">
        <f>IF(AND(ISBLANK(D2225),ISBLANK(C2225)),"",((VLOOKUP(D2225,Cardápio!$A$2:$C$16,3,0))*E2225)+IF(B2225="iFood",F2225*0.27,(VLOOKUP(VENDAS!C2225,Bairros!$A$2:$B$90,2,0))))</f>
        <v/>
      </c>
      <c r="J2225" s="7" t="str">
        <f t="shared" si="137"/>
        <v/>
      </c>
      <c r="K2225" s="9">
        <f t="shared" ca="1" si="138"/>
        <v>45404.878290162036</v>
      </c>
      <c r="L2225" s="10">
        <f t="shared" ca="1" si="139"/>
        <v>45404.878290046297</v>
      </c>
    </row>
    <row r="2226" spans="6:12" x14ac:dyDescent="0.25">
      <c r="F2226" s="11" t="str">
        <f>IF(ISBLANK(D2226),"",(VLOOKUP(D2226,Cardápio!$A$2:$B$16,2,0))*E2226)</f>
        <v/>
      </c>
      <c r="H2226" s="7" t="str">
        <f t="shared" si="136"/>
        <v/>
      </c>
      <c r="I2226" s="7" t="str">
        <f>IF(AND(ISBLANK(D2226),ISBLANK(C2226)),"",((VLOOKUP(D2226,Cardápio!$A$2:$C$16,3,0))*E2226)+IF(B2226="iFood",F2226*0.27,(VLOOKUP(VENDAS!C2226,Bairros!$A$2:$B$90,2,0))))</f>
        <v/>
      </c>
      <c r="J2226" s="7" t="str">
        <f t="shared" si="137"/>
        <v/>
      </c>
      <c r="K2226" s="9">
        <f t="shared" ca="1" si="138"/>
        <v>45404.878290162036</v>
      </c>
      <c r="L2226" s="10">
        <f t="shared" ca="1" si="139"/>
        <v>45404.878290046297</v>
      </c>
    </row>
    <row r="2227" spans="6:12" x14ac:dyDescent="0.25">
      <c r="F2227" s="11" t="str">
        <f>IF(ISBLANK(D2227),"",(VLOOKUP(D2227,Cardápio!$A$2:$B$16,2,0))*E2227)</f>
        <v/>
      </c>
      <c r="H2227" s="7" t="str">
        <f t="shared" si="136"/>
        <v/>
      </c>
      <c r="I2227" s="7" t="str">
        <f>IF(AND(ISBLANK(D2227),ISBLANK(C2227)),"",((VLOOKUP(D2227,Cardápio!$A$2:$C$16,3,0))*E2227)+IF(B2227="iFood",F2227*0.27,(VLOOKUP(VENDAS!C2227,Bairros!$A$2:$B$90,2,0))))</f>
        <v/>
      </c>
      <c r="J2227" s="7" t="str">
        <f t="shared" si="137"/>
        <v/>
      </c>
      <c r="K2227" s="9">
        <f t="shared" ca="1" si="138"/>
        <v>45404.878290162036</v>
      </c>
      <c r="L2227" s="10">
        <f t="shared" ca="1" si="139"/>
        <v>45404.878290046297</v>
      </c>
    </row>
    <row r="2228" spans="6:12" x14ac:dyDescent="0.25">
      <c r="F2228" s="11" t="str">
        <f>IF(ISBLANK(D2228),"",(VLOOKUP(D2228,Cardápio!$A$2:$B$16,2,0))*E2228)</f>
        <v/>
      </c>
      <c r="H2228" s="7" t="str">
        <f t="shared" si="136"/>
        <v/>
      </c>
      <c r="I2228" s="7" t="str">
        <f>IF(AND(ISBLANK(D2228),ISBLANK(C2228)),"",((VLOOKUP(D2228,Cardápio!$A$2:$C$16,3,0))*E2228)+IF(B2228="iFood",F2228*0.27,(VLOOKUP(VENDAS!C2228,Bairros!$A$2:$B$90,2,0))))</f>
        <v/>
      </c>
      <c r="J2228" s="7" t="str">
        <f t="shared" si="137"/>
        <v/>
      </c>
      <c r="K2228" s="9">
        <f t="shared" ca="1" si="138"/>
        <v>45404.878290162036</v>
      </c>
      <c r="L2228" s="10">
        <f t="shared" ca="1" si="139"/>
        <v>45404.878290046297</v>
      </c>
    </row>
    <row r="2229" spans="6:12" x14ac:dyDescent="0.25">
      <c r="F2229" s="11" t="str">
        <f>IF(ISBLANK(D2229),"",(VLOOKUP(D2229,Cardápio!$A$2:$B$16,2,0))*E2229)</f>
        <v/>
      </c>
      <c r="H2229" s="7" t="str">
        <f t="shared" ref="H2229:H2292" si="140">IF(ISBLANK(D2229),"",F2229-G2229)</f>
        <v/>
      </c>
      <c r="I2229" s="7" t="str">
        <f>IF(AND(ISBLANK(D2229),ISBLANK(C2229)),"",((VLOOKUP(D2229,Cardápio!$A$2:$C$16,3,0))*E2229)+IF(B2229="iFood",F2229*0.27,(VLOOKUP(VENDAS!C2229,Bairros!$A$2:$B$90,2,0))))</f>
        <v/>
      </c>
      <c r="J2229" s="7" t="str">
        <f t="shared" ref="J2229:J2292" si="141">IF(OR(AND(ISBLANK(H2229),ISBLANK(I2229)),(AND(H2229="",I2229=""))),"",H2229-I2229)</f>
        <v/>
      </c>
      <c r="K2229" s="9">
        <f t="shared" ref="K2229:K2292" ca="1" si="142">IF(D2229&lt;&gt;"",K2229,NOW())</f>
        <v>45404.878290162036</v>
      </c>
      <c r="L2229" s="10">
        <f t="shared" ref="L2229:L2292" ca="1" si="143">IF(D2229&lt;&gt;"",L2229,NOW())</f>
        <v>45404.878290046297</v>
      </c>
    </row>
    <row r="2230" spans="6:12" x14ac:dyDescent="0.25">
      <c r="F2230" s="11" t="str">
        <f>IF(ISBLANK(D2230),"",(VLOOKUP(D2230,Cardápio!$A$2:$B$16,2,0))*E2230)</f>
        <v/>
      </c>
      <c r="H2230" s="7" t="str">
        <f t="shared" si="140"/>
        <v/>
      </c>
      <c r="I2230" s="7" t="str">
        <f>IF(AND(ISBLANK(D2230),ISBLANK(C2230)),"",((VLOOKUP(D2230,Cardápio!$A$2:$C$16,3,0))*E2230)+IF(B2230="iFood",F2230*0.27,(VLOOKUP(VENDAS!C2230,Bairros!$A$2:$B$90,2,0))))</f>
        <v/>
      </c>
      <c r="J2230" s="7" t="str">
        <f t="shared" si="141"/>
        <v/>
      </c>
      <c r="K2230" s="9">
        <f t="shared" ca="1" si="142"/>
        <v>45404.878290162036</v>
      </c>
      <c r="L2230" s="10">
        <f t="shared" ca="1" si="143"/>
        <v>45404.878290046297</v>
      </c>
    </row>
    <row r="2231" spans="6:12" x14ac:dyDescent="0.25">
      <c r="F2231" s="11" t="str">
        <f>IF(ISBLANK(D2231),"",(VLOOKUP(D2231,Cardápio!$A$2:$B$16,2,0))*E2231)</f>
        <v/>
      </c>
      <c r="H2231" s="7" t="str">
        <f t="shared" si="140"/>
        <v/>
      </c>
      <c r="I2231" s="7" t="str">
        <f>IF(AND(ISBLANK(D2231),ISBLANK(C2231)),"",((VLOOKUP(D2231,Cardápio!$A$2:$C$16,3,0))*E2231)+IF(B2231="iFood",F2231*0.27,(VLOOKUP(VENDAS!C2231,Bairros!$A$2:$B$90,2,0))))</f>
        <v/>
      </c>
      <c r="J2231" s="7" t="str">
        <f t="shared" si="141"/>
        <v/>
      </c>
      <c r="K2231" s="9">
        <f t="shared" ca="1" si="142"/>
        <v>45404.878290162036</v>
      </c>
      <c r="L2231" s="10">
        <f t="shared" ca="1" si="143"/>
        <v>45404.878290046297</v>
      </c>
    </row>
    <row r="2232" spans="6:12" x14ac:dyDescent="0.25">
      <c r="F2232" s="11" t="str">
        <f>IF(ISBLANK(D2232),"",(VLOOKUP(D2232,Cardápio!$A$2:$B$16,2,0))*E2232)</f>
        <v/>
      </c>
      <c r="H2232" s="7" t="str">
        <f t="shared" si="140"/>
        <v/>
      </c>
      <c r="I2232" s="7" t="str">
        <f>IF(AND(ISBLANK(D2232),ISBLANK(C2232)),"",((VLOOKUP(D2232,Cardápio!$A$2:$C$16,3,0))*E2232)+IF(B2232="iFood",F2232*0.27,(VLOOKUP(VENDAS!C2232,Bairros!$A$2:$B$90,2,0))))</f>
        <v/>
      </c>
      <c r="J2232" s="7" t="str">
        <f t="shared" si="141"/>
        <v/>
      </c>
      <c r="K2232" s="9">
        <f t="shared" ca="1" si="142"/>
        <v>45404.878290162036</v>
      </c>
      <c r="L2232" s="10">
        <f t="shared" ca="1" si="143"/>
        <v>45404.878290046297</v>
      </c>
    </row>
    <row r="2233" spans="6:12" x14ac:dyDescent="0.25">
      <c r="F2233" s="11" t="str">
        <f>IF(ISBLANK(D2233),"",(VLOOKUP(D2233,Cardápio!$A$2:$B$16,2,0))*E2233)</f>
        <v/>
      </c>
      <c r="H2233" s="7" t="str">
        <f t="shared" si="140"/>
        <v/>
      </c>
      <c r="I2233" s="7" t="str">
        <f>IF(AND(ISBLANK(D2233),ISBLANK(C2233)),"",((VLOOKUP(D2233,Cardápio!$A$2:$C$16,3,0))*E2233)+IF(B2233="iFood",F2233*0.27,(VLOOKUP(VENDAS!C2233,Bairros!$A$2:$B$90,2,0))))</f>
        <v/>
      </c>
      <c r="J2233" s="7" t="str">
        <f t="shared" si="141"/>
        <v/>
      </c>
      <c r="K2233" s="9">
        <f t="shared" ca="1" si="142"/>
        <v>45404.878290162036</v>
      </c>
      <c r="L2233" s="10">
        <f t="shared" ca="1" si="143"/>
        <v>45404.878290046297</v>
      </c>
    </row>
    <row r="2234" spans="6:12" x14ac:dyDescent="0.25">
      <c r="F2234" s="11" t="str">
        <f>IF(ISBLANK(D2234),"",(VLOOKUP(D2234,Cardápio!$A$2:$B$16,2,0))*E2234)</f>
        <v/>
      </c>
      <c r="H2234" s="7" t="str">
        <f t="shared" si="140"/>
        <v/>
      </c>
      <c r="I2234" s="7" t="str">
        <f>IF(AND(ISBLANK(D2234),ISBLANK(C2234)),"",((VLOOKUP(D2234,Cardápio!$A$2:$C$16,3,0))*E2234)+IF(B2234="iFood",F2234*0.27,(VLOOKUP(VENDAS!C2234,Bairros!$A$2:$B$90,2,0))))</f>
        <v/>
      </c>
      <c r="J2234" s="7" t="str">
        <f t="shared" si="141"/>
        <v/>
      </c>
      <c r="K2234" s="9">
        <f t="shared" ca="1" si="142"/>
        <v>45404.878290162036</v>
      </c>
      <c r="L2234" s="10">
        <f t="shared" ca="1" si="143"/>
        <v>45404.878290046297</v>
      </c>
    </row>
    <row r="2235" spans="6:12" x14ac:dyDescent="0.25">
      <c r="F2235" s="11" t="str">
        <f>IF(ISBLANK(D2235),"",(VLOOKUP(D2235,Cardápio!$A$2:$B$16,2,0))*E2235)</f>
        <v/>
      </c>
      <c r="H2235" s="7" t="str">
        <f t="shared" si="140"/>
        <v/>
      </c>
      <c r="I2235" s="7" t="str">
        <f>IF(AND(ISBLANK(D2235),ISBLANK(C2235)),"",((VLOOKUP(D2235,Cardápio!$A$2:$C$16,3,0))*E2235)+IF(B2235="iFood",F2235*0.27,(VLOOKUP(VENDAS!C2235,Bairros!$A$2:$B$90,2,0))))</f>
        <v/>
      </c>
      <c r="J2235" s="7" t="str">
        <f t="shared" si="141"/>
        <v/>
      </c>
      <c r="K2235" s="9">
        <f t="shared" ca="1" si="142"/>
        <v>45404.878290162036</v>
      </c>
      <c r="L2235" s="10">
        <f t="shared" ca="1" si="143"/>
        <v>45404.878290046297</v>
      </c>
    </row>
    <row r="2236" spans="6:12" x14ac:dyDescent="0.25">
      <c r="F2236" s="11" t="str">
        <f>IF(ISBLANK(D2236),"",(VLOOKUP(D2236,Cardápio!$A$2:$B$16,2,0))*E2236)</f>
        <v/>
      </c>
      <c r="H2236" s="7" t="str">
        <f t="shared" si="140"/>
        <v/>
      </c>
      <c r="I2236" s="7" t="str">
        <f>IF(AND(ISBLANK(D2236),ISBLANK(C2236)),"",((VLOOKUP(D2236,Cardápio!$A$2:$C$16,3,0))*E2236)+IF(B2236="iFood",F2236*0.27,(VLOOKUP(VENDAS!C2236,Bairros!$A$2:$B$90,2,0))))</f>
        <v/>
      </c>
      <c r="J2236" s="7" t="str">
        <f t="shared" si="141"/>
        <v/>
      </c>
      <c r="K2236" s="9">
        <f t="shared" ca="1" si="142"/>
        <v>45404.878290162036</v>
      </c>
      <c r="L2236" s="10">
        <f t="shared" ca="1" si="143"/>
        <v>45404.878290046297</v>
      </c>
    </row>
    <row r="2237" spans="6:12" x14ac:dyDescent="0.25">
      <c r="F2237" s="11" t="str">
        <f>IF(ISBLANK(D2237),"",(VLOOKUP(D2237,Cardápio!$A$2:$B$16,2,0))*E2237)</f>
        <v/>
      </c>
      <c r="H2237" s="7" t="str">
        <f t="shared" si="140"/>
        <v/>
      </c>
      <c r="I2237" s="7" t="str">
        <f>IF(AND(ISBLANK(D2237),ISBLANK(C2237)),"",((VLOOKUP(D2237,Cardápio!$A$2:$C$16,3,0))*E2237)+IF(B2237="iFood",F2237*0.27,(VLOOKUP(VENDAS!C2237,Bairros!$A$2:$B$90,2,0))))</f>
        <v/>
      </c>
      <c r="J2237" s="7" t="str">
        <f t="shared" si="141"/>
        <v/>
      </c>
      <c r="K2237" s="9">
        <f t="shared" ca="1" si="142"/>
        <v>45404.878290162036</v>
      </c>
      <c r="L2237" s="10">
        <f t="shared" ca="1" si="143"/>
        <v>45404.878290046297</v>
      </c>
    </row>
    <row r="2238" spans="6:12" x14ac:dyDescent="0.25">
      <c r="F2238" s="11" t="str">
        <f>IF(ISBLANK(D2238),"",(VLOOKUP(D2238,Cardápio!$A$2:$B$16,2,0))*E2238)</f>
        <v/>
      </c>
      <c r="H2238" s="7" t="str">
        <f t="shared" si="140"/>
        <v/>
      </c>
      <c r="I2238" s="7" t="str">
        <f>IF(AND(ISBLANK(D2238),ISBLANK(C2238)),"",((VLOOKUP(D2238,Cardápio!$A$2:$C$16,3,0))*E2238)+IF(B2238="iFood",F2238*0.27,(VLOOKUP(VENDAS!C2238,Bairros!$A$2:$B$90,2,0))))</f>
        <v/>
      </c>
      <c r="J2238" s="7" t="str">
        <f t="shared" si="141"/>
        <v/>
      </c>
      <c r="K2238" s="9">
        <f t="shared" ca="1" si="142"/>
        <v>45404.878290162036</v>
      </c>
      <c r="L2238" s="10">
        <f t="shared" ca="1" si="143"/>
        <v>45404.878290046297</v>
      </c>
    </row>
    <row r="2239" spans="6:12" x14ac:dyDescent="0.25">
      <c r="F2239" s="11" t="str">
        <f>IF(ISBLANK(D2239),"",(VLOOKUP(D2239,Cardápio!$A$2:$B$16,2,0))*E2239)</f>
        <v/>
      </c>
      <c r="H2239" s="7" t="str">
        <f t="shared" si="140"/>
        <v/>
      </c>
      <c r="I2239" s="7" t="str">
        <f>IF(AND(ISBLANK(D2239),ISBLANK(C2239)),"",((VLOOKUP(D2239,Cardápio!$A$2:$C$16,3,0))*E2239)+IF(B2239="iFood",F2239*0.27,(VLOOKUP(VENDAS!C2239,Bairros!$A$2:$B$90,2,0))))</f>
        <v/>
      </c>
      <c r="J2239" s="7" t="str">
        <f t="shared" si="141"/>
        <v/>
      </c>
      <c r="K2239" s="9">
        <f t="shared" ca="1" si="142"/>
        <v>45404.878290162036</v>
      </c>
      <c r="L2239" s="10">
        <f t="shared" ca="1" si="143"/>
        <v>45404.878290046297</v>
      </c>
    </row>
    <row r="2240" spans="6:12" x14ac:dyDescent="0.25">
      <c r="F2240" s="11" t="str">
        <f>IF(ISBLANK(D2240),"",(VLOOKUP(D2240,Cardápio!$A$2:$B$16,2,0))*E2240)</f>
        <v/>
      </c>
      <c r="H2240" s="7" t="str">
        <f t="shared" si="140"/>
        <v/>
      </c>
      <c r="I2240" s="7" t="str">
        <f>IF(AND(ISBLANK(D2240),ISBLANK(C2240)),"",((VLOOKUP(D2240,Cardápio!$A$2:$C$16,3,0))*E2240)+IF(B2240="iFood",F2240*0.27,(VLOOKUP(VENDAS!C2240,Bairros!$A$2:$B$90,2,0))))</f>
        <v/>
      </c>
      <c r="J2240" s="7" t="str">
        <f t="shared" si="141"/>
        <v/>
      </c>
      <c r="K2240" s="9">
        <f t="shared" ca="1" si="142"/>
        <v>45404.878290162036</v>
      </c>
      <c r="L2240" s="10">
        <f t="shared" ca="1" si="143"/>
        <v>45404.878290046297</v>
      </c>
    </row>
    <row r="2241" spans="6:12" x14ac:dyDescent="0.25">
      <c r="F2241" s="11" t="str">
        <f>IF(ISBLANK(D2241),"",(VLOOKUP(D2241,Cardápio!$A$2:$B$16,2,0))*E2241)</f>
        <v/>
      </c>
      <c r="H2241" s="7" t="str">
        <f t="shared" si="140"/>
        <v/>
      </c>
      <c r="I2241" s="7" t="str">
        <f>IF(AND(ISBLANK(D2241),ISBLANK(C2241)),"",((VLOOKUP(D2241,Cardápio!$A$2:$C$16,3,0))*E2241)+IF(B2241="iFood",F2241*0.27,(VLOOKUP(VENDAS!C2241,Bairros!$A$2:$B$90,2,0))))</f>
        <v/>
      </c>
      <c r="J2241" s="7" t="str">
        <f t="shared" si="141"/>
        <v/>
      </c>
      <c r="K2241" s="9">
        <f t="shared" ca="1" si="142"/>
        <v>45404.878290162036</v>
      </c>
      <c r="L2241" s="10">
        <f t="shared" ca="1" si="143"/>
        <v>45404.878290046297</v>
      </c>
    </row>
    <row r="2242" spans="6:12" x14ac:dyDescent="0.25">
      <c r="F2242" s="11" t="str">
        <f>IF(ISBLANK(D2242),"",(VLOOKUP(D2242,Cardápio!$A$2:$B$16,2,0))*E2242)</f>
        <v/>
      </c>
      <c r="H2242" s="7" t="str">
        <f t="shared" si="140"/>
        <v/>
      </c>
      <c r="I2242" s="7" t="str">
        <f>IF(AND(ISBLANK(D2242),ISBLANK(C2242)),"",((VLOOKUP(D2242,Cardápio!$A$2:$C$16,3,0))*E2242)+IF(B2242="iFood",F2242*0.27,(VLOOKUP(VENDAS!C2242,Bairros!$A$2:$B$90,2,0))))</f>
        <v/>
      </c>
      <c r="J2242" s="7" t="str">
        <f t="shared" si="141"/>
        <v/>
      </c>
      <c r="K2242" s="9">
        <f t="shared" ca="1" si="142"/>
        <v>45404.878290162036</v>
      </c>
      <c r="L2242" s="10">
        <f t="shared" ca="1" si="143"/>
        <v>45404.878290046297</v>
      </c>
    </row>
    <row r="2243" spans="6:12" x14ac:dyDescent="0.25">
      <c r="F2243" s="11" t="str">
        <f>IF(ISBLANK(D2243),"",(VLOOKUP(D2243,Cardápio!$A$2:$B$16,2,0))*E2243)</f>
        <v/>
      </c>
      <c r="H2243" s="7" t="str">
        <f t="shared" si="140"/>
        <v/>
      </c>
      <c r="I2243" s="7" t="str">
        <f>IF(AND(ISBLANK(D2243),ISBLANK(C2243)),"",((VLOOKUP(D2243,Cardápio!$A$2:$C$16,3,0))*E2243)+IF(B2243="iFood",F2243*0.27,(VLOOKUP(VENDAS!C2243,Bairros!$A$2:$B$90,2,0))))</f>
        <v/>
      </c>
      <c r="J2243" s="7" t="str">
        <f t="shared" si="141"/>
        <v/>
      </c>
      <c r="K2243" s="9">
        <f t="shared" ca="1" si="142"/>
        <v>45404.878290162036</v>
      </c>
      <c r="L2243" s="10">
        <f t="shared" ca="1" si="143"/>
        <v>45404.878290046297</v>
      </c>
    </row>
    <row r="2244" spans="6:12" x14ac:dyDescent="0.25">
      <c r="F2244" s="11" t="str">
        <f>IF(ISBLANK(D2244),"",(VLOOKUP(D2244,Cardápio!$A$2:$B$16,2,0))*E2244)</f>
        <v/>
      </c>
      <c r="H2244" s="7" t="str">
        <f t="shared" si="140"/>
        <v/>
      </c>
      <c r="I2244" s="7" t="str">
        <f>IF(AND(ISBLANK(D2244),ISBLANK(C2244)),"",((VLOOKUP(D2244,Cardápio!$A$2:$C$16,3,0))*E2244)+IF(B2244="iFood",F2244*0.27,(VLOOKUP(VENDAS!C2244,Bairros!$A$2:$B$90,2,0))))</f>
        <v/>
      </c>
      <c r="J2244" s="7" t="str">
        <f t="shared" si="141"/>
        <v/>
      </c>
      <c r="K2244" s="9">
        <f t="shared" ca="1" si="142"/>
        <v>45404.878290162036</v>
      </c>
      <c r="L2244" s="10">
        <f t="shared" ca="1" si="143"/>
        <v>45404.878290046297</v>
      </c>
    </row>
    <row r="2245" spans="6:12" x14ac:dyDescent="0.25">
      <c r="F2245" s="11" t="str">
        <f>IF(ISBLANK(D2245),"",(VLOOKUP(D2245,Cardápio!$A$2:$B$16,2,0))*E2245)</f>
        <v/>
      </c>
      <c r="H2245" s="7" t="str">
        <f t="shared" si="140"/>
        <v/>
      </c>
      <c r="I2245" s="7" t="str">
        <f>IF(AND(ISBLANK(D2245),ISBLANK(C2245)),"",((VLOOKUP(D2245,Cardápio!$A$2:$C$16,3,0))*E2245)+IF(B2245="iFood",F2245*0.27,(VLOOKUP(VENDAS!C2245,Bairros!$A$2:$B$90,2,0))))</f>
        <v/>
      </c>
      <c r="J2245" s="7" t="str">
        <f t="shared" si="141"/>
        <v/>
      </c>
      <c r="K2245" s="9">
        <f t="shared" ca="1" si="142"/>
        <v>45404.878290162036</v>
      </c>
      <c r="L2245" s="10">
        <f t="shared" ca="1" si="143"/>
        <v>45404.878290046297</v>
      </c>
    </row>
    <row r="2246" spans="6:12" x14ac:dyDescent="0.25">
      <c r="F2246" s="11" t="str">
        <f>IF(ISBLANK(D2246),"",(VLOOKUP(D2246,Cardápio!$A$2:$B$16,2,0))*E2246)</f>
        <v/>
      </c>
      <c r="H2246" s="7" t="str">
        <f t="shared" si="140"/>
        <v/>
      </c>
      <c r="I2246" s="7" t="str">
        <f>IF(AND(ISBLANK(D2246),ISBLANK(C2246)),"",((VLOOKUP(D2246,Cardápio!$A$2:$C$16,3,0))*E2246)+IF(B2246="iFood",F2246*0.27,(VLOOKUP(VENDAS!C2246,Bairros!$A$2:$B$90,2,0))))</f>
        <v/>
      </c>
      <c r="J2246" s="7" t="str">
        <f t="shared" si="141"/>
        <v/>
      </c>
      <c r="K2246" s="9">
        <f t="shared" ca="1" si="142"/>
        <v>45404.878290162036</v>
      </c>
      <c r="L2246" s="10">
        <f t="shared" ca="1" si="143"/>
        <v>45404.878290046297</v>
      </c>
    </row>
    <row r="2247" spans="6:12" x14ac:dyDescent="0.25">
      <c r="F2247" s="11" t="str">
        <f>IF(ISBLANK(D2247),"",(VLOOKUP(D2247,Cardápio!$A$2:$B$16,2,0))*E2247)</f>
        <v/>
      </c>
      <c r="H2247" s="7" t="str">
        <f t="shared" si="140"/>
        <v/>
      </c>
      <c r="I2247" s="7" t="str">
        <f>IF(AND(ISBLANK(D2247),ISBLANK(C2247)),"",((VLOOKUP(D2247,Cardápio!$A$2:$C$16,3,0))*E2247)+IF(B2247="iFood",F2247*0.27,(VLOOKUP(VENDAS!C2247,Bairros!$A$2:$B$90,2,0))))</f>
        <v/>
      </c>
      <c r="J2247" s="7" t="str">
        <f t="shared" si="141"/>
        <v/>
      </c>
      <c r="K2247" s="9">
        <f t="shared" ca="1" si="142"/>
        <v>45404.878290162036</v>
      </c>
      <c r="L2247" s="10">
        <f t="shared" ca="1" si="143"/>
        <v>45404.878290046297</v>
      </c>
    </row>
    <row r="2248" spans="6:12" x14ac:dyDescent="0.25">
      <c r="F2248" s="11" t="str">
        <f>IF(ISBLANK(D2248),"",(VLOOKUP(D2248,Cardápio!$A$2:$B$16,2,0))*E2248)</f>
        <v/>
      </c>
      <c r="H2248" s="7" t="str">
        <f t="shared" si="140"/>
        <v/>
      </c>
      <c r="I2248" s="7" t="str">
        <f>IF(AND(ISBLANK(D2248),ISBLANK(C2248)),"",((VLOOKUP(D2248,Cardápio!$A$2:$C$16,3,0))*E2248)+IF(B2248="iFood",F2248*0.27,(VLOOKUP(VENDAS!C2248,Bairros!$A$2:$B$90,2,0))))</f>
        <v/>
      </c>
      <c r="J2248" s="7" t="str">
        <f t="shared" si="141"/>
        <v/>
      </c>
      <c r="K2248" s="9">
        <f t="shared" ca="1" si="142"/>
        <v>45404.878290162036</v>
      </c>
      <c r="L2248" s="10">
        <f t="shared" ca="1" si="143"/>
        <v>45404.878290046297</v>
      </c>
    </row>
    <row r="2249" spans="6:12" x14ac:dyDescent="0.25">
      <c r="F2249" s="11" t="str">
        <f>IF(ISBLANK(D2249),"",(VLOOKUP(D2249,Cardápio!$A$2:$B$16,2,0))*E2249)</f>
        <v/>
      </c>
      <c r="H2249" s="7" t="str">
        <f t="shared" si="140"/>
        <v/>
      </c>
      <c r="I2249" s="7" t="str">
        <f>IF(AND(ISBLANK(D2249),ISBLANK(C2249)),"",((VLOOKUP(D2249,Cardápio!$A$2:$C$16,3,0))*E2249)+IF(B2249="iFood",F2249*0.27,(VLOOKUP(VENDAS!C2249,Bairros!$A$2:$B$90,2,0))))</f>
        <v/>
      </c>
      <c r="J2249" s="7" t="str">
        <f t="shared" si="141"/>
        <v/>
      </c>
      <c r="K2249" s="9">
        <f t="shared" ca="1" si="142"/>
        <v>45404.878290162036</v>
      </c>
      <c r="L2249" s="10">
        <f t="shared" ca="1" si="143"/>
        <v>45404.878290046297</v>
      </c>
    </row>
    <row r="2250" spans="6:12" x14ac:dyDescent="0.25">
      <c r="F2250" s="11" t="str">
        <f>IF(ISBLANK(D2250),"",(VLOOKUP(D2250,Cardápio!$A$2:$B$16,2,0))*E2250)</f>
        <v/>
      </c>
      <c r="H2250" s="7" t="str">
        <f t="shared" si="140"/>
        <v/>
      </c>
      <c r="I2250" s="7" t="str">
        <f>IF(AND(ISBLANK(D2250),ISBLANK(C2250)),"",((VLOOKUP(D2250,Cardápio!$A$2:$C$16,3,0))*E2250)+IF(B2250="iFood",F2250*0.27,(VLOOKUP(VENDAS!C2250,Bairros!$A$2:$B$90,2,0))))</f>
        <v/>
      </c>
      <c r="J2250" s="7" t="str">
        <f t="shared" si="141"/>
        <v/>
      </c>
      <c r="K2250" s="9">
        <f t="shared" ca="1" si="142"/>
        <v>45404.878290162036</v>
      </c>
      <c r="L2250" s="10">
        <f t="shared" ca="1" si="143"/>
        <v>45404.878290046297</v>
      </c>
    </row>
    <row r="2251" spans="6:12" x14ac:dyDescent="0.25">
      <c r="F2251" s="11" t="str">
        <f>IF(ISBLANK(D2251),"",(VLOOKUP(D2251,Cardápio!$A$2:$B$16,2,0))*E2251)</f>
        <v/>
      </c>
      <c r="H2251" s="7" t="str">
        <f t="shared" si="140"/>
        <v/>
      </c>
      <c r="I2251" s="7" t="str">
        <f>IF(AND(ISBLANK(D2251),ISBLANK(C2251)),"",((VLOOKUP(D2251,Cardápio!$A$2:$C$16,3,0))*E2251)+IF(B2251="iFood",F2251*0.27,(VLOOKUP(VENDAS!C2251,Bairros!$A$2:$B$90,2,0))))</f>
        <v/>
      </c>
      <c r="J2251" s="7" t="str">
        <f t="shared" si="141"/>
        <v/>
      </c>
      <c r="K2251" s="9">
        <f t="shared" ca="1" si="142"/>
        <v>45404.878290162036</v>
      </c>
      <c r="L2251" s="10">
        <f t="shared" ca="1" si="143"/>
        <v>45404.878290046297</v>
      </c>
    </row>
    <row r="2252" spans="6:12" x14ac:dyDescent="0.25">
      <c r="F2252" s="11" t="str">
        <f>IF(ISBLANK(D2252),"",(VLOOKUP(D2252,Cardápio!$A$2:$B$16,2,0))*E2252)</f>
        <v/>
      </c>
      <c r="H2252" s="7" t="str">
        <f t="shared" si="140"/>
        <v/>
      </c>
      <c r="I2252" s="7" t="str">
        <f>IF(AND(ISBLANK(D2252),ISBLANK(C2252)),"",((VLOOKUP(D2252,Cardápio!$A$2:$C$16,3,0))*E2252)+IF(B2252="iFood",F2252*0.27,(VLOOKUP(VENDAS!C2252,Bairros!$A$2:$B$90,2,0))))</f>
        <v/>
      </c>
      <c r="J2252" s="7" t="str">
        <f t="shared" si="141"/>
        <v/>
      </c>
      <c r="K2252" s="9">
        <f t="shared" ca="1" si="142"/>
        <v>45404.878290162036</v>
      </c>
      <c r="L2252" s="10">
        <f t="shared" ca="1" si="143"/>
        <v>45404.878290046297</v>
      </c>
    </row>
    <row r="2253" spans="6:12" x14ac:dyDescent="0.25">
      <c r="F2253" s="11" t="str">
        <f>IF(ISBLANK(D2253),"",(VLOOKUP(D2253,Cardápio!$A$2:$B$16,2,0))*E2253)</f>
        <v/>
      </c>
      <c r="H2253" s="7" t="str">
        <f t="shared" si="140"/>
        <v/>
      </c>
      <c r="I2253" s="7" t="str">
        <f>IF(AND(ISBLANK(D2253),ISBLANK(C2253)),"",((VLOOKUP(D2253,Cardápio!$A$2:$C$16,3,0))*E2253)+IF(B2253="iFood",F2253*0.27,(VLOOKUP(VENDAS!C2253,Bairros!$A$2:$B$90,2,0))))</f>
        <v/>
      </c>
      <c r="J2253" s="7" t="str">
        <f t="shared" si="141"/>
        <v/>
      </c>
      <c r="K2253" s="9">
        <f t="shared" ca="1" si="142"/>
        <v>45404.878290162036</v>
      </c>
      <c r="L2253" s="10">
        <f t="shared" ca="1" si="143"/>
        <v>45404.878290046297</v>
      </c>
    </row>
    <row r="2254" spans="6:12" x14ac:dyDescent="0.25">
      <c r="F2254" s="11" t="str">
        <f>IF(ISBLANK(D2254),"",(VLOOKUP(D2254,Cardápio!$A$2:$B$16,2,0))*E2254)</f>
        <v/>
      </c>
      <c r="H2254" s="7" t="str">
        <f t="shared" si="140"/>
        <v/>
      </c>
      <c r="I2254" s="7" t="str">
        <f>IF(AND(ISBLANK(D2254),ISBLANK(C2254)),"",((VLOOKUP(D2254,Cardápio!$A$2:$C$16,3,0))*E2254)+IF(B2254="iFood",F2254*0.27,(VLOOKUP(VENDAS!C2254,Bairros!$A$2:$B$90,2,0))))</f>
        <v/>
      </c>
      <c r="J2254" s="7" t="str">
        <f t="shared" si="141"/>
        <v/>
      </c>
      <c r="K2254" s="9">
        <f t="shared" ca="1" si="142"/>
        <v>45404.878290162036</v>
      </c>
      <c r="L2254" s="10">
        <f t="shared" ca="1" si="143"/>
        <v>45404.878290046297</v>
      </c>
    </row>
    <row r="2255" spans="6:12" x14ac:dyDescent="0.25">
      <c r="F2255" s="11" t="str">
        <f>IF(ISBLANK(D2255),"",(VLOOKUP(D2255,Cardápio!$A$2:$B$16,2,0))*E2255)</f>
        <v/>
      </c>
      <c r="H2255" s="7" t="str">
        <f t="shared" si="140"/>
        <v/>
      </c>
      <c r="I2255" s="7" t="str">
        <f>IF(AND(ISBLANK(D2255),ISBLANK(C2255)),"",((VLOOKUP(D2255,Cardápio!$A$2:$C$16,3,0))*E2255)+IF(B2255="iFood",F2255*0.27,(VLOOKUP(VENDAS!C2255,Bairros!$A$2:$B$90,2,0))))</f>
        <v/>
      </c>
      <c r="J2255" s="7" t="str">
        <f t="shared" si="141"/>
        <v/>
      </c>
      <c r="K2255" s="9">
        <f t="shared" ca="1" si="142"/>
        <v>45404.878290162036</v>
      </c>
      <c r="L2255" s="10">
        <f t="shared" ca="1" si="143"/>
        <v>45404.878290046297</v>
      </c>
    </row>
    <row r="2256" spans="6:12" x14ac:dyDescent="0.25">
      <c r="F2256" s="11" t="str">
        <f>IF(ISBLANK(D2256),"",(VLOOKUP(D2256,Cardápio!$A$2:$B$16,2,0))*E2256)</f>
        <v/>
      </c>
      <c r="H2256" s="7" t="str">
        <f t="shared" si="140"/>
        <v/>
      </c>
      <c r="I2256" s="7" t="str">
        <f>IF(AND(ISBLANK(D2256),ISBLANK(C2256)),"",((VLOOKUP(D2256,Cardápio!$A$2:$C$16,3,0))*E2256)+IF(B2256="iFood",F2256*0.27,(VLOOKUP(VENDAS!C2256,Bairros!$A$2:$B$90,2,0))))</f>
        <v/>
      </c>
      <c r="J2256" s="7" t="str">
        <f t="shared" si="141"/>
        <v/>
      </c>
      <c r="K2256" s="9">
        <f t="shared" ca="1" si="142"/>
        <v>45404.878290162036</v>
      </c>
      <c r="L2256" s="10">
        <f t="shared" ca="1" si="143"/>
        <v>45404.878290046297</v>
      </c>
    </row>
    <row r="2257" spans="6:12" x14ac:dyDescent="0.25">
      <c r="F2257" s="11" t="str">
        <f>IF(ISBLANK(D2257),"",(VLOOKUP(D2257,Cardápio!$A$2:$B$16,2,0))*E2257)</f>
        <v/>
      </c>
      <c r="H2257" s="7" t="str">
        <f t="shared" si="140"/>
        <v/>
      </c>
      <c r="I2257" s="7" t="str">
        <f>IF(AND(ISBLANK(D2257),ISBLANK(C2257)),"",((VLOOKUP(D2257,Cardápio!$A$2:$C$16,3,0))*E2257)+IF(B2257="iFood",F2257*0.27,(VLOOKUP(VENDAS!C2257,Bairros!$A$2:$B$90,2,0))))</f>
        <v/>
      </c>
      <c r="J2257" s="7" t="str">
        <f t="shared" si="141"/>
        <v/>
      </c>
      <c r="K2257" s="9">
        <f t="shared" ca="1" si="142"/>
        <v>45404.878290162036</v>
      </c>
      <c r="L2257" s="10">
        <f t="shared" ca="1" si="143"/>
        <v>45404.878290046297</v>
      </c>
    </row>
    <row r="2258" spans="6:12" x14ac:dyDescent="0.25">
      <c r="F2258" s="11" t="str">
        <f>IF(ISBLANK(D2258),"",(VLOOKUP(D2258,Cardápio!$A$2:$B$16,2,0))*E2258)</f>
        <v/>
      </c>
      <c r="H2258" s="7" t="str">
        <f t="shared" si="140"/>
        <v/>
      </c>
      <c r="I2258" s="7" t="str">
        <f>IF(AND(ISBLANK(D2258),ISBLANK(C2258)),"",((VLOOKUP(D2258,Cardápio!$A$2:$C$16,3,0))*E2258)+IF(B2258="iFood",F2258*0.27,(VLOOKUP(VENDAS!C2258,Bairros!$A$2:$B$90,2,0))))</f>
        <v/>
      </c>
      <c r="J2258" s="7" t="str">
        <f t="shared" si="141"/>
        <v/>
      </c>
      <c r="K2258" s="9">
        <f t="shared" ca="1" si="142"/>
        <v>45404.878290162036</v>
      </c>
      <c r="L2258" s="10">
        <f t="shared" ca="1" si="143"/>
        <v>45404.878290046297</v>
      </c>
    </row>
    <row r="2259" spans="6:12" x14ac:dyDescent="0.25">
      <c r="F2259" s="11" t="str">
        <f>IF(ISBLANK(D2259),"",(VLOOKUP(D2259,Cardápio!$A$2:$B$16,2,0))*E2259)</f>
        <v/>
      </c>
      <c r="H2259" s="7" t="str">
        <f t="shared" si="140"/>
        <v/>
      </c>
      <c r="I2259" s="7" t="str">
        <f>IF(AND(ISBLANK(D2259),ISBLANK(C2259)),"",((VLOOKUP(D2259,Cardápio!$A$2:$C$16,3,0))*E2259)+IF(B2259="iFood",F2259*0.27,(VLOOKUP(VENDAS!C2259,Bairros!$A$2:$B$90,2,0))))</f>
        <v/>
      </c>
      <c r="J2259" s="7" t="str">
        <f t="shared" si="141"/>
        <v/>
      </c>
      <c r="K2259" s="9">
        <f t="shared" ca="1" si="142"/>
        <v>45404.878290162036</v>
      </c>
      <c r="L2259" s="10">
        <f t="shared" ca="1" si="143"/>
        <v>45404.878290046297</v>
      </c>
    </row>
    <row r="2260" spans="6:12" x14ac:dyDescent="0.25">
      <c r="F2260" s="11" t="str">
        <f>IF(ISBLANK(D2260),"",(VLOOKUP(D2260,Cardápio!$A$2:$B$16,2,0))*E2260)</f>
        <v/>
      </c>
      <c r="H2260" s="7" t="str">
        <f t="shared" si="140"/>
        <v/>
      </c>
      <c r="I2260" s="7" t="str">
        <f>IF(AND(ISBLANK(D2260),ISBLANK(C2260)),"",((VLOOKUP(D2260,Cardápio!$A$2:$C$16,3,0))*E2260)+IF(B2260="iFood",F2260*0.27,(VLOOKUP(VENDAS!C2260,Bairros!$A$2:$B$90,2,0))))</f>
        <v/>
      </c>
      <c r="J2260" s="7" t="str">
        <f t="shared" si="141"/>
        <v/>
      </c>
      <c r="K2260" s="9">
        <f t="shared" ca="1" si="142"/>
        <v>45404.878290162036</v>
      </c>
      <c r="L2260" s="10">
        <f t="shared" ca="1" si="143"/>
        <v>45404.878290046297</v>
      </c>
    </row>
    <row r="2261" spans="6:12" x14ac:dyDescent="0.25">
      <c r="F2261" s="11" t="str">
        <f>IF(ISBLANK(D2261),"",(VLOOKUP(D2261,Cardápio!$A$2:$B$16,2,0))*E2261)</f>
        <v/>
      </c>
      <c r="H2261" s="7" t="str">
        <f t="shared" si="140"/>
        <v/>
      </c>
      <c r="I2261" s="7" t="str">
        <f>IF(AND(ISBLANK(D2261),ISBLANK(C2261)),"",((VLOOKUP(D2261,Cardápio!$A$2:$C$16,3,0))*E2261)+IF(B2261="iFood",F2261*0.27,(VLOOKUP(VENDAS!C2261,Bairros!$A$2:$B$90,2,0))))</f>
        <v/>
      </c>
      <c r="J2261" s="7" t="str">
        <f t="shared" si="141"/>
        <v/>
      </c>
      <c r="K2261" s="9">
        <f t="shared" ca="1" si="142"/>
        <v>45404.878290162036</v>
      </c>
      <c r="L2261" s="10">
        <f t="shared" ca="1" si="143"/>
        <v>45404.878290046297</v>
      </c>
    </row>
    <row r="2262" spans="6:12" x14ac:dyDescent="0.25">
      <c r="F2262" s="11" t="str">
        <f>IF(ISBLANK(D2262),"",(VLOOKUP(D2262,Cardápio!$A$2:$B$16,2,0))*E2262)</f>
        <v/>
      </c>
      <c r="H2262" s="7" t="str">
        <f t="shared" si="140"/>
        <v/>
      </c>
      <c r="I2262" s="7" t="str">
        <f>IF(AND(ISBLANK(D2262),ISBLANK(C2262)),"",((VLOOKUP(D2262,Cardápio!$A$2:$C$16,3,0))*E2262)+IF(B2262="iFood",F2262*0.27,(VLOOKUP(VENDAS!C2262,Bairros!$A$2:$B$90,2,0))))</f>
        <v/>
      </c>
      <c r="J2262" s="7" t="str">
        <f t="shared" si="141"/>
        <v/>
      </c>
      <c r="K2262" s="9">
        <f t="shared" ca="1" si="142"/>
        <v>45404.878290162036</v>
      </c>
      <c r="L2262" s="10">
        <f t="shared" ca="1" si="143"/>
        <v>45404.878290046297</v>
      </c>
    </row>
    <row r="2263" spans="6:12" x14ac:dyDescent="0.25">
      <c r="F2263" s="11" t="str">
        <f>IF(ISBLANK(D2263),"",(VLOOKUP(D2263,Cardápio!$A$2:$B$16,2,0))*E2263)</f>
        <v/>
      </c>
      <c r="H2263" s="7" t="str">
        <f t="shared" si="140"/>
        <v/>
      </c>
      <c r="I2263" s="7" t="str">
        <f>IF(AND(ISBLANK(D2263),ISBLANK(C2263)),"",((VLOOKUP(D2263,Cardápio!$A$2:$C$16,3,0))*E2263)+IF(B2263="iFood",F2263*0.27,(VLOOKUP(VENDAS!C2263,Bairros!$A$2:$B$90,2,0))))</f>
        <v/>
      </c>
      <c r="J2263" s="7" t="str">
        <f t="shared" si="141"/>
        <v/>
      </c>
      <c r="K2263" s="9">
        <f t="shared" ca="1" si="142"/>
        <v>45404.878290162036</v>
      </c>
      <c r="L2263" s="10">
        <f t="shared" ca="1" si="143"/>
        <v>45404.878290046297</v>
      </c>
    </row>
    <row r="2264" spans="6:12" x14ac:dyDescent="0.25">
      <c r="F2264" s="11" t="str">
        <f>IF(ISBLANK(D2264),"",(VLOOKUP(D2264,Cardápio!$A$2:$B$16,2,0))*E2264)</f>
        <v/>
      </c>
      <c r="H2264" s="7" t="str">
        <f t="shared" si="140"/>
        <v/>
      </c>
      <c r="I2264" s="7" t="str">
        <f>IF(AND(ISBLANK(D2264),ISBLANK(C2264)),"",((VLOOKUP(D2264,Cardápio!$A$2:$C$16,3,0))*E2264)+IF(B2264="iFood",F2264*0.27,(VLOOKUP(VENDAS!C2264,Bairros!$A$2:$B$90,2,0))))</f>
        <v/>
      </c>
      <c r="J2264" s="7" t="str">
        <f t="shared" si="141"/>
        <v/>
      </c>
      <c r="K2264" s="9">
        <f t="shared" ca="1" si="142"/>
        <v>45404.878290162036</v>
      </c>
      <c r="L2264" s="10">
        <f t="shared" ca="1" si="143"/>
        <v>45404.878290046297</v>
      </c>
    </row>
    <row r="2265" spans="6:12" x14ac:dyDescent="0.25">
      <c r="F2265" s="11" t="str">
        <f>IF(ISBLANK(D2265),"",(VLOOKUP(D2265,Cardápio!$A$2:$B$16,2,0))*E2265)</f>
        <v/>
      </c>
      <c r="H2265" s="7" t="str">
        <f t="shared" si="140"/>
        <v/>
      </c>
      <c r="I2265" s="7" t="str">
        <f>IF(AND(ISBLANK(D2265),ISBLANK(C2265)),"",((VLOOKUP(D2265,Cardápio!$A$2:$C$16,3,0))*E2265)+IF(B2265="iFood",F2265*0.27,(VLOOKUP(VENDAS!C2265,Bairros!$A$2:$B$90,2,0))))</f>
        <v/>
      </c>
      <c r="J2265" s="7" t="str">
        <f t="shared" si="141"/>
        <v/>
      </c>
      <c r="K2265" s="9">
        <f t="shared" ca="1" si="142"/>
        <v>45404.878290162036</v>
      </c>
      <c r="L2265" s="10">
        <f t="shared" ca="1" si="143"/>
        <v>45404.878290046297</v>
      </c>
    </row>
    <row r="2266" spans="6:12" x14ac:dyDescent="0.25">
      <c r="F2266" s="11" t="str">
        <f>IF(ISBLANK(D2266),"",(VLOOKUP(D2266,Cardápio!$A$2:$B$16,2,0))*E2266)</f>
        <v/>
      </c>
      <c r="H2266" s="7" t="str">
        <f t="shared" si="140"/>
        <v/>
      </c>
      <c r="I2266" s="7" t="str">
        <f>IF(AND(ISBLANK(D2266),ISBLANK(C2266)),"",((VLOOKUP(D2266,Cardápio!$A$2:$C$16,3,0))*E2266)+IF(B2266="iFood",F2266*0.27,(VLOOKUP(VENDAS!C2266,Bairros!$A$2:$B$90,2,0))))</f>
        <v/>
      </c>
      <c r="J2266" s="7" t="str">
        <f t="shared" si="141"/>
        <v/>
      </c>
      <c r="K2266" s="9">
        <f t="shared" ca="1" si="142"/>
        <v>45404.878290162036</v>
      </c>
      <c r="L2266" s="10">
        <f t="shared" ca="1" si="143"/>
        <v>45404.878290046297</v>
      </c>
    </row>
    <row r="2267" spans="6:12" x14ac:dyDescent="0.25">
      <c r="F2267" s="11" t="str">
        <f>IF(ISBLANK(D2267),"",(VLOOKUP(D2267,Cardápio!$A$2:$B$16,2,0))*E2267)</f>
        <v/>
      </c>
      <c r="H2267" s="7" t="str">
        <f t="shared" si="140"/>
        <v/>
      </c>
      <c r="I2267" s="7" t="str">
        <f>IF(AND(ISBLANK(D2267),ISBLANK(C2267)),"",((VLOOKUP(D2267,Cardápio!$A$2:$C$16,3,0))*E2267)+IF(B2267="iFood",F2267*0.27,(VLOOKUP(VENDAS!C2267,Bairros!$A$2:$B$90,2,0))))</f>
        <v/>
      </c>
      <c r="J2267" s="7" t="str">
        <f t="shared" si="141"/>
        <v/>
      </c>
      <c r="K2267" s="9">
        <f t="shared" ca="1" si="142"/>
        <v>45404.878290162036</v>
      </c>
      <c r="L2267" s="10">
        <f t="shared" ca="1" si="143"/>
        <v>45404.878290046297</v>
      </c>
    </row>
    <row r="2268" spans="6:12" x14ac:dyDescent="0.25">
      <c r="F2268" s="11" t="str">
        <f>IF(ISBLANK(D2268),"",(VLOOKUP(D2268,Cardápio!$A$2:$B$16,2,0))*E2268)</f>
        <v/>
      </c>
      <c r="H2268" s="7" t="str">
        <f t="shared" si="140"/>
        <v/>
      </c>
      <c r="I2268" s="7" t="str">
        <f>IF(AND(ISBLANK(D2268),ISBLANK(C2268)),"",((VLOOKUP(D2268,Cardápio!$A$2:$C$16,3,0))*E2268)+IF(B2268="iFood",F2268*0.27,(VLOOKUP(VENDAS!C2268,Bairros!$A$2:$B$90,2,0))))</f>
        <v/>
      </c>
      <c r="J2268" s="7" t="str">
        <f t="shared" si="141"/>
        <v/>
      </c>
      <c r="K2268" s="9">
        <f t="shared" ca="1" si="142"/>
        <v>45404.878290162036</v>
      </c>
      <c r="L2268" s="10">
        <f t="shared" ca="1" si="143"/>
        <v>45404.878290046297</v>
      </c>
    </row>
    <row r="2269" spans="6:12" x14ac:dyDescent="0.25">
      <c r="F2269" s="11" t="str">
        <f>IF(ISBLANK(D2269),"",(VLOOKUP(D2269,Cardápio!$A$2:$B$16,2,0))*E2269)</f>
        <v/>
      </c>
      <c r="H2269" s="7" t="str">
        <f t="shared" si="140"/>
        <v/>
      </c>
      <c r="I2269" s="7" t="str">
        <f>IF(AND(ISBLANK(D2269),ISBLANK(C2269)),"",((VLOOKUP(D2269,Cardápio!$A$2:$C$16,3,0))*E2269)+IF(B2269="iFood",F2269*0.27,(VLOOKUP(VENDAS!C2269,Bairros!$A$2:$B$90,2,0))))</f>
        <v/>
      </c>
      <c r="J2269" s="7" t="str">
        <f t="shared" si="141"/>
        <v/>
      </c>
      <c r="K2269" s="9">
        <f t="shared" ca="1" si="142"/>
        <v>45404.878290162036</v>
      </c>
      <c r="L2269" s="10">
        <f t="shared" ca="1" si="143"/>
        <v>45404.878290046297</v>
      </c>
    </row>
    <row r="2270" spans="6:12" x14ac:dyDescent="0.25">
      <c r="F2270" s="11" t="str">
        <f>IF(ISBLANK(D2270),"",(VLOOKUP(D2270,Cardápio!$A$2:$B$16,2,0))*E2270)</f>
        <v/>
      </c>
      <c r="H2270" s="7" t="str">
        <f t="shared" si="140"/>
        <v/>
      </c>
      <c r="I2270" s="7" t="str">
        <f>IF(AND(ISBLANK(D2270),ISBLANK(C2270)),"",((VLOOKUP(D2270,Cardápio!$A$2:$C$16,3,0))*E2270)+IF(B2270="iFood",F2270*0.27,(VLOOKUP(VENDAS!C2270,Bairros!$A$2:$B$90,2,0))))</f>
        <v/>
      </c>
      <c r="J2270" s="7" t="str">
        <f t="shared" si="141"/>
        <v/>
      </c>
      <c r="K2270" s="9">
        <f t="shared" ca="1" si="142"/>
        <v>45404.878290162036</v>
      </c>
      <c r="L2270" s="10">
        <f t="shared" ca="1" si="143"/>
        <v>45404.878290046297</v>
      </c>
    </row>
    <row r="2271" spans="6:12" x14ac:dyDescent="0.25">
      <c r="F2271" s="11" t="str">
        <f>IF(ISBLANK(D2271),"",(VLOOKUP(D2271,Cardápio!$A$2:$B$16,2,0))*E2271)</f>
        <v/>
      </c>
      <c r="H2271" s="7" t="str">
        <f t="shared" si="140"/>
        <v/>
      </c>
      <c r="I2271" s="7" t="str">
        <f>IF(AND(ISBLANK(D2271),ISBLANK(C2271)),"",((VLOOKUP(D2271,Cardápio!$A$2:$C$16,3,0))*E2271)+IF(B2271="iFood",F2271*0.27,(VLOOKUP(VENDAS!C2271,Bairros!$A$2:$B$90,2,0))))</f>
        <v/>
      </c>
      <c r="J2271" s="7" t="str">
        <f t="shared" si="141"/>
        <v/>
      </c>
      <c r="K2271" s="9">
        <f t="shared" ca="1" si="142"/>
        <v>45404.878290162036</v>
      </c>
      <c r="L2271" s="10">
        <f t="shared" ca="1" si="143"/>
        <v>45404.878290046297</v>
      </c>
    </row>
    <row r="2272" spans="6:12" x14ac:dyDescent="0.25">
      <c r="F2272" s="11" t="str">
        <f>IF(ISBLANK(D2272),"",(VLOOKUP(D2272,Cardápio!$A$2:$B$16,2,0))*E2272)</f>
        <v/>
      </c>
      <c r="H2272" s="7" t="str">
        <f t="shared" si="140"/>
        <v/>
      </c>
      <c r="I2272" s="7" t="str">
        <f>IF(AND(ISBLANK(D2272),ISBLANK(C2272)),"",((VLOOKUP(D2272,Cardápio!$A$2:$C$16,3,0))*E2272)+IF(B2272="iFood",F2272*0.27,(VLOOKUP(VENDAS!C2272,Bairros!$A$2:$B$90,2,0))))</f>
        <v/>
      </c>
      <c r="J2272" s="7" t="str">
        <f t="shared" si="141"/>
        <v/>
      </c>
      <c r="K2272" s="9">
        <f t="shared" ca="1" si="142"/>
        <v>45404.878290162036</v>
      </c>
      <c r="L2272" s="10">
        <f t="shared" ca="1" si="143"/>
        <v>45404.878290046297</v>
      </c>
    </row>
    <row r="2273" spans="6:12" x14ac:dyDescent="0.25">
      <c r="F2273" s="11" t="str">
        <f>IF(ISBLANK(D2273),"",(VLOOKUP(D2273,Cardápio!$A$2:$B$16,2,0))*E2273)</f>
        <v/>
      </c>
      <c r="H2273" s="7" t="str">
        <f t="shared" si="140"/>
        <v/>
      </c>
      <c r="I2273" s="7" t="str">
        <f>IF(AND(ISBLANK(D2273),ISBLANK(C2273)),"",((VLOOKUP(D2273,Cardápio!$A$2:$C$16,3,0))*E2273)+IF(B2273="iFood",F2273*0.27,(VLOOKUP(VENDAS!C2273,Bairros!$A$2:$B$90,2,0))))</f>
        <v/>
      </c>
      <c r="J2273" s="7" t="str">
        <f t="shared" si="141"/>
        <v/>
      </c>
      <c r="K2273" s="9">
        <f t="shared" ca="1" si="142"/>
        <v>45404.878290162036</v>
      </c>
      <c r="L2273" s="10">
        <f t="shared" ca="1" si="143"/>
        <v>45404.878290046297</v>
      </c>
    </row>
    <row r="2274" spans="6:12" x14ac:dyDescent="0.25">
      <c r="F2274" s="11" t="str">
        <f>IF(ISBLANK(D2274),"",(VLOOKUP(D2274,Cardápio!$A$2:$B$16,2,0))*E2274)</f>
        <v/>
      </c>
      <c r="H2274" s="7" t="str">
        <f t="shared" si="140"/>
        <v/>
      </c>
      <c r="I2274" s="7" t="str">
        <f>IF(AND(ISBLANK(D2274),ISBLANK(C2274)),"",((VLOOKUP(D2274,Cardápio!$A$2:$C$16,3,0))*E2274)+IF(B2274="iFood",F2274*0.27,(VLOOKUP(VENDAS!C2274,Bairros!$A$2:$B$90,2,0))))</f>
        <v/>
      </c>
      <c r="J2274" s="7" t="str">
        <f t="shared" si="141"/>
        <v/>
      </c>
      <c r="K2274" s="9">
        <f t="shared" ca="1" si="142"/>
        <v>45404.878290162036</v>
      </c>
      <c r="L2274" s="10">
        <f t="shared" ca="1" si="143"/>
        <v>45404.878290046297</v>
      </c>
    </row>
    <row r="2275" spans="6:12" x14ac:dyDescent="0.25">
      <c r="F2275" s="11" t="str">
        <f>IF(ISBLANK(D2275),"",(VLOOKUP(D2275,Cardápio!$A$2:$B$16,2,0))*E2275)</f>
        <v/>
      </c>
      <c r="H2275" s="7" t="str">
        <f t="shared" si="140"/>
        <v/>
      </c>
      <c r="I2275" s="7" t="str">
        <f>IF(AND(ISBLANK(D2275),ISBLANK(C2275)),"",((VLOOKUP(D2275,Cardápio!$A$2:$C$16,3,0))*E2275)+IF(B2275="iFood",F2275*0.27,(VLOOKUP(VENDAS!C2275,Bairros!$A$2:$B$90,2,0))))</f>
        <v/>
      </c>
      <c r="J2275" s="7" t="str">
        <f t="shared" si="141"/>
        <v/>
      </c>
      <c r="K2275" s="9">
        <f t="shared" ca="1" si="142"/>
        <v>45404.878290162036</v>
      </c>
      <c r="L2275" s="10">
        <f t="shared" ca="1" si="143"/>
        <v>45404.878290046297</v>
      </c>
    </row>
    <row r="2276" spans="6:12" x14ac:dyDescent="0.25">
      <c r="F2276" s="11" t="str">
        <f>IF(ISBLANK(D2276),"",(VLOOKUP(D2276,Cardápio!$A$2:$B$16,2,0))*E2276)</f>
        <v/>
      </c>
      <c r="H2276" s="7" t="str">
        <f t="shared" si="140"/>
        <v/>
      </c>
      <c r="I2276" s="7" t="str">
        <f>IF(AND(ISBLANK(D2276),ISBLANK(C2276)),"",((VLOOKUP(D2276,Cardápio!$A$2:$C$16,3,0))*E2276)+IF(B2276="iFood",F2276*0.27,(VLOOKUP(VENDAS!C2276,Bairros!$A$2:$B$90,2,0))))</f>
        <v/>
      </c>
      <c r="J2276" s="7" t="str">
        <f t="shared" si="141"/>
        <v/>
      </c>
      <c r="K2276" s="9">
        <f t="shared" ca="1" si="142"/>
        <v>45404.878290162036</v>
      </c>
      <c r="L2276" s="10">
        <f t="shared" ca="1" si="143"/>
        <v>45404.878290046297</v>
      </c>
    </row>
    <row r="2277" spans="6:12" x14ac:dyDescent="0.25">
      <c r="F2277" s="11" t="str">
        <f>IF(ISBLANK(D2277),"",(VLOOKUP(D2277,Cardápio!$A$2:$B$16,2,0))*E2277)</f>
        <v/>
      </c>
      <c r="H2277" s="7" t="str">
        <f t="shared" si="140"/>
        <v/>
      </c>
      <c r="I2277" s="7" t="str">
        <f>IF(AND(ISBLANK(D2277),ISBLANK(C2277)),"",((VLOOKUP(D2277,Cardápio!$A$2:$C$16,3,0))*E2277)+IF(B2277="iFood",F2277*0.27,(VLOOKUP(VENDAS!C2277,Bairros!$A$2:$B$90,2,0))))</f>
        <v/>
      </c>
      <c r="J2277" s="7" t="str">
        <f t="shared" si="141"/>
        <v/>
      </c>
      <c r="K2277" s="9">
        <f t="shared" ca="1" si="142"/>
        <v>45404.878290162036</v>
      </c>
      <c r="L2277" s="10">
        <f t="shared" ca="1" si="143"/>
        <v>45404.878290046297</v>
      </c>
    </row>
    <row r="2278" spans="6:12" x14ac:dyDescent="0.25">
      <c r="F2278" s="11" t="str">
        <f>IF(ISBLANK(D2278),"",(VLOOKUP(D2278,Cardápio!$A$2:$B$16,2,0))*E2278)</f>
        <v/>
      </c>
      <c r="H2278" s="7" t="str">
        <f t="shared" si="140"/>
        <v/>
      </c>
      <c r="I2278" s="7" t="str">
        <f>IF(AND(ISBLANK(D2278),ISBLANK(C2278)),"",((VLOOKUP(D2278,Cardápio!$A$2:$C$16,3,0))*E2278)+IF(B2278="iFood",F2278*0.27,(VLOOKUP(VENDAS!C2278,Bairros!$A$2:$B$90,2,0))))</f>
        <v/>
      </c>
      <c r="J2278" s="7" t="str">
        <f t="shared" si="141"/>
        <v/>
      </c>
      <c r="K2278" s="9">
        <f t="shared" ca="1" si="142"/>
        <v>45404.878290162036</v>
      </c>
      <c r="L2278" s="10">
        <f t="shared" ca="1" si="143"/>
        <v>45404.878290046297</v>
      </c>
    </row>
    <row r="2279" spans="6:12" x14ac:dyDescent="0.25">
      <c r="F2279" s="11" t="str">
        <f>IF(ISBLANK(D2279),"",(VLOOKUP(D2279,Cardápio!$A$2:$B$16,2,0))*E2279)</f>
        <v/>
      </c>
      <c r="H2279" s="7" t="str">
        <f t="shared" si="140"/>
        <v/>
      </c>
      <c r="I2279" s="7" t="str">
        <f>IF(AND(ISBLANK(D2279),ISBLANK(C2279)),"",((VLOOKUP(D2279,Cardápio!$A$2:$C$16,3,0))*E2279)+IF(B2279="iFood",F2279*0.27,(VLOOKUP(VENDAS!C2279,Bairros!$A$2:$B$90,2,0))))</f>
        <v/>
      </c>
      <c r="J2279" s="7" t="str">
        <f t="shared" si="141"/>
        <v/>
      </c>
      <c r="K2279" s="9">
        <f t="shared" ca="1" si="142"/>
        <v>45404.878290162036</v>
      </c>
      <c r="L2279" s="10">
        <f t="shared" ca="1" si="143"/>
        <v>45404.878290046297</v>
      </c>
    </row>
    <row r="2280" spans="6:12" x14ac:dyDescent="0.25">
      <c r="F2280" s="11" t="str">
        <f>IF(ISBLANK(D2280),"",(VLOOKUP(D2280,Cardápio!$A$2:$B$16,2,0))*E2280)</f>
        <v/>
      </c>
      <c r="H2280" s="7" t="str">
        <f t="shared" si="140"/>
        <v/>
      </c>
      <c r="I2280" s="7" t="str">
        <f>IF(AND(ISBLANK(D2280),ISBLANK(C2280)),"",((VLOOKUP(D2280,Cardápio!$A$2:$C$16,3,0))*E2280)+IF(B2280="iFood",F2280*0.27,(VLOOKUP(VENDAS!C2280,Bairros!$A$2:$B$90,2,0))))</f>
        <v/>
      </c>
      <c r="J2280" s="7" t="str">
        <f t="shared" si="141"/>
        <v/>
      </c>
      <c r="K2280" s="9">
        <f t="shared" ca="1" si="142"/>
        <v>45404.878290162036</v>
      </c>
      <c r="L2280" s="10">
        <f t="shared" ca="1" si="143"/>
        <v>45404.878290046297</v>
      </c>
    </row>
    <row r="2281" spans="6:12" x14ac:dyDescent="0.25">
      <c r="F2281" s="11" t="str">
        <f>IF(ISBLANK(D2281),"",(VLOOKUP(D2281,Cardápio!$A$2:$B$16,2,0))*E2281)</f>
        <v/>
      </c>
      <c r="H2281" s="7" t="str">
        <f t="shared" si="140"/>
        <v/>
      </c>
      <c r="I2281" s="7" t="str">
        <f>IF(AND(ISBLANK(D2281),ISBLANK(C2281)),"",((VLOOKUP(D2281,Cardápio!$A$2:$C$16,3,0))*E2281)+IF(B2281="iFood",F2281*0.27,(VLOOKUP(VENDAS!C2281,Bairros!$A$2:$B$90,2,0))))</f>
        <v/>
      </c>
      <c r="J2281" s="7" t="str">
        <f t="shared" si="141"/>
        <v/>
      </c>
      <c r="K2281" s="9">
        <f t="shared" ca="1" si="142"/>
        <v>45404.878290162036</v>
      </c>
      <c r="L2281" s="10">
        <f t="shared" ca="1" si="143"/>
        <v>45404.878290046297</v>
      </c>
    </row>
    <row r="2282" spans="6:12" x14ac:dyDescent="0.25">
      <c r="F2282" s="11" t="str">
        <f>IF(ISBLANK(D2282),"",(VLOOKUP(D2282,Cardápio!$A$2:$B$16,2,0))*E2282)</f>
        <v/>
      </c>
      <c r="H2282" s="7" t="str">
        <f t="shared" si="140"/>
        <v/>
      </c>
      <c r="I2282" s="7" t="str">
        <f>IF(AND(ISBLANK(D2282),ISBLANK(C2282)),"",((VLOOKUP(D2282,Cardápio!$A$2:$C$16,3,0))*E2282)+IF(B2282="iFood",F2282*0.27,(VLOOKUP(VENDAS!C2282,Bairros!$A$2:$B$90,2,0))))</f>
        <v/>
      </c>
      <c r="J2282" s="7" t="str">
        <f t="shared" si="141"/>
        <v/>
      </c>
      <c r="K2282" s="9">
        <f t="shared" ca="1" si="142"/>
        <v>45404.878290162036</v>
      </c>
      <c r="L2282" s="10">
        <f t="shared" ca="1" si="143"/>
        <v>45404.878290046297</v>
      </c>
    </row>
    <row r="2283" spans="6:12" x14ac:dyDescent="0.25">
      <c r="F2283" s="11" t="str">
        <f>IF(ISBLANK(D2283),"",(VLOOKUP(D2283,Cardápio!$A$2:$B$16,2,0))*E2283)</f>
        <v/>
      </c>
      <c r="H2283" s="7" t="str">
        <f t="shared" si="140"/>
        <v/>
      </c>
      <c r="I2283" s="7" t="str">
        <f>IF(AND(ISBLANK(D2283),ISBLANK(C2283)),"",((VLOOKUP(D2283,Cardápio!$A$2:$C$16,3,0))*E2283)+IF(B2283="iFood",F2283*0.27,(VLOOKUP(VENDAS!C2283,Bairros!$A$2:$B$90,2,0))))</f>
        <v/>
      </c>
      <c r="J2283" s="7" t="str">
        <f t="shared" si="141"/>
        <v/>
      </c>
      <c r="K2283" s="9">
        <f t="shared" ca="1" si="142"/>
        <v>45404.878290162036</v>
      </c>
      <c r="L2283" s="10">
        <f t="shared" ca="1" si="143"/>
        <v>45404.878290046297</v>
      </c>
    </row>
    <row r="2284" spans="6:12" x14ac:dyDescent="0.25">
      <c r="F2284" s="11" t="str">
        <f>IF(ISBLANK(D2284),"",(VLOOKUP(D2284,Cardápio!$A$2:$B$16,2,0))*E2284)</f>
        <v/>
      </c>
      <c r="H2284" s="7" t="str">
        <f t="shared" si="140"/>
        <v/>
      </c>
      <c r="I2284" s="7" t="str">
        <f>IF(AND(ISBLANK(D2284),ISBLANK(C2284)),"",((VLOOKUP(D2284,Cardápio!$A$2:$C$16,3,0))*E2284)+IF(B2284="iFood",F2284*0.27,(VLOOKUP(VENDAS!C2284,Bairros!$A$2:$B$90,2,0))))</f>
        <v/>
      </c>
      <c r="J2284" s="7" t="str">
        <f t="shared" si="141"/>
        <v/>
      </c>
      <c r="K2284" s="9">
        <f t="shared" ca="1" si="142"/>
        <v>45404.878290162036</v>
      </c>
      <c r="L2284" s="10">
        <f t="shared" ca="1" si="143"/>
        <v>45404.878290046297</v>
      </c>
    </row>
    <row r="2285" spans="6:12" x14ac:dyDescent="0.25">
      <c r="F2285" s="11" t="str">
        <f>IF(ISBLANK(D2285),"",(VLOOKUP(D2285,Cardápio!$A$2:$B$16,2,0))*E2285)</f>
        <v/>
      </c>
      <c r="H2285" s="7" t="str">
        <f t="shared" si="140"/>
        <v/>
      </c>
      <c r="I2285" s="7" t="str">
        <f>IF(AND(ISBLANK(D2285),ISBLANK(C2285)),"",((VLOOKUP(D2285,Cardápio!$A$2:$C$16,3,0))*E2285)+IF(B2285="iFood",F2285*0.27,(VLOOKUP(VENDAS!C2285,Bairros!$A$2:$B$90,2,0))))</f>
        <v/>
      </c>
      <c r="J2285" s="7" t="str">
        <f t="shared" si="141"/>
        <v/>
      </c>
      <c r="K2285" s="9">
        <f t="shared" ca="1" si="142"/>
        <v>45404.878290162036</v>
      </c>
      <c r="L2285" s="10">
        <f t="shared" ca="1" si="143"/>
        <v>45404.878290046297</v>
      </c>
    </row>
    <row r="2286" spans="6:12" x14ac:dyDescent="0.25">
      <c r="F2286" s="11" t="str">
        <f>IF(ISBLANK(D2286),"",(VLOOKUP(D2286,Cardápio!$A$2:$B$16,2,0))*E2286)</f>
        <v/>
      </c>
      <c r="H2286" s="7" t="str">
        <f t="shared" si="140"/>
        <v/>
      </c>
      <c r="I2286" s="7" t="str">
        <f>IF(AND(ISBLANK(D2286),ISBLANK(C2286)),"",((VLOOKUP(D2286,Cardápio!$A$2:$C$16,3,0))*E2286)+IF(B2286="iFood",F2286*0.27,(VLOOKUP(VENDAS!C2286,Bairros!$A$2:$B$90,2,0))))</f>
        <v/>
      </c>
      <c r="J2286" s="7" t="str">
        <f t="shared" si="141"/>
        <v/>
      </c>
      <c r="K2286" s="9">
        <f t="shared" ca="1" si="142"/>
        <v>45404.878290162036</v>
      </c>
      <c r="L2286" s="10">
        <f t="shared" ca="1" si="143"/>
        <v>45404.878290046297</v>
      </c>
    </row>
    <row r="2287" spans="6:12" x14ac:dyDescent="0.25">
      <c r="F2287" s="11" t="str">
        <f>IF(ISBLANK(D2287),"",(VLOOKUP(D2287,Cardápio!$A$2:$B$16,2,0))*E2287)</f>
        <v/>
      </c>
      <c r="H2287" s="7" t="str">
        <f t="shared" si="140"/>
        <v/>
      </c>
      <c r="I2287" s="7" t="str">
        <f>IF(AND(ISBLANK(D2287),ISBLANK(C2287)),"",((VLOOKUP(D2287,Cardápio!$A$2:$C$16,3,0))*E2287)+IF(B2287="iFood",F2287*0.27,(VLOOKUP(VENDAS!C2287,Bairros!$A$2:$B$90,2,0))))</f>
        <v/>
      </c>
      <c r="J2287" s="7" t="str">
        <f t="shared" si="141"/>
        <v/>
      </c>
      <c r="K2287" s="9">
        <f t="shared" ca="1" si="142"/>
        <v>45404.878290162036</v>
      </c>
      <c r="L2287" s="10">
        <f t="shared" ca="1" si="143"/>
        <v>45404.878290046297</v>
      </c>
    </row>
    <row r="2288" spans="6:12" x14ac:dyDescent="0.25">
      <c r="F2288" s="11" t="str">
        <f>IF(ISBLANK(D2288),"",(VLOOKUP(D2288,Cardápio!$A$2:$B$16,2,0))*E2288)</f>
        <v/>
      </c>
      <c r="H2288" s="7" t="str">
        <f t="shared" si="140"/>
        <v/>
      </c>
      <c r="I2288" s="7" t="str">
        <f>IF(AND(ISBLANK(D2288),ISBLANK(C2288)),"",((VLOOKUP(D2288,Cardápio!$A$2:$C$16,3,0))*E2288)+IF(B2288="iFood",F2288*0.27,(VLOOKUP(VENDAS!C2288,Bairros!$A$2:$B$90,2,0))))</f>
        <v/>
      </c>
      <c r="J2288" s="7" t="str">
        <f t="shared" si="141"/>
        <v/>
      </c>
      <c r="K2288" s="9">
        <f t="shared" ca="1" si="142"/>
        <v>45404.878290162036</v>
      </c>
      <c r="L2288" s="10">
        <f t="shared" ca="1" si="143"/>
        <v>45404.878290046297</v>
      </c>
    </row>
    <row r="2289" spans="6:12" x14ac:dyDescent="0.25">
      <c r="F2289" s="11" t="str">
        <f>IF(ISBLANK(D2289),"",(VLOOKUP(D2289,Cardápio!$A$2:$B$16,2,0))*E2289)</f>
        <v/>
      </c>
      <c r="H2289" s="7" t="str">
        <f t="shared" si="140"/>
        <v/>
      </c>
      <c r="I2289" s="7" t="str">
        <f>IF(AND(ISBLANK(D2289),ISBLANK(C2289)),"",((VLOOKUP(D2289,Cardápio!$A$2:$C$16,3,0))*E2289)+IF(B2289="iFood",F2289*0.27,(VLOOKUP(VENDAS!C2289,Bairros!$A$2:$B$90,2,0))))</f>
        <v/>
      </c>
      <c r="J2289" s="7" t="str">
        <f t="shared" si="141"/>
        <v/>
      </c>
      <c r="K2289" s="9">
        <f t="shared" ca="1" si="142"/>
        <v>45404.878290162036</v>
      </c>
      <c r="L2289" s="10">
        <f t="shared" ca="1" si="143"/>
        <v>45404.878290046297</v>
      </c>
    </row>
    <row r="2290" spans="6:12" x14ac:dyDescent="0.25">
      <c r="F2290" s="11" t="str">
        <f>IF(ISBLANK(D2290),"",(VLOOKUP(D2290,Cardápio!$A$2:$B$16,2,0))*E2290)</f>
        <v/>
      </c>
      <c r="H2290" s="7" t="str">
        <f t="shared" si="140"/>
        <v/>
      </c>
      <c r="I2290" s="7" t="str">
        <f>IF(AND(ISBLANK(D2290),ISBLANK(C2290)),"",((VLOOKUP(D2290,Cardápio!$A$2:$C$16,3,0))*E2290)+IF(B2290="iFood",F2290*0.27,(VLOOKUP(VENDAS!C2290,Bairros!$A$2:$B$90,2,0))))</f>
        <v/>
      </c>
      <c r="J2290" s="7" t="str">
        <f t="shared" si="141"/>
        <v/>
      </c>
      <c r="K2290" s="9">
        <f t="shared" ca="1" si="142"/>
        <v>45404.878290162036</v>
      </c>
      <c r="L2290" s="10">
        <f t="shared" ca="1" si="143"/>
        <v>45404.878290046297</v>
      </c>
    </row>
    <row r="2291" spans="6:12" x14ac:dyDescent="0.25">
      <c r="F2291" s="11" t="str">
        <f>IF(ISBLANK(D2291),"",(VLOOKUP(D2291,Cardápio!$A$2:$B$16,2,0))*E2291)</f>
        <v/>
      </c>
      <c r="H2291" s="7" t="str">
        <f t="shared" si="140"/>
        <v/>
      </c>
      <c r="I2291" s="7" t="str">
        <f>IF(AND(ISBLANK(D2291),ISBLANK(C2291)),"",((VLOOKUP(D2291,Cardápio!$A$2:$C$16,3,0))*E2291)+IF(B2291="iFood",F2291*0.27,(VLOOKUP(VENDAS!C2291,Bairros!$A$2:$B$90,2,0))))</f>
        <v/>
      </c>
      <c r="J2291" s="7" t="str">
        <f t="shared" si="141"/>
        <v/>
      </c>
      <c r="K2291" s="9">
        <f t="shared" ca="1" si="142"/>
        <v>45404.878290162036</v>
      </c>
      <c r="L2291" s="10">
        <f t="shared" ca="1" si="143"/>
        <v>45404.878290046297</v>
      </c>
    </row>
    <row r="2292" spans="6:12" x14ac:dyDescent="0.25">
      <c r="F2292" s="11" t="str">
        <f>IF(ISBLANK(D2292),"",(VLOOKUP(D2292,Cardápio!$A$2:$B$16,2,0))*E2292)</f>
        <v/>
      </c>
      <c r="H2292" s="7" t="str">
        <f t="shared" si="140"/>
        <v/>
      </c>
      <c r="I2292" s="7" t="str">
        <f>IF(AND(ISBLANK(D2292),ISBLANK(C2292)),"",((VLOOKUP(D2292,Cardápio!$A$2:$C$16,3,0))*E2292)+IF(B2292="iFood",F2292*0.27,(VLOOKUP(VENDAS!C2292,Bairros!$A$2:$B$90,2,0))))</f>
        <v/>
      </c>
      <c r="J2292" s="7" t="str">
        <f t="shared" si="141"/>
        <v/>
      </c>
      <c r="K2292" s="9">
        <f t="shared" ca="1" si="142"/>
        <v>45404.878290162036</v>
      </c>
      <c r="L2292" s="10">
        <f t="shared" ca="1" si="143"/>
        <v>45404.878290046297</v>
      </c>
    </row>
    <row r="2293" spans="6:12" x14ac:dyDescent="0.25">
      <c r="F2293" s="11" t="str">
        <f>IF(ISBLANK(D2293),"",(VLOOKUP(D2293,Cardápio!$A$2:$B$16,2,0))*E2293)</f>
        <v/>
      </c>
      <c r="H2293" s="7" t="str">
        <f t="shared" ref="H2293:H2356" si="144">IF(ISBLANK(D2293),"",F2293-G2293)</f>
        <v/>
      </c>
      <c r="I2293" s="7" t="str">
        <f>IF(AND(ISBLANK(D2293),ISBLANK(C2293)),"",((VLOOKUP(D2293,Cardápio!$A$2:$C$16,3,0))*E2293)+IF(B2293="iFood",F2293*0.27,(VLOOKUP(VENDAS!C2293,Bairros!$A$2:$B$90,2,0))))</f>
        <v/>
      </c>
      <c r="J2293" s="7" t="str">
        <f t="shared" ref="J2293:J2356" si="145">IF(OR(AND(ISBLANK(H2293),ISBLANK(I2293)),(AND(H2293="",I2293=""))),"",H2293-I2293)</f>
        <v/>
      </c>
      <c r="K2293" s="9">
        <f t="shared" ref="K2293:K2356" ca="1" si="146">IF(D2293&lt;&gt;"",K2293,NOW())</f>
        <v>45404.878290162036</v>
      </c>
      <c r="L2293" s="10">
        <f t="shared" ref="L2293:L2356" ca="1" si="147">IF(D2293&lt;&gt;"",L2293,NOW())</f>
        <v>45404.878290046297</v>
      </c>
    </row>
    <row r="2294" spans="6:12" x14ac:dyDescent="0.25">
      <c r="F2294" s="11" t="str">
        <f>IF(ISBLANK(D2294),"",(VLOOKUP(D2294,Cardápio!$A$2:$B$16,2,0))*E2294)</f>
        <v/>
      </c>
      <c r="H2294" s="7" t="str">
        <f t="shared" si="144"/>
        <v/>
      </c>
      <c r="I2294" s="7" t="str">
        <f>IF(AND(ISBLANK(D2294),ISBLANK(C2294)),"",((VLOOKUP(D2294,Cardápio!$A$2:$C$16,3,0))*E2294)+IF(B2294="iFood",F2294*0.27,(VLOOKUP(VENDAS!C2294,Bairros!$A$2:$B$90,2,0))))</f>
        <v/>
      </c>
      <c r="J2294" s="7" t="str">
        <f t="shared" si="145"/>
        <v/>
      </c>
      <c r="K2294" s="9">
        <f t="shared" ca="1" si="146"/>
        <v>45404.878290162036</v>
      </c>
      <c r="L2294" s="10">
        <f t="shared" ca="1" si="147"/>
        <v>45404.878290046297</v>
      </c>
    </row>
    <row r="2295" spans="6:12" x14ac:dyDescent="0.25">
      <c r="F2295" s="11" t="str">
        <f>IF(ISBLANK(D2295),"",(VLOOKUP(D2295,Cardápio!$A$2:$B$16,2,0))*E2295)</f>
        <v/>
      </c>
      <c r="H2295" s="7" t="str">
        <f t="shared" si="144"/>
        <v/>
      </c>
      <c r="I2295" s="7" t="str">
        <f>IF(AND(ISBLANK(D2295),ISBLANK(C2295)),"",((VLOOKUP(D2295,Cardápio!$A$2:$C$16,3,0))*E2295)+IF(B2295="iFood",F2295*0.27,(VLOOKUP(VENDAS!C2295,Bairros!$A$2:$B$90,2,0))))</f>
        <v/>
      </c>
      <c r="J2295" s="7" t="str">
        <f t="shared" si="145"/>
        <v/>
      </c>
      <c r="K2295" s="9">
        <f t="shared" ca="1" si="146"/>
        <v>45404.878290162036</v>
      </c>
      <c r="L2295" s="10">
        <f t="shared" ca="1" si="147"/>
        <v>45404.878290046297</v>
      </c>
    </row>
    <row r="2296" spans="6:12" x14ac:dyDescent="0.25">
      <c r="F2296" s="11" t="str">
        <f>IF(ISBLANK(D2296),"",(VLOOKUP(D2296,Cardápio!$A$2:$B$16,2,0))*E2296)</f>
        <v/>
      </c>
      <c r="H2296" s="7" t="str">
        <f t="shared" si="144"/>
        <v/>
      </c>
      <c r="I2296" s="7" t="str">
        <f>IF(AND(ISBLANK(D2296),ISBLANK(C2296)),"",((VLOOKUP(D2296,Cardápio!$A$2:$C$16,3,0))*E2296)+IF(B2296="iFood",F2296*0.27,(VLOOKUP(VENDAS!C2296,Bairros!$A$2:$B$90,2,0))))</f>
        <v/>
      </c>
      <c r="J2296" s="7" t="str">
        <f t="shared" si="145"/>
        <v/>
      </c>
      <c r="K2296" s="9">
        <f t="shared" ca="1" si="146"/>
        <v>45404.878290162036</v>
      </c>
      <c r="L2296" s="10">
        <f t="shared" ca="1" si="147"/>
        <v>45404.878290046297</v>
      </c>
    </row>
    <row r="2297" spans="6:12" x14ac:dyDescent="0.25">
      <c r="F2297" s="11" t="str">
        <f>IF(ISBLANK(D2297),"",(VLOOKUP(D2297,Cardápio!$A$2:$B$16,2,0))*E2297)</f>
        <v/>
      </c>
      <c r="H2297" s="7" t="str">
        <f t="shared" si="144"/>
        <v/>
      </c>
      <c r="I2297" s="7" t="str">
        <f>IF(AND(ISBLANK(D2297),ISBLANK(C2297)),"",((VLOOKUP(D2297,Cardápio!$A$2:$C$16,3,0))*E2297)+IF(B2297="iFood",F2297*0.27,(VLOOKUP(VENDAS!C2297,Bairros!$A$2:$B$90,2,0))))</f>
        <v/>
      </c>
      <c r="J2297" s="7" t="str">
        <f t="shared" si="145"/>
        <v/>
      </c>
      <c r="K2297" s="9">
        <f t="shared" ca="1" si="146"/>
        <v>45404.878290162036</v>
      </c>
      <c r="L2297" s="10">
        <f t="shared" ca="1" si="147"/>
        <v>45404.878290046297</v>
      </c>
    </row>
    <row r="2298" spans="6:12" x14ac:dyDescent="0.25">
      <c r="F2298" s="11" t="str">
        <f>IF(ISBLANK(D2298),"",(VLOOKUP(D2298,Cardápio!$A$2:$B$16,2,0))*E2298)</f>
        <v/>
      </c>
      <c r="H2298" s="7" t="str">
        <f t="shared" si="144"/>
        <v/>
      </c>
      <c r="I2298" s="7" t="str">
        <f>IF(AND(ISBLANK(D2298),ISBLANK(C2298)),"",((VLOOKUP(D2298,Cardápio!$A$2:$C$16,3,0))*E2298)+IF(B2298="iFood",F2298*0.27,(VLOOKUP(VENDAS!C2298,Bairros!$A$2:$B$90,2,0))))</f>
        <v/>
      </c>
      <c r="J2298" s="7" t="str">
        <f t="shared" si="145"/>
        <v/>
      </c>
      <c r="K2298" s="9">
        <f t="shared" ca="1" si="146"/>
        <v>45404.878290162036</v>
      </c>
      <c r="L2298" s="10">
        <f t="shared" ca="1" si="147"/>
        <v>45404.878290046297</v>
      </c>
    </row>
    <row r="2299" spans="6:12" x14ac:dyDescent="0.25">
      <c r="F2299" s="11" t="str">
        <f>IF(ISBLANK(D2299),"",(VLOOKUP(D2299,Cardápio!$A$2:$B$16,2,0))*E2299)</f>
        <v/>
      </c>
      <c r="H2299" s="7" t="str">
        <f t="shared" si="144"/>
        <v/>
      </c>
      <c r="I2299" s="7" t="str">
        <f>IF(AND(ISBLANK(D2299),ISBLANK(C2299)),"",((VLOOKUP(D2299,Cardápio!$A$2:$C$16,3,0))*E2299)+IF(B2299="iFood",F2299*0.27,(VLOOKUP(VENDAS!C2299,Bairros!$A$2:$B$90,2,0))))</f>
        <v/>
      </c>
      <c r="J2299" s="7" t="str">
        <f t="shared" si="145"/>
        <v/>
      </c>
      <c r="K2299" s="9">
        <f t="shared" ca="1" si="146"/>
        <v>45404.878290162036</v>
      </c>
      <c r="L2299" s="10">
        <f t="shared" ca="1" si="147"/>
        <v>45404.878290046297</v>
      </c>
    </row>
    <row r="2300" spans="6:12" x14ac:dyDescent="0.25">
      <c r="F2300" s="11" t="str">
        <f>IF(ISBLANK(D2300),"",(VLOOKUP(D2300,Cardápio!$A$2:$B$16,2,0))*E2300)</f>
        <v/>
      </c>
      <c r="H2300" s="7" t="str">
        <f t="shared" si="144"/>
        <v/>
      </c>
      <c r="I2300" s="7" t="str">
        <f>IF(AND(ISBLANK(D2300),ISBLANK(C2300)),"",((VLOOKUP(D2300,Cardápio!$A$2:$C$16,3,0))*E2300)+IF(B2300="iFood",F2300*0.27,(VLOOKUP(VENDAS!C2300,Bairros!$A$2:$B$90,2,0))))</f>
        <v/>
      </c>
      <c r="J2300" s="7" t="str">
        <f t="shared" si="145"/>
        <v/>
      </c>
      <c r="K2300" s="9">
        <f t="shared" ca="1" si="146"/>
        <v>45404.878290162036</v>
      </c>
      <c r="L2300" s="10">
        <f t="shared" ca="1" si="147"/>
        <v>45404.878290046297</v>
      </c>
    </row>
    <row r="2301" spans="6:12" x14ac:dyDescent="0.25">
      <c r="F2301" s="11" t="str">
        <f>IF(ISBLANK(D2301),"",(VLOOKUP(D2301,Cardápio!$A$2:$B$16,2,0))*E2301)</f>
        <v/>
      </c>
      <c r="H2301" s="7" t="str">
        <f t="shared" si="144"/>
        <v/>
      </c>
      <c r="I2301" s="7" t="str">
        <f>IF(AND(ISBLANK(D2301),ISBLANK(C2301)),"",((VLOOKUP(D2301,Cardápio!$A$2:$C$16,3,0))*E2301)+IF(B2301="iFood",F2301*0.27,(VLOOKUP(VENDAS!C2301,Bairros!$A$2:$B$90,2,0))))</f>
        <v/>
      </c>
      <c r="J2301" s="7" t="str">
        <f t="shared" si="145"/>
        <v/>
      </c>
      <c r="K2301" s="9">
        <f t="shared" ca="1" si="146"/>
        <v>45404.878290162036</v>
      </c>
      <c r="L2301" s="10">
        <f t="shared" ca="1" si="147"/>
        <v>45404.878290046297</v>
      </c>
    </row>
    <row r="2302" spans="6:12" x14ac:dyDescent="0.25">
      <c r="F2302" s="11" t="str">
        <f>IF(ISBLANK(D2302),"",(VLOOKUP(D2302,Cardápio!$A$2:$B$16,2,0))*E2302)</f>
        <v/>
      </c>
      <c r="H2302" s="7" t="str">
        <f t="shared" si="144"/>
        <v/>
      </c>
      <c r="I2302" s="7" t="str">
        <f>IF(AND(ISBLANK(D2302),ISBLANK(C2302)),"",((VLOOKUP(D2302,Cardápio!$A$2:$C$16,3,0))*E2302)+IF(B2302="iFood",F2302*0.27,(VLOOKUP(VENDAS!C2302,Bairros!$A$2:$B$90,2,0))))</f>
        <v/>
      </c>
      <c r="J2302" s="7" t="str">
        <f t="shared" si="145"/>
        <v/>
      </c>
      <c r="K2302" s="9">
        <f t="shared" ca="1" si="146"/>
        <v>45404.878290162036</v>
      </c>
      <c r="L2302" s="10">
        <f t="shared" ca="1" si="147"/>
        <v>45404.878290046297</v>
      </c>
    </row>
    <row r="2303" spans="6:12" x14ac:dyDescent="0.25">
      <c r="F2303" s="11" t="str">
        <f>IF(ISBLANK(D2303),"",(VLOOKUP(D2303,Cardápio!$A$2:$B$16,2,0))*E2303)</f>
        <v/>
      </c>
      <c r="H2303" s="7" t="str">
        <f t="shared" si="144"/>
        <v/>
      </c>
      <c r="I2303" s="7" t="str">
        <f>IF(AND(ISBLANK(D2303),ISBLANK(C2303)),"",((VLOOKUP(D2303,Cardápio!$A$2:$C$16,3,0))*E2303)+IF(B2303="iFood",F2303*0.27,(VLOOKUP(VENDAS!C2303,Bairros!$A$2:$B$90,2,0))))</f>
        <v/>
      </c>
      <c r="J2303" s="7" t="str">
        <f t="shared" si="145"/>
        <v/>
      </c>
      <c r="K2303" s="9">
        <f t="shared" ca="1" si="146"/>
        <v>45404.878290162036</v>
      </c>
      <c r="L2303" s="10">
        <f t="shared" ca="1" si="147"/>
        <v>45404.878290046297</v>
      </c>
    </row>
    <row r="2304" spans="6:12" x14ac:dyDescent="0.25">
      <c r="F2304" s="11" t="str">
        <f>IF(ISBLANK(D2304),"",(VLOOKUP(D2304,Cardápio!$A$2:$B$16,2,0))*E2304)</f>
        <v/>
      </c>
      <c r="H2304" s="7" t="str">
        <f t="shared" si="144"/>
        <v/>
      </c>
      <c r="I2304" s="7" t="str">
        <f>IF(AND(ISBLANK(D2304),ISBLANK(C2304)),"",((VLOOKUP(D2304,Cardápio!$A$2:$C$16,3,0))*E2304)+IF(B2304="iFood",F2304*0.27,(VLOOKUP(VENDAS!C2304,Bairros!$A$2:$B$90,2,0))))</f>
        <v/>
      </c>
      <c r="J2304" s="7" t="str">
        <f t="shared" si="145"/>
        <v/>
      </c>
      <c r="K2304" s="9">
        <f t="shared" ca="1" si="146"/>
        <v>45404.878290162036</v>
      </c>
      <c r="L2304" s="10">
        <f t="shared" ca="1" si="147"/>
        <v>45404.878290046297</v>
      </c>
    </row>
    <row r="2305" spans="6:12" x14ac:dyDescent="0.25">
      <c r="F2305" s="11" t="str">
        <f>IF(ISBLANK(D2305),"",(VLOOKUP(D2305,Cardápio!$A$2:$B$16,2,0))*E2305)</f>
        <v/>
      </c>
      <c r="H2305" s="7" t="str">
        <f t="shared" si="144"/>
        <v/>
      </c>
      <c r="I2305" s="7" t="str">
        <f>IF(AND(ISBLANK(D2305),ISBLANK(C2305)),"",((VLOOKUP(D2305,Cardápio!$A$2:$C$16,3,0))*E2305)+IF(B2305="iFood",F2305*0.27,(VLOOKUP(VENDAS!C2305,Bairros!$A$2:$B$90,2,0))))</f>
        <v/>
      </c>
      <c r="J2305" s="7" t="str">
        <f t="shared" si="145"/>
        <v/>
      </c>
      <c r="K2305" s="9">
        <f t="shared" ca="1" si="146"/>
        <v>45404.878290162036</v>
      </c>
      <c r="L2305" s="10">
        <f t="shared" ca="1" si="147"/>
        <v>45404.878290046297</v>
      </c>
    </row>
    <row r="2306" spans="6:12" x14ac:dyDescent="0.25">
      <c r="F2306" s="11" t="str">
        <f>IF(ISBLANK(D2306),"",(VLOOKUP(D2306,Cardápio!$A$2:$B$16,2,0))*E2306)</f>
        <v/>
      </c>
      <c r="H2306" s="7" t="str">
        <f t="shared" si="144"/>
        <v/>
      </c>
      <c r="I2306" s="7" t="str">
        <f>IF(AND(ISBLANK(D2306),ISBLANK(C2306)),"",((VLOOKUP(D2306,Cardápio!$A$2:$C$16,3,0))*E2306)+IF(B2306="iFood",F2306*0.27,(VLOOKUP(VENDAS!C2306,Bairros!$A$2:$B$90,2,0))))</f>
        <v/>
      </c>
      <c r="J2306" s="7" t="str">
        <f t="shared" si="145"/>
        <v/>
      </c>
      <c r="K2306" s="9">
        <f t="shared" ca="1" si="146"/>
        <v>45404.878290162036</v>
      </c>
      <c r="L2306" s="10">
        <f t="shared" ca="1" si="147"/>
        <v>45404.878290046297</v>
      </c>
    </row>
    <row r="2307" spans="6:12" x14ac:dyDescent="0.25">
      <c r="F2307" s="11" t="str">
        <f>IF(ISBLANK(D2307),"",(VLOOKUP(D2307,Cardápio!$A$2:$B$16,2,0))*E2307)</f>
        <v/>
      </c>
      <c r="H2307" s="7" t="str">
        <f t="shared" si="144"/>
        <v/>
      </c>
      <c r="I2307" s="7" t="str">
        <f>IF(AND(ISBLANK(D2307),ISBLANK(C2307)),"",((VLOOKUP(D2307,Cardápio!$A$2:$C$16,3,0))*E2307)+IF(B2307="iFood",F2307*0.27,(VLOOKUP(VENDAS!C2307,Bairros!$A$2:$B$90,2,0))))</f>
        <v/>
      </c>
      <c r="J2307" s="7" t="str">
        <f t="shared" si="145"/>
        <v/>
      </c>
      <c r="K2307" s="9">
        <f t="shared" ca="1" si="146"/>
        <v>45404.878290162036</v>
      </c>
      <c r="L2307" s="10">
        <f t="shared" ca="1" si="147"/>
        <v>45404.878290046297</v>
      </c>
    </row>
    <row r="2308" spans="6:12" x14ac:dyDescent="0.25">
      <c r="F2308" s="11" t="str">
        <f>IF(ISBLANK(D2308),"",(VLOOKUP(D2308,Cardápio!$A$2:$B$16,2,0))*E2308)</f>
        <v/>
      </c>
      <c r="H2308" s="7" t="str">
        <f t="shared" si="144"/>
        <v/>
      </c>
      <c r="I2308" s="7" t="str">
        <f>IF(AND(ISBLANK(D2308),ISBLANK(C2308)),"",((VLOOKUP(D2308,Cardápio!$A$2:$C$16,3,0))*E2308)+IF(B2308="iFood",F2308*0.27,(VLOOKUP(VENDAS!C2308,Bairros!$A$2:$B$90,2,0))))</f>
        <v/>
      </c>
      <c r="J2308" s="7" t="str">
        <f t="shared" si="145"/>
        <v/>
      </c>
      <c r="K2308" s="9">
        <f t="shared" ca="1" si="146"/>
        <v>45404.878290162036</v>
      </c>
      <c r="L2308" s="10">
        <f t="shared" ca="1" si="147"/>
        <v>45404.878290046297</v>
      </c>
    </row>
    <row r="2309" spans="6:12" x14ac:dyDescent="0.25">
      <c r="F2309" s="11" t="str">
        <f>IF(ISBLANK(D2309),"",(VLOOKUP(D2309,Cardápio!$A$2:$B$16,2,0))*E2309)</f>
        <v/>
      </c>
      <c r="H2309" s="7" t="str">
        <f t="shared" si="144"/>
        <v/>
      </c>
      <c r="I2309" s="7" t="str">
        <f>IF(AND(ISBLANK(D2309),ISBLANK(C2309)),"",((VLOOKUP(D2309,Cardápio!$A$2:$C$16,3,0))*E2309)+IF(B2309="iFood",F2309*0.27,(VLOOKUP(VENDAS!C2309,Bairros!$A$2:$B$90,2,0))))</f>
        <v/>
      </c>
      <c r="J2309" s="7" t="str">
        <f t="shared" si="145"/>
        <v/>
      </c>
      <c r="K2309" s="9">
        <f t="shared" ca="1" si="146"/>
        <v>45404.878290162036</v>
      </c>
      <c r="L2309" s="10">
        <f t="shared" ca="1" si="147"/>
        <v>45404.878290046297</v>
      </c>
    </row>
    <row r="2310" spans="6:12" x14ac:dyDescent="0.25">
      <c r="F2310" s="11" t="str">
        <f>IF(ISBLANK(D2310),"",(VLOOKUP(D2310,Cardápio!$A$2:$B$16,2,0))*E2310)</f>
        <v/>
      </c>
      <c r="H2310" s="7" t="str">
        <f t="shared" si="144"/>
        <v/>
      </c>
      <c r="I2310" s="7" t="str">
        <f>IF(AND(ISBLANK(D2310),ISBLANK(C2310)),"",((VLOOKUP(D2310,Cardápio!$A$2:$C$16,3,0))*E2310)+IF(B2310="iFood",F2310*0.27,(VLOOKUP(VENDAS!C2310,Bairros!$A$2:$B$90,2,0))))</f>
        <v/>
      </c>
      <c r="J2310" s="7" t="str">
        <f t="shared" si="145"/>
        <v/>
      </c>
      <c r="K2310" s="9">
        <f t="shared" ca="1" si="146"/>
        <v>45404.878290162036</v>
      </c>
      <c r="L2310" s="10">
        <f t="shared" ca="1" si="147"/>
        <v>45404.878290046297</v>
      </c>
    </row>
    <row r="2311" spans="6:12" x14ac:dyDescent="0.25">
      <c r="F2311" s="11" t="str">
        <f>IF(ISBLANK(D2311),"",(VLOOKUP(D2311,Cardápio!$A$2:$B$16,2,0))*E2311)</f>
        <v/>
      </c>
      <c r="H2311" s="7" t="str">
        <f t="shared" si="144"/>
        <v/>
      </c>
      <c r="I2311" s="7" t="str">
        <f>IF(AND(ISBLANK(D2311),ISBLANK(C2311)),"",((VLOOKUP(D2311,Cardápio!$A$2:$C$16,3,0))*E2311)+IF(B2311="iFood",F2311*0.27,(VLOOKUP(VENDAS!C2311,Bairros!$A$2:$B$90,2,0))))</f>
        <v/>
      </c>
      <c r="J2311" s="7" t="str">
        <f t="shared" si="145"/>
        <v/>
      </c>
      <c r="K2311" s="9">
        <f t="shared" ca="1" si="146"/>
        <v>45404.878290162036</v>
      </c>
      <c r="L2311" s="10">
        <f t="shared" ca="1" si="147"/>
        <v>45404.878290046297</v>
      </c>
    </row>
    <row r="2312" spans="6:12" x14ac:dyDescent="0.25">
      <c r="F2312" s="11" t="str">
        <f>IF(ISBLANK(D2312),"",(VLOOKUP(D2312,Cardápio!$A$2:$B$16,2,0))*E2312)</f>
        <v/>
      </c>
      <c r="H2312" s="7" t="str">
        <f t="shared" si="144"/>
        <v/>
      </c>
      <c r="I2312" s="7" t="str">
        <f>IF(AND(ISBLANK(D2312),ISBLANK(C2312)),"",((VLOOKUP(D2312,Cardápio!$A$2:$C$16,3,0))*E2312)+IF(B2312="iFood",F2312*0.27,(VLOOKUP(VENDAS!C2312,Bairros!$A$2:$B$90,2,0))))</f>
        <v/>
      </c>
      <c r="J2312" s="7" t="str">
        <f t="shared" si="145"/>
        <v/>
      </c>
      <c r="K2312" s="9">
        <f t="shared" ca="1" si="146"/>
        <v>45404.878290162036</v>
      </c>
      <c r="L2312" s="10">
        <f t="shared" ca="1" si="147"/>
        <v>45404.878290046297</v>
      </c>
    </row>
    <row r="2313" spans="6:12" x14ac:dyDescent="0.25">
      <c r="F2313" s="11" t="str">
        <f>IF(ISBLANK(D2313),"",(VLOOKUP(D2313,Cardápio!$A$2:$B$16,2,0))*E2313)</f>
        <v/>
      </c>
      <c r="H2313" s="7" t="str">
        <f t="shared" si="144"/>
        <v/>
      </c>
      <c r="I2313" s="7" t="str">
        <f>IF(AND(ISBLANK(D2313),ISBLANK(C2313)),"",((VLOOKUP(D2313,Cardápio!$A$2:$C$16,3,0))*E2313)+IF(B2313="iFood",F2313*0.27,(VLOOKUP(VENDAS!C2313,Bairros!$A$2:$B$90,2,0))))</f>
        <v/>
      </c>
      <c r="J2313" s="7" t="str">
        <f t="shared" si="145"/>
        <v/>
      </c>
      <c r="K2313" s="9">
        <f t="shared" ca="1" si="146"/>
        <v>45404.878290162036</v>
      </c>
      <c r="L2313" s="10">
        <f t="shared" ca="1" si="147"/>
        <v>45404.878290046297</v>
      </c>
    </row>
    <row r="2314" spans="6:12" x14ac:dyDescent="0.25">
      <c r="F2314" s="11" t="str">
        <f>IF(ISBLANK(D2314),"",(VLOOKUP(D2314,Cardápio!$A$2:$B$16,2,0))*E2314)</f>
        <v/>
      </c>
      <c r="H2314" s="7" t="str">
        <f t="shared" si="144"/>
        <v/>
      </c>
      <c r="I2314" s="7" t="str">
        <f>IF(AND(ISBLANK(D2314),ISBLANK(C2314)),"",((VLOOKUP(D2314,Cardápio!$A$2:$C$16,3,0))*E2314)+IF(B2314="iFood",F2314*0.27,(VLOOKUP(VENDAS!C2314,Bairros!$A$2:$B$90,2,0))))</f>
        <v/>
      </c>
      <c r="J2314" s="7" t="str">
        <f t="shared" si="145"/>
        <v/>
      </c>
      <c r="K2314" s="9">
        <f t="shared" ca="1" si="146"/>
        <v>45404.878290162036</v>
      </c>
      <c r="L2314" s="10">
        <f t="shared" ca="1" si="147"/>
        <v>45404.878290046297</v>
      </c>
    </row>
    <row r="2315" spans="6:12" x14ac:dyDescent="0.25">
      <c r="F2315" s="11" t="str">
        <f>IF(ISBLANK(D2315),"",(VLOOKUP(D2315,Cardápio!$A$2:$B$16,2,0))*E2315)</f>
        <v/>
      </c>
      <c r="H2315" s="7" t="str">
        <f t="shared" si="144"/>
        <v/>
      </c>
      <c r="I2315" s="7" t="str">
        <f>IF(AND(ISBLANK(D2315),ISBLANK(C2315)),"",((VLOOKUP(D2315,Cardápio!$A$2:$C$16,3,0))*E2315)+IF(B2315="iFood",F2315*0.27,(VLOOKUP(VENDAS!C2315,Bairros!$A$2:$B$90,2,0))))</f>
        <v/>
      </c>
      <c r="J2315" s="7" t="str">
        <f t="shared" si="145"/>
        <v/>
      </c>
      <c r="K2315" s="9">
        <f t="shared" ca="1" si="146"/>
        <v>45404.878290162036</v>
      </c>
      <c r="L2315" s="10">
        <f t="shared" ca="1" si="147"/>
        <v>45404.878290046297</v>
      </c>
    </row>
    <row r="2316" spans="6:12" x14ac:dyDescent="0.25">
      <c r="F2316" s="11" t="str">
        <f>IF(ISBLANK(D2316),"",(VLOOKUP(D2316,Cardápio!$A$2:$B$16,2,0))*E2316)</f>
        <v/>
      </c>
      <c r="H2316" s="7" t="str">
        <f t="shared" si="144"/>
        <v/>
      </c>
      <c r="I2316" s="7" t="str">
        <f>IF(AND(ISBLANK(D2316),ISBLANK(C2316)),"",((VLOOKUP(D2316,Cardápio!$A$2:$C$16,3,0))*E2316)+IF(B2316="iFood",F2316*0.27,(VLOOKUP(VENDAS!C2316,Bairros!$A$2:$B$90,2,0))))</f>
        <v/>
      </c>
      <c r="J2316" s="7" t="str">
        <f t="shared" si="145"/>
        <v/>
      </c>
      <c r="K2316" s="9">
        <f t="shared" ca="1" si="146"/>
        <v>45404.878290162036</v>
      </c>
      <c r="L2316" s="10">
        <f t="shared" ca="1" si="147"/>
        <v>45404.878290046297</v>
      </c>
    </row>
    <row r="2317" spans="6:12" x14ac:dyDescent="0.25">
      <c r="F2317" s="11" t="str">
        <f>IF(ISBLANK(D2317),"",(VLOOKUP(D2317,Cardápio!$A$2:$B$16,2,0))*E2317)</f>
        <v/>
      </c>
      <c r="H2317" s="7" t="str">
        <f t="shared" si="144"/>
        <v/>
      </c>
      <c r="I2317" s="7" t="str">
        <f>IF(AND(ISBLANK(D2317),ISBLANK(C2317)),"",((VLOOKUP(D2317,Cardápio!$A$2:$C$16,3,0))*E2317)+IF(B2317="iFood",F2317*0.27,(VLOOKUP(VENDAS!C2317,Bairros!$A$2:$B$90,2,0))))</f>
        <v/>
      </c>
      <c r="J2317" s="7" t="str">
        <f t="shared" si="145"/>
        <v/>
      </c>
      <c r="K2317" s="9">
        <f t="shared" ca="1" si="146"/>
        <v>45404.878290162036</v>
      </c>
      <c r="L2317" s="10">
        <f t="shared" ca="1" si="147"/>
        <v>45404.878290046297</v>
      </c>
    </row>
    <row r="2318" spans="6:12" x14ac:dyDescent="0.25">
      <c r="F2318" s="11" t="str">
        <f>IF(ISBLANK(D2318),"",(VLOOKUP(D2318,Cardápio!$A$2:$B$16,2,0))*E2318)</f>
        <v/>
      </c>
      <c r="H2318" s="7" t="str">
        <f t="shared" si="144"/>
        <v/>
      </c>
      <c r="I2318" s="7" t="str">
        <f>IF(AND(ISBLANK(D2318),ISBLANK(C2318)),"",((VLOOKUP(D2318,Cardápio!$A$2:$C$16,3,0))*E2318)+IF(B2318="iFood",F2318*0.27,(VLOOKUP(VENDAS!C2318,Bairros!$A$2:$B$90,2,0))))</f>
        <v/>
      </c>
      <c r="J2318" s="7" t="str">
        <f t="shared" si="145"/>
        <v/>
      </c>
      <c r="K2318" s="9">
        <f t="shared" ca="1" si="146"/>
        <v>45404.878290162036</v>
      </c>
      <c r="L2318" s="10">
        <f t="shared" ca="1" si="147"/>
        <v>45404.878290046297</v>
      </c>
    </row>
    <row r="2319" spans="6:12" x14ac:dyDescent="0.25">
      <c r="F2319" s="11" t="str">
        <f>IF(ISBLANK(D2319),"",(VLOOKUP(D2319,Cardápio!$A$2:$B$16,2,0))*E2319)</f>
        <v/>
      </c>
      <c r="H2319" s="7" t="str">
        <f t="shared" si="144"/>
        <v/>
      </c>
      <c r="I2319" s="7" t="str">
        <f>IF(AND(ISBLANK(D2319),ISBLANK(C2319)),"",((VLOOKUP(D2319,Cardápio!$A$2:$C$16,3,0))*E2319)+IF(B2319="iFood",F2319*0.27,(VLOOKUP(VENDAS!C2319,Bairros!$A$2:$B$90,2,0))))</f>
        <v/>
      </c>
      <c r="J2319" s="7" t="str">
        <f t="shared" si="145"/>
        <v/>
      </c>
      <c r="K2319" s="9">
        <f t="shared" ca="1" si="146"/>
        <v>45404.878290162036</v>
      </c>
      <c r="L2319" s="10">
        <f t="shared" ca="1" si="147"/>
        <v>45404.878290046297</v>
      </c>
    </row>
    <row r="2320" spans="6:12" x14ac:dyDescent="0.25">
      <c r="F2320" s="11" t="str">
        <f>IF(ISBLANK(D2320),"",(VLOOKUP(D2320,Cardápio!$A$2:$B$16,2,0))*E2320)</f>
        <v/>
      </c>
      <c r="H2320" s="7" t="str">
        <f t="shared" si="144"/>
        <v/>
      </c>
      <c r="I2320" s="7" t="str">
        <f>IF(AND(ISBLANK(D2320),ISBLANK(C2320)),"",((VLOOKUP(D2320,Cardápio!$A$2:$C$16,3,0))*E2320)+IF(B2320="iFood",F2320*0.27,(VLOOKUP(VENDAS!C2320,Bairros!$A$2:$B$90,2,0))))</f>
        <v/>
      </c>
      <c r="J2320" s="7" t="str">
        <f t="shared" si="145"/>
        <v/>
      </c>
      <c r="K2320" s="9">
        <f t="shared" ca="1" si="146"/>
        <v>45404.878290162036</v>
      </c>
      <c r="L2320" s="10">
        <f t="shared" ca="1" si="147"/>
        <v>45404.878290046297</v>
      </c>
    </row>
    <row r="2321" spans="6:12" x14ac:dyDescent="0.25">
      <c r="F2321" s="11" t="str">
        <f>IF(ISBLANK(D2321),"",(VLOOKUP(D2321,Cardápio!$A$2:$B$16,2,0))*E2321)</f>
        <v/>
      </c>
      <c r="H2321" s="7" t="str">
        <f t="shared" si="144"/>
        <v/>
      </c>
      <c r="I2321" s="7" t="str">
        <f>IF(AND(ISBLANK(D2321),ISBLANK(C2321)),"",((VLOOKUP(D2321,Cardápio!$A$2:$C$16,3,0))*E2321)+IF(B2321="iFood",F2321*0.27,(VLOOKUP(VENDAS!C2321,Bairros!$A$2:$B$90,2,0))))</f>
        <v/>
      </c>
      <c r="J2321" s="7" t="str">
        <f t="shared" si="145"/>
        <v/>
      </c>
      <c r="K2321" s="9">
        <f t="shared" ca="1" si="146"/>
        <v>45404.878290162036</v>
      </c>
      <c r="L2321" s="10">
        <f t="shared" ca="1" si="147"/>
        <v>45404.878290046297</v>
      </c>
    </row>
    <row r="2322" spans="6:12" x14ac:dyDescent="0.25">
      <c r="F2322" s="11" t="str">
        <f>IF(ISBLANK(D2322),"",(VLOOKUP(D2322,Cardápio!$A$2:$B$16,2,0))*E2322)</f>
        <v/>
      </c>
      <c r="H2322" s="7" t="str">
        <f t="shared" si="144"/>
        <v/>
      </c>
      <c r="I2322" s="7" t="str">
        <f>IF(AND(ISBLANK(D2322),ISBLANK(C2322)),"",((VLOOKUP(D2322,Cardápio!$A$2:$C$16,3,0))*E2322)+IF(B2322="iFood",F2322*0.27,(VLOOKUP(VENDAS!C2322,Bairros!$A$2:$B$90,2,0))))</f>
        <v/>
      </c>
      <c r="J2322" s="7" t="str">
        <f t="shared" si="145"/>
        <v/>
      </c>
      <c r="K2322" s="9">
        <f t="shared" ca="1" si="146"/>
        <v>45404.878290162036</v>
      </c>
      <c r="L2322" s="10">
        <f t="shared" ca="1" si="147"/>
        <v>45404.878290046297</v>
      </c>
    </row>
    <row r="2323" spans="6:12" x14ac:dyDescent="0.25">
      <c r="F2323" s="11" t="str">
        <f>IF(ISBLANK(D2323),"",(VLOOKUP(D2323,Cardápio!$A$2:$B$16,2,0))*E2323)</f>
        <v/>
      </c>
      <c r="H2323" s="7" t="str">
        <f t="shared" si="144"/>
        <v/>
      </c>
      <c r="I2323" s="7" t="str">
        <f>IF(AND(ISBLANK(D2323),ISBLANK(C2323)),"",((VLOOKUP(D2323,Cardápio!$A$2:$C$16,3,0))*E2323)+IF(B2323="iFood",F2323*0.27,(VLOOKUP(VENDAS!C2323,Bairros!$A$2:$B$90,2,0))))</f>
        <v/>
      </c>
      <c r="J2323" s="7" t="str">
        <f t="shared" si="145"/>
        <v/>
      </c>
      <c r="K2323" s="9">
        <f t="shared" ca="1" si="146"/>
        <v>45404.878290162036</v>
      </c>
      <c r="L2323" s="10">
        <f t="shared" ca="1" si="147"/>
        <v>45404.878290046297</v>
      </c>
    </row>
    <row r="2324" spans="6:12" x14ac:dyDescent="0.25">
      <c r="F2324" s="11" t="str">
        <f>IF(ISBLANK(D2324),"",(VLOOKUP(D2324,Cardápio!$A$2:$B$16,2,0))*E2324)</f>
        <v/>
      </c>
      <c r="H2324" s="7" t="str">
        <f t="shared" si="144"/>
        <v/>
      </c>
      <c r="I2324" s="7" t="str">
        <f>IF(AND(ISBLANK(D2324),ISBLANK(C2324)),"",((VLOOKUP(D2324,Cardápio!$A$2:$C$16,3,0))*E2324)+IF(B2324="iFood",F2324*0.27,(VLOOKUP(VENDAS!C2324,Bairros!$A$2:$B$90,2,0))))</f>
        <v/>
      </c>
      <c r="J2324" s="7" t="str">
        <f t="shared" si="145"/>
        <v/>
      </c>
      <c r="K2324" s="9">
        <f t="shared" ca="1" si="146"/>
        <v>45404.878290162036</v>
      </c>
      <c r="L2324" s="10">
        <f t="shared" ca="1" si="147"/>
        <v>45404.878290046297</v>
      </c>
    </row>
    <row r="2325" spans="6:12" x14ac:dyDescent="0.25">
      <c r="F2325" s="11" t="str">
        <f>IF(ISBLANK(D2325),"",(VLOOKUP(D2325,Cardápio!$A$2:$B$16,2,0))*E2325)</f>
        <v/>
      </c>
      <c r="H2325" s="7" t="str">
        <f t="shared" si="144"/>
        <v/>
      </c>
      <c r="I2325" s="7" t="str">
        <f>IF(AND(ISBLANK(D2325),ISBLANK(C2325)),"",((VLOOKUP(D2325,Cardápio!$A$2:$C$16,3,0))*E2325)+IF(B2325="iFood",F2325*0.27,(VLOOKUP(VENDAS!C2325,Bairros!$A$2:$B$90,2,0))))</f>
        <v/>
      </c>
      <c r="J2325" s="7" t="str">
        <f t="shared" si="145"/>
        <v/>
      </c>
      <c r="K2325" s="9">
        <f t="shared" ca="1" si="146"/>
        <v>45404.878290162036</v>
      </c>
      <c r="L2325" s="10">
        <f t="shared" ca="1" si="147"/>
        <v>45404.878290046297</v>
      </c>
    </row>
    <row r="2326" spans="6:12" x14ac:dyDescent="0.25">
      <c r="F2326" s="11" t="str">
        <f>IF(ISBLANK(D2326),"",(VLOOKUP(D2326,Cardápio!$A$2:$B$16,2,0))*E2326)</f>
        <v/>
      </c>
      <c r="H2326" s="7" t="str">
        <f t="shared" si="144"/>
        <v/>
      </c>
      <c r="I2326" s="7" t="str">
        <f>IF(AND(ISBLANK(D2326),ISBLANK(C2326)),"",((VLOOKUP(D2326,Cardápio!$A$2:$C$16,3,0))*E2326)+IF(B2326="iFood",F2326*0.27,(VLOOKUP(VENDAS!C2326,Bairros!$A$2:$B$90,2,0))))</f>
        <v/>
      </c>
      <c r="J2326" s="7" t="str">
        <f t="shared" si="145"/>
        <v/>
      </c>
      <c r="K2326" s="9">
        <f t="shared" ca="1" si="146"/>
        <v>45404.878290162036</v>
      </c>
      <c r="L2326" s="10">
        <f t="shared" ca="1" si="147"/>
        <v>45404.878290046297</v>
      </c>
    </row>
    <row r="2327" spans="6:12" x14ac:dyDescent="0.25">
      <c r="F2327" s="11" t="str">
        <f>IF(ISBLANK(D2327),"",(VLOOKUP(D2327,Cardápio!$A$2:$B$16,2,0))*E2327)</f>
        <v/>
      </c>
      <c r="H2327" s="7" t="str">
        <f t="shared" si="144"/>
        <v/>
      </c>
      <c r="I2327" s="7" t="str">
        <f>IF(AND(ISBLANK(D2327),ISBLANK(C2327)),"",((VLOOKUP(D2327,Cardápio!$A$2:$C$16,3,0))*E2327)+IF(B2327="iFood",F2327*0.27,(VLOOKUP(VENDAS!C2327,Bairros!$A$2:$B$90,2,0))))</f>
        <v/>
      </c>
      <c r="J2327" s="7" t="str">
        <f t="shared" si="145"/>
        <v/>
      </c>
      <c r="K2327" s="9">
        <f t="shared" ca="1" si="146"/>
        <v>45404.878290162036</v>
      </c>
      <c r="L2327" s="10">
        <f t="shared" ca="1" si="147"/>
        <v>45404.878290046297</v>
      </c>
    </row>
    <row r="2328" spans="6:12" x14ac:dyDescent="0.25">
      <c r="F2328" s="11" t="str">
        <f>IF(ISBLANK(D2328),"",(VLOOKUP(D2328,Cardápio!$A$2:$B$16,2,0))*E2328)</f>
        <v/>
      </c>
      <c r="H2328" s="7" t="str">
        <f t="shared" si="144"/>
        <v/>
      </c>
      <c r="I2328" s="7" t="str">
        <f>IF(AND(ISBLANK(D2328),ISBLANK(C2328)),"",((VLOOKUP(D2328,Cardápio!$A$2:$C$16,3,0))*E2328)+IF(B2328="iFood",F2328*0.27,(VLOOKUP(VENDAS!C2328,Bairros!$A$2:$B$90,2,0))))</f>
        <v/>
      </c>
      <c r="J2328" s="7" t="str">
        <f t="shared" si="145"/>
        <v/>
      </c>
      <c r="K2328" s="9">
        <f t="shared" ca="1" si="146"/>
        <v>45404.878290162036</v>
      </c>
      <c r="L2328" s="10">
        <f t="shared" ca="1" si="147"/>
        <v>45404.878290046297</v>
      </c>
    </row>
    <row r="2329" spans="6:12" x14ac:dyDescent="0.25">
      <c r="F2329" s="11" t="str">
        <f>IF(ISBLANK(D2329),"",(VLOOKUP(D2329,Cardápio!$A$2:$B$16,2,0))*E2329)</f>
        <v/>
      </c>
      <c r="H2329" s="7" t="str">
        <f t="shared" si="144"/>
        <v/>
      </c>
      <c r="I2329" s="7" t="str">
        <f>IF(AND(ISBLANK(D2329),ISBLANK(C2329)),"",((VLOOKUP(D2329,Cardápio!$A$2:$C$16,3,0))*E2329)+IF(B2329="iFood",F2329*0.27,(VLOOKUP(VENDAS!C2329,Bairros!$A$2:$B$90,2,0))))</f>
        <v/>
      </c>
      <c r="J2329" s="7" t="str">
        <f t="shared" si="145"/>
        <v/>
      </c>
      <c r="K2329" s="9">
        <f t="shared" ca="1" si="146"/>
        <v>45404.878290162036</v>
      </c>
      <c r="L2329" s="10">
        <f t="shared" ca="1" si="147"/>
        <v>45404.878290046297</v>
      </c>
    </row>
    <row r="2330" spans="6:12" x14ac:dyDescent="0.25">
      <c r="F2330" s="11" t="str">
        <f>IF(ISBLANK(D2330),"",(VLOOKUP(D2330,Cardápio!$A$2:$B$16,2,0))*E2330)</f>
        <v/>
      </c>
      <c r="H2330" s="7" t="str">
        <f t="shared" si="144"/>
        <v/>
      </c>
      <c r="I2330" s="7" t="str">
        <f>IF(AND(ISBLANK(D2330),ISBLANK(C2330)),"",((VLOOKUP(D2330,Cardápio!$A$2:$C$16,3,0))*E2330)+IF(B2330="iFood",F2330*0.27,(VLOOKUP(VENDAS!C2330,Bairros!$A$2:$B$90,2,0))))</f>
        <v/>
      </c>
      <c r="J2330" s="7" t="str">
        <f t="shared" si="145"/>
        <v/>
      </c>
      <c r="K2330" s="9">
        <f t="shared" ca="1" si="146"/>
        <v>45404.878290162036</v>
      </c>
      <c r="L2330" s="10">
        <f t="shared" ca="1" si="147"/>
        <v>45404.878290046297</v>
      </c>
    </row>
    <row r="2331" spans="6:12" x14ac:dyDescent="0.25">
      <c r="F2331" s="11" t="str">
        <f>IF(ISBLANK(D2331),"",(VLOOKUP(D2331,Cardápio!$A$2:$B$16,2,0))*E2331)</f>
        <v/>
      </c>
      <c r="H2331" s="7" t="str">
        <f t="shared" si="144"/>
        <v/>
      </c>
      <c r="I2331" s="7" t="str">
        <f>IF(AND(ISBLANK(D2331),ISBLANK(C2331)),"",((VLOOKUP(D2331,Cardápio!$A$2:$C$16,3,0))*E2331)+IF(B2331="iFood",F2331*0.27,(VLOOKUP(VENDAS!C2331,Bairros!$A$2:$B$90,2,0))))</f>
        <v/>
      </c>
      <c r="J2331" s="7" t="str">
        <f t="shared" si="145"/>
        <v/>
      </c>
      <c r="K2331" s="9">
        <f t="shared" ca="1" si="146"/>
        <v>45404.878290162036</v>
      </c>
      <c r="L2331" s="10">
        <f t="shared" ca="1" si="147"/>
        <v>45404.878290046297</v>
      </c>
    </row>
    <row r="2332" spans="6:12" x14ac:dyDescent="0.25">
      <c r="F2332" s="11" t="str">
        <f>IF(ISBLANK(D2332),"",(VLOOKUP(D2332,Cardápio!$A$2:$B$16,2,0))*E2332)</f>
        <v/>
      </c>
      <c r="H2332" s="7" t="str">
        <f t="shared" si="144"/>
        <v/>
      </c>
      <c r="I2332" s="7" t="str">
        <f>IF(AND(ISBLANK(D2332),ISBLANK(C2332)),"",((VLOOKUP(D2332,Cardápio!$A$2:$C$16,3,0))*E2332)+IF(B2332="iFood",F2332*0.27,(VLOOKUP(VENDAS!C2332,Bairros!$A$2:$B$90,2,0))))</f>
        <v/>
      </c>
      <c r="J2332" s="7" t="str">
        <f t="shared" si="145"/>
        <v/>
      </c>
      <c r="K2332" s="9">
        <f t="shared" ca="1" si="146"/>
        <v>45404.878290162036</v>
      </c>
      <c r="L2332" s="10">
        <f t="shared" ca="1" si="147"/>
        <v>45404.878290046297</v>
      </c>
    </row>
    <row r="2333" spans="6:12" x14ac:dyDescent="0.25">
      <c r="F2333" s="11" t="str">
        <f>IF(ISBLANK(D2333),"",(VLOOKUP(D2333,Cardápio!$A$2:$B$16,2,0))*E2333)</f>
        <v/>
      </c>
      <c r="H2333" s="7" t="str">
        <f t="shared" si="144"/>
        <v/>
      </c>
      <c r="I2333" s="7" t="str">
        <f>IF(AND(ISBLANK(D2333),ISBLANK(C2333)),"",((VLOOKUP(D2333,Cardápio!$A$2:$C$16,3,0))*E2333)+IF(B2333="iFood",F2333*0.27,(VLOOKUP(VENDAS!C2333,Bairros!$A$2:$B$90,2,0))))</f>
        <v/>
      </c>
      <c r="J2333" s="7" t="str">
        <f t="shared" si="145"/>
        <v/>
      </c>
      <c r="K2333" s="9">
        <f t="shared" ca="1" si="146"/>
        <v>45404.878290162036</v>
      </c>
      <c r="L2333" s="10">
        <f t="shared" ca="1" si="147"/>
        <v>45404.878290046297</v>
      </c>
    </row>
    <row r="2334" spans="6:12" x14ac:dyDescent="0.25">
      <c r="F2334" s="11" t="str">
        <f>IF(ISBLANK(D2334),"",(VLOOKUP(D2334,Cardápio!$A$2:$B$16,2,0))*E2334)</f>
        <v/>
      </c>
      <c r="H2334" s="7" t="str">
        <f t="shared" si="144"/>
        <v/>
      </c>
      <c r="I2334" s="7" t="str">
        <f>IF(AND(ISBLANK(D2334),ISBLANK(C2334)),"",((VLOOKUP(D2334,Cardápio!$A$2:$C$16,3,0))*E2334)+IF(B2334="iFood",F2334*0.27,(VLOOKUP(VENDAS!C2334,Bairros!$A$2:$B$90,2,0))))</f>
        <v/>
      </c>
      <c r="J2334" s="7" t="str">
        <f t="shared" si="145"/>
        <v/>
      </c>
      <c r="K2334" s="9">
        <f t="shared" ca="1" si="146"/>
        <v>45404.878290162036</v>
      </c>
      <c r="L2334" s="10">
        <f t="shared" ca="1" si="147"/>
        <v>45404.878290046297</v>
      </c>
    </row>
    <row r="2335" spans="6:12" x14ac:dyDescent="0.25">
      <c r="F2335" s="11" t="str">
        <f>IF(ISBLANK(D2335),"",(VLOOKUP(D2335,Cardápio!$A$2:$B$16,2,0))*E2335)</f>
        <v/>
      </c>
      <c r="H2335" s="7" t="str">
        <f t="shared" si="144"/>
        <v/>
      </c>
      <c r="I2335" s="7" t="str">
        <f>IF(AND(ISBLANK(D2335),ISBLANK(C2335)),"",((VLOOKUP(D2335,Cardápio!$A$2:$C$16,3,0))*E2335)+IF(B2335="iFood",F2335*0.27,(VLOOKUP(VENDAS!C2335,Bairros!$A$2:$B$90,2,0))))</f>
        <v/>
      </c>
      <c r="J2335" s="7" t="str">
        <f t="shared" si="145"/>
        <v/>
      </c>
      <c r="K2335" s="9">
        <f t="shared" ca="1" si="146"/>
        <v>45404.878290162036</v>
      </c>
      <c r="L2335" s="10">
        <f t="shared" ca="1" si="147"/>
        <v>45404.878290046297</v>
      </c>
    </row>
    <row r="2336" spans="6:12" x14ac:dyDescent="0.25">
      <c r="F2336" s="11" t="str">
        <f>IF(ISBLANK(D2336),"",(VLOOKUP(D2336,Cardápio!$A$2:$B$16,2,0))*E2336)</f>
        <v/>
      </c>
      <c r="H2336" s="7" t="str">
        <f t="shared" si="144"/>
        <v/>
      </c>
      <c r="I2336" s="7" t="str">
        <f>IF(AND(ISBLANK(D2336),ISBLANK(C2336)),"",((VLOOKUP(D2336,Cardápio!$A$2:$C$16,3,0))*E2336)+IF(B2336="iFood",F2336*0.27,(VLOOKUP(VENDAS!C2336,Bairros!$A$2:$B$90,2,0))))</f>
        <v/>
      </c>
      <c r="J2336" s="7" t="str">
        <f t="shared" si="145"/>
        <v/>
      </c>
      <c r="K2336" s="9">
        <f t="shared" ca="1" si="146"/>
        <v>45404.878290162036</v>
      </c>
      <c r="L2336" s="10">
        <f t="shared" ca="1" si="147"/>
        <v>45404.878290046297</v>
      </c>
    </row>
    <row r="2337" spans="6:12" x14ac:dyDescent="0.25">
      <c r="F2337" s="11" t="str">
        <f>IF(ISBLANK(D2337),"",(VLOOKUP(D2337,Cardápio!$A$2:$B$16,2,0))*E2337)</f>
        <v/>
      </c>
      <c r="H2337" s="7" t="str">
        <f t="shared" si="144"/>
        <v/>
      </c>
      <c r="I2337" s="7" t="str">
        <f>IF(AND(ISBLANK(D2337),ISBLANK(C2337)),"",((VLOOKUP(D2337,Cardápio!$A$2:$C$16,3,0))*E2337)+IF(B2337="iFood",F2337*0.27,(VLOOKUP(VENDAS!C2337,Bairros!$A$2:$B$90,2,0))))</f>
        <v/>
      </c>
      <c r="J2337" s="7" t="str">
        <f t="shared" si="145"/>
        <v/>
      </c>
      <c r="K2337" s="9">
        <f t="shared" ca="1" si="146"/>
        <v>45404.878290162036</v>
      </c>
      <c r="L2337" s="10">
        <f t="shared" ca="1" si="147"/>
        <v>45404.878290046297</v>
      </c>
    </row>
    <row r="2338" spans="6:12" x14ac:dyDescent="0.25">
      <c r="F2338" s="11" t="str">
        <f>IF(ISBLANK(D2338),"",(VLOOKUP(D2338,Cardápio!$A$2:$B$16,2,0))*E2338)</f>
        <v/>
      </c>
      <c r="H2338" s="7" t="str">
        <f t="shared" si="144"/>
        <v/>
      </c>
      <c r="I2338" s="7" t="str">
        <f>IF(AND(ISBLANK(D2338),ISBLANK(C2338)),"",((VLOOKUP(D2338,Cardápio!$A$2:$C$16,3,0))*E2338)+IF(B2338="iFood",F2338*0.27,(VLOOKUP(VENDAS!C2338,Bairros!$A$2:$B$90,2,0))))</f>
        <v/>
      </c>
      <c r="J2338" s="7" t="str">
        <f t="shared" si="145"/>
        <v/>
      </c>
      <c r="K2338" s="9">
        <f t="shared" ca="1" si="146"/>
        <v>45404.878290162036</v>
      </c>
      <c r="L2338" s="10">
        <f t="shared" ca="1" si="147"/>
        <v>45404.878290046297</v>
      </c>
    </row>
    <row r="2339" spans="6:12" x14ac:dyDescent="0.25">
      <c r="F2339" s="11" t="str">
        <f>IF(ISBLANK(D2339),"",(VLOOKUP(D2339,Cardápio!$A$2:$B$16,2,0))*E2339)</f>
        <v/>
      </c>
      <c r="H2339" s="7" t="str">
        <f t="shared" si="144"/>
        <v/>
      </c>
      <c r="I2339" s="7" t="str">
        <f>IF(AND(ISBLANK(D2339),ISBLANK(C2339)),"",((VLOOKUP(D2339,Cardápio!$A$2:$C$16,3,0))*E2339)+IF(B2339="iFood",F2339*0.27,(VLOOKUP(VENDAS!C2339,Bairros!$A$2:$B$90,2,0))))</f>
        <v/>
      </c>
      <c r="J2339" s="7" t="str">
        <f t="shared" si="145"/>
        <v/>
      </c>
      <c r="K2339" s="9">
        <f t="shared" ca="1" si="146"/>
        <v>45404.878290162036</v>
      </c>
      <c r="L2339" s="10">
        <f t="shared" ca="1" si="147"/>
        <v>45404.878290046297</v>
      </c>
    </row>
    <row r="2340" spans="6:12" x14ac:dyDescent="0.25">
      <c r="F2340" s="11" t="str">
        <f>IF(ISBLANK(D2340),"",(VLOOKUP(D2340,Cardápio!$A$2:$B$16,2,0))*E2340)</f>
        <v/>
      </c>
      <c r="H2340" s="7" t="str">
        <f t="shared" si="144"/>
        <v/>
      </c>
      <c r="I2340" s="7" t="str">
        <f>IF(AND(ISBLANK(D2340),ISBLANK(C2340)),"",((VLOOKUP(D2340,Cardápio!$A$2:$C$16,3,0))*E2340)+IF(B2340="iFood",F2340*0.27,(VLOOKUP(VENDAS!C2340,Bairros!$A$2:$B$90,2,0))))</f>
        <v/>
      </c>
      <c r="J2340" s="7" t="str">
        <f t="shared" si="145"/>
        <v/>
      </c>
      <c r="K2340" s="9">
        <f t="shared" ca="1" si="146"/>
        <v>45404.878290162036</v>
      </c>
      <c r="L2340" s="10">
        <f t="shared" ca="1" si="147"/>
        <v>45404.878290046297</v>
      </c>
    </row>
    <row r="2341" spans="6:12" x14ac:dyDescent="0.25">
      <c r="F2341" s="11" t="str">
        <f>IF(ISBLANK(D2341),"",(VLOOKUP(D2341,Cardápio!$A$2:$B$16,2,0))*E2341)</f>
        <v/>
      </c>
      <c r="H2341" s="7" t="str">
        <f t="shared" si="144"/>
        <v/>
      </c>
      <c r="I2341" s="7" t="str">
        <f>IF(AND(ISBLANK(D2341),ISBLANK(C2341)),"",((VLOOKUP(D2341,Cardápio!$A$2:$C$16,3,0))*E2341)+IF(B2341="iFood",F2341*0.27,(VLOOKUP(VENDAS!C2341,Bairros!$A$2:$B$90,2,0))))</f>
        <v/>
      </c>
      <c r="J2341" s="7" t="str">
        <f t="shared" si="145"/>
        <v/>
      </c>
      <c r="K2341" s="9">
        <f t="shared" ca="1" si="146"/>
        <v>45404.878290162036</v>
      </c>
      <c r="L2341" s="10">
        <f t="shared" ca="1" si="147"/>
        <v>45404.878290046297</v>
      </c>
    </row>
    <row r="2342" spans="6:12" x14ac:dyDescent="0.25">
      <c r="F2342" s="11" t="str">
        <f>IF(ISBLANK(D2342),"",(VLOOKUP(D2342,Cardápio!$A$2:$B$16,2,0))*E2342)</f>
        <v/>
      </c>
      <c r="H2342" s="7" t="str">
        <f t="shared" si="144"/>
        <v/>
      </c>
      <c r="I2342" s="7" t="str">
        <f>IF(AND(ISBLANK(D2342),ISBLANK(C2342)),"",((VLOOKUP(D2342,Cardápio!$A$2:$C$16,3,0))*E2342)+IF(B2342="iFood",F2342*0.27,(VLOOKUP(VENDAS!C2342,Bairros!$A$2:$B$90,2,0))))</f>
        <v/>
      </c>
      <c r="J2342" s="7" t="str">
        <f t="shared" si="145"/>
        <v/>
      </c>
      <c r="K2342" s="9">
        <f t="shared" ca="1" si="146"/>
        <v>45404.878290162036</v>
      </c>
      <c r="L2342" s="10">
        <f t="shared" ca="1" si="147"/>
        <v>45404.878290046297</v>
      </c>
    </row>
    <row r="2343" spans="6:12" x14ac:dyDescent="0.25">
      <c r="F2343" s="11" t="str">
        <f>IF(ISBLANK(D2343),"",(VLOOKUP(D2343,Cardápio!$A$2:$B$16,2,0))*E2343)</f>
        <v/>
      </c>
      <c r="H2343" s="7" t="str">
        <f t="shared" si="144"/>
        <v/>
      </c>
      <c r="I2343" s="7" t="str">
        <f>IF(AND(ISBLANK(D2343),ISBLANK(C2343)),"",((VLOOKUP(D2343,Cardápio!$A$2:$C$16,3,0))*E2343)+IF(B2343="iFood",F2343*0.27,(VLOOKUP(VENDAS!C2343,Bairros!$A$2:$B$90,2,0))))</f>
        <v/>
      </c>
      <c r="J2343" s="7" t="str">
        <f t="shared" si="145"/>
        <v/>
      </c>
      <c r="K2343" s="9">
        <f t="shared" ca="1" si="146"/>
        <v>45404.878290162036</v>
      </c>
      <c r="L2343" s="10">
        <f t="shared" ca="1" si="147"/>
        <v>45404.878290046297</v>
      </c>
    </row>
    <row r="2344" spans="6:12" x14ac:dyDescent="0.25">
      <c r="F2344" s="11" t="str">
        <f>IF(ISBLANK(D2344),"",(VLOOKUP(D2344,Cardápio!$A$2:$B$16,2,0))*E2344)</f>
        <v/>
      </c>
      <c r="H2344" s="7" t="str">
        <f t="shared" si="144"/>
        <v/>
      </c>
      <c r="I2344" s="7" t="str">
        <f>IF(AND(ISBLANK(D2344),ISBLANK(C2344)),"",((VLOOKUP(D2344,Cardápio!$A$2:$C$16,3,0))*E2344)+IF(B2344="iFood",F2344*0.27,(VLOOKUP(VENDAS!C2344,Bairros!$A$2:$B$90,2,0))))</f>
        <v/>
      </c>
      <c r="J2344" s="7" t="str">
        <f t="shared" si="145"/>
        <v/>
      </c>
      <c r="K2344" s="9">
        <f t="shared" ca="1" si="146"/>
        <v>45404.878290162036</v>
      </c>
      <c r="L2344" s="10">
        <f t="shared" ca="1" si="147"/>
        <v>45404.878290046297</v>
      </c>
    </row>
    <row r="2345" spans="6:12" x14ac:dyDescent="0.25">
      <c r="F2345" s="11" t="str">
        <f>IF(ISBLANK(D2345),"",(VLOOKUP(D2345,Cardápio!$A$2:$B$16,2,0))*E2345)</f>
        <v/>
      </c>
      <c r="H2345" s="7" t="str">
        <f t="shared" si="144"/>
        <v/>
      </c>
      <c r="I2345" s="7" t="str">
        <f>IF(AND(ISBLANK(D2345),ISBLANK(C2345)),"",((VLOOKUP(D2345,Cardápio!$A$2:$C$16,3,0))*E2345)+IF(B2345="iFood",F2345*0.27,(VLOOKUP(VENDAS!C2345,Bairros!$A$2:$B$90,2,0))))</f>
        <v/>
      </c>
      <c r="J2345" s="7" t="str">
        <f t="shared" si="145"/>
        <v/>
      </c>
      <c r="K2345" s="9">
        <f t="shared" ca="1" si="146"/>
        <v>45404.878290162036</v>
      </c>
      <c r="L2345" s="10">
        <f t="shared" ca="1" si="147"/>
        <v>45404.878290046297</v>
      </c>
    </row>
    <row r="2346" spans="6:12" x14ac:dyDescent="0.25">
      <c r="F2346" s="11" t="str">
        <f>IF(ISBLANK(D2346),"",(VLOOKUP(D2346,Cardápio!$A$2:$B$16,2,0))*E2346)</f>
        <v/>
      </c>
      <c r="H2346" s="7" t="str">
        <f t="shared" si="144"/>
        <v/>
      </c>
      <c r="I2346" s="7" t="str">
        <f>IF(AND(ISBLANK(D2346),ISBLANK(C2346)),"",((VLOOKUP(D2346,Cardápio!$A$2:$C$16,3,0))*E2346)+IF(B2346="iFood",F2346*0.27,(VLOOKUP(VENDAS!C2346,Bairros!$A$2:$B$90,2,0))))</f>
        <v/>
      </c>
      <c r="J2346" s="7" t="str">
        <f t="shared" si="145"/>
        <v/>
      </c>
      <c r="K2346" s="9">
        <f t="shared" ca="1" si="146"/>
        <v>45404.878290162036</v>
      </c>
      <c r="L2346" s="10">
        <f t="shared" ca="1" si="147"/>
        <v>45404.878290046297</v>
      </c>
    </row>
    <row r="2347" spans="6:12" x14ac:dyDescent="0.25">
      <c r="F2347" s="11" t="str">
        <f>IF(ISBLANK(D2347),"",(VLOOKUP(D2347,Cardápio!$A$2:$B$16,2,0))*E2347)</f>
        <v/>
      </c>
      <c r="H2347" s="7" t="str">
        <f t="shared" si="144"/>
        <v/>
      </c>
      <c r="I2347" s="7" t="str">
        <f>IF(AND(ISBLANK(D2347),ISBLANK(C2347)),"",((VLOOKUP(D2347,Cardápio!$A$2:$C$16,3,0))*E2347)+IF(B2347="iFood",F2347*0.27,(VLOOKUP(VENDAS!C2347,Bairros!$A$2:$B$90,2,0))))</f>
        <v/>
      </c>
      <c r="J2347" s="7" t="str">
        <f t="shared" si="145"/>
        <v/>
      </c>
      <c r="K2347" s="9">
        <f t="shared" ca="1" si="146"/>
        <v>45404.878290162036</v>
      </c>
      <c r="L2347" s="10">
        <f t="shared" ca="1" si="147"/>
        <v>45404.878290046297</v>
      </c>
    </row>
    <row r="2348" spans="6:12" x14ac:dyDescent="0.25">
      <c r="F2348" s="11" t="str">
        <f>IF(ISBLANK(D2348),"",(VLOOKUP(D2348,Cardápio!$A$2:$B$16,2,0))*E2348)</f>
        <v/>
      </c>
      <c r="H2348" s="7" t="str">
        <f t="shared" si="144"/>
        <v/>
      </c>
      <c r="I2348" s="7" t="str">
        <f>IF(AND(ISBLANK(D2348),ISBLANK(C2348)),"",((VLOOKUP(D2348,Cardápio!$A$2:$C$16,3,0))*E2348)+IF(B2348="iFood",F2348*0.27,(VLOOKUP(VENDAS!C2348,Bairros!$A$2:$B$90,2,0))))</f>
        <v/>
      </c>
      <c r="J2348" s="7" t="str">
        <f t="shared" si="145"/>
        <v/>
      </c>
      <c r="K2348" s="9">
        <f t="shared" ca="1" si="146"/>
        <v>45404.878290162036</v>
      </c>
      <c r="L2348" s="10">
        <f t="shared" ca="1" si="147"/>
        <v>45404.878290046297</v>
      </c>
    </row>
    <row r="2349" spans="6:12" x14ac:dyDescent="0.25">
      <c r="F2349" s="11" t="str">
        <f>IF(ISBLANK(D2349),"",(VLOOKUP(D2349,Cardápio!$A$2:$B$16,2,0))*E2349)</f>
        <v/>
      </c>
      <c r="H2349" s="7" t="str">
        <f t="shared" si="144"/>
        <v/>
      </c>
      <c r="I2349" s="7" t="str">
        <f>IF(AND(ISBLANK(D2349),ISBLANK(C2349)),"",((VLOOKUP(D2349,Cardápio!$A$2:$C$16,3,0))*E2349)+IF(B2349="iFood",F2349*0.27,(VLOOKUP(VENDAS!C2349,Bairros!$A$2:$B$90,2,0))))</f>
        <v/>
      </c>
      <c r="J2349" s="7" t="str">
        <f t="shared" si="145"/>
        <v/>
      </c>
      <c r="K2349" s="9">
        <f t="shared" ca="1" si="146"/>
        <v>45404.878290162036</v>
      </c>
      <c r="L2349" s="10">
        <f t="shared" ca="1" si="147"/>
        <v>45404.878290046297</v>
      </c>
    </row>
    <row r="2350" spans="6:12" x14ac:dyDescent="0.25">
      <c r="F2350" s="11" t="str">
        <f>IF(ISBLANK(D2350),"",(VLOOKUP(D2350,Cardápio!$A$2:$B$16,2,0))*E2350)</f>
        <v/>
      </c>
      <c r="H2350" s="7" t="str">
        <f t="shared" si="144"/>
        <v/>
      </c>
      <c r="I2350" s="7" t="str">
        <f>IF(AND(ISBLANK(D2350),ISBLANK(C2350)),"",((VLOOKUP(D2350,Cardápio!$A$2:$C$16,3,0))*E2350)+IF(B2350="iFood",F2350*0.27,(VLOOKUP(VENDAS!C2350,Bairros!$A$2:$B$90,2,0))))</f>
        <v/>
      </c>
      <c r="J2350" s="7" t="str">
        <f t="shared" si="145"/>
        <v/>
      </c>
      <c r="K2350" s="9">
        <f t="shared" ca="1" si="146"/>
        <v>45404.878290162036</v>
      </c>
      <c r="L2350" s="10">
        <f t="shared" ca="1" si="147"/>
        <v>45404.878290046297</v>
      </c>
    </row>
    <row r="2351" spans="6:12" x14ac:dyDescent="0.25">
      <c r="F2351" s="11" t="str">
        <f>IF(ISBLANK(D2351),"",(VLOOKUP(D2351,Cardápio!$A$2:$B$16,2,0))*E2351)</f>
        <v/>
      </c>
      <c r="H2351" s="7" t="str">
        <f t="shared" si="144"/>
        <v/>
      </c>
      <c r="I2351" s="7" t="str">
        <f>IF(AND(ISBLANK(D2351),ISBLANK(C2351)),"",((VLOOKUP(D2351,Cardápio!$A$2:$C$16,3,0))*E2351)+IF(B2351="iFood",F2351*0.27,(VLOOKUP(VENDAS!C2351,Bairros!$A$2:$B$90,2,0))))</f>
        <v/>
      </c>
      <c r="J2351" s="7" t="str">
        <f t="shared" si="145"/>
        <v/>
      </c>
      <c r="K2351" s="9">
        <f t="shared" ca="1" si="146"/>
        <v>45404.878290162036</v>
      </c>
      <c r="L2351" s="10">
        <f t="shared" ca="1" si="147"/>
        <v>45404.878290046297</v>
      </c>
    </row>
    <row r="2352" spans="6:12" x14ac:dyDescent="0.25">
      <c r="F2352" s="11" t="str">
        <f>IF(ISBLANK(D2352),"",(VLOOKUP(D2352,Cardápio!$A$2:$B$16,2,0))*E2352)</f>
        <v/>
      </c>
      <c r="H2352" s="7" t="str">
        <f t="shared" si="144"/>
        <v/>
      </c>
      <c r="I2352" s="7" t="str">
        <f>IF(AND(ISBLANK(D2352),ISBLANK(C2352)),"",((VLOOKUP(D2352,Cardápio!$A$2:$C$16,3,0))*E2352)+IF(B2352="iFood",F2352*0.27,(VLOOKUP(VENDAS!C2352,Bairros!$A$2:$B$90,2,0))))</f>
        <v/>
      </c>
      <c r="J2352" s="7" t="str">
        <f t="shared" si="145"/>
        <v/>
      </c>
      <c r="K2352" s="9">
        <f t="shared" ca="1" si="146"/>
        <v>45404.878290162036</v>
      </c>
      <c r="L2352" s="10">
        <f t="shared" ca="1" si="147"/>
        <v>45404.878290046297</v>
      </c>
    </row>
    <row r="2353" spans="6:12" x14ac:dyDescent="0.25">
      <c r="F2353" s="11" t="str">
        <f>IF(ISBLANK(D2353),"",(VLOOKUP(D2353,Cardápio!$A$2:$B$16,2,0))*E2353)</f>
        <v/>
      </c>
      <c r="H2353" s="7" t="str">
        <f t="shared" si="144"/>
        <v/>
      </c>
      <c r="I2353" s="7" t="str">
        <f>IF(AND(ISBLANK(D2353),ISBLANK(C2353)),"",((VLOOKUP(D2353,Cardápio!$A$2:$C$16,3,0))*E2353)+IF(B2353="iFood",F2353*0.27,(VLOOKUP(VENDAS!C2353,Bairros!$A$2:$B$90,2,0))))</f>
        <v/>
      </c>
      <c r="J2353" s="7" t="str">
        <f t="shared" si="145"/>
        <v/>
      </c>
      <c r="K2353" s="9">
        <f t="shared" ca="1" si="146"/>
        <v>45404.878290162036</v>
      </c>
      <c r="L2353" s="10">
        <f t="shared" ca="1" si="147"/>
        <v>45404.878290046297</v>
      </c>
    </row>
    <row r="2354" spans="6:12" x14ac:dyDescent="0.25">
      <c r="F2354" s="11" t="str">
        <f>IF(ISBLANK(D2354),"",(VLOOKUP(D2354,Cardápio!$A$2:$B$16,2,0))*E2354)</f>
        <v/>
      </c>
      <c r="H2354" s="7" t="str">
        <f t="shared" si="144"/>
        <v/>
      </c>
      <c r="I2354" s="7" t="str">
        <f>IF(AND(ISBLANK(D2354),ISBLANK(C2354)),"",((VLOOKUP(D2354,Cardápio!$A$2:$C$16,3,0))*E2354)+IF(B2354="iFood",F2354*0.27,(VLOOKUP(VENDAS!C2354,Bairros!$A$2:$B$90,2,0))))</f>
        <v/>
      </c>
      <c r="J2354" s="7" t="str">
        <f t="shared" si="145"/>
        <v/>
      </c>
      <c r="K2354" s="9">
        <f t="shared" ca="1" si="146"/>
        <v>45404.878290162036</v>
      </c>
      <c r="L2354" s="10">
        <f t="shared" ca="1" si="147"/>
        <v>45404.878290046297</v>
      </c>
    </row>
    <row r="2355" spans="6:12" x14ac:dyDescent="0.25">
      <c r="F2355" s="11" t="str">
        <f>IF(ISBLANK(D2355),"",(VLOOKUP(D2355,Cardápio!$A$2:$B$16,2,0))*E2355)</f>
        <v/>
      </c>
      <c r="H2355" s="7" t="str">
        <f t="shared" si="144"/>
        <v/>
      </c>
      <c r="I2355" s="7" t="str">
        <f>IF(AND(ISBLANK(D2355),ISBLANK(C2355)),"",((VLOOKUP(D2355,Cardápio!$A$2:$C$16,3,0))*E2355)+IF(B2355="iFood",F2355*0.27,(VLOOKUP(VENDAS!C2355,Bairros!$A$2:$B$90,2,0))))</f>
        <v/>
      </c>
      <c r="J2355" s="7" t="str">
        <f t="shared" si="145"/>
        <v/>
      </c>
      <c r="K2355" s="9">
        <f t="shared" ca="1" si="146"/>
        <v>45404.878290162036</v>
      </c>
      <c r="L2355" s="10">
        <f t="shared" ca="1" si="147"/>
        <v>45404.878290046297</v>
      </c>
    </row>
    <row r="2356" spans="6:12" x14ac:dyDescent="0.25">
      <c r="F2356" s="11" t="str">
        <f>IF(ISBLANK(D2356),"",(VLOOKUP(D2356,Cardápio!$A$2:$B$16,2,0))*E2356)</f>
        <v/>
      </c>
      <c r="H2356" s="7" t="str">
        <f t="shared" si="144"/>
        <v/>
      </c>
      <c r="I2356" s="7" t="str">
        <f>IF(AND(ISBLANK(D2356),ISBLANK(C2356)),"",((VLOOKUP(D2356,Cardápio!$A$2:$C$16,3,0))*E2356)+IF(B2356="iFood",F2356*0.27,(VLOOKUP(VENDAS!C2356,Bairros!$A$2:$B$90,2,0))))</f>
        <v/>
      </c>
      <c r="J2356" s="7" t="str">
        <f t="shared" si="145"/>
        <v/>
      </c>
      <c r="K2356" s="9">
        <f t="shared" ca="1" si="146"/>
        <v>45404.878290162036</v>
      </c>
      <c r="L2356" s="10">
        <f t="shared" ca="1" si="147"/>
        <v>45404.878290046297</v>
      </c>
    </row>
    <row r="2357" spans="6:12" x14ac:dyDescent="0.25">
      <c r="F2357" s="11" t="str">
        <f>IF(ISBLANK(D2357),"",(VLOOKUP(D2357,Cardápio!$A$2:$B$16,2,0))*E2357)</f>
        <v/>
      </c>
      <c r="H2357" s="7" t="str">
        <f t="shared" ref="H2357:H2420" si="148">IF(ISBLANK(D2357),"",F2357-G2357)</f>
        <v/>
      </c>
      <c r="I2357" s="7" t="str">
        <f>IF(AND(ISBLANK(D2357),ISBLANK(C2357)),"",((VLOOKUP(D2357,Cardápio!$A$2:$C$16,3,0))*E2357)+IF(B2357="iFood",F2357*0.27,(VLOOKUP(VENDAS!C2357,Bairros!$A$2:$B$90,2,0))))</f>
        <v/>
      </c>
      <c r="J2357" s="7" t="str">
        <f t="shared" ref="J2357:J2420" si="149">IF(OR(AND(ISBLANK(H2357),ISBLANK(I2357)),(AND(H2357="",I2357=""))),"",H2357-I2357)</f>
        <v/>
      </c>
      <c r="K2357" s="9">
        <f t="shared" ref="K2357:K2420" ca="1" si="150">IF(D2357&lt;&gt;"",K2357,NOW())</f>
        <v>45404.878290162036</v>
      </c>
      <c r="L2357" s="10">
        <f t="shared" ref="L2357:L2420" ca="1" si="151">IF(D2357&lt;&gt;"",L2357,NOW())</f>
        <v>45404.878290046297</v>
      </c>
    </row>
    <row r="2358" spans="6:12" x14ac:dyDescent="0.25">
      <c r="F2358" s="11" t="str">
        <f>IF(ISBLANK(D2358),"",(VLOOKUP(D2358,Cardápio!$A$2:$B$16,2,0))*E2358)</f>
        <v/>
      </c>
      <c r="H2358" s="7" t="str">
        <f t="shared" si="148"/>
        <v/>
      </c>
      <c r="I2358" s="7" t="str">
        <f>IF(AND(ISBLANK(D2358),ISBLANK(C2358)),"",((VLOOKUP(D2358,Cardápio!$A$2:$C$16,3,0))*E2358)+IF(B2358="iFood",F2358*0.27,(VLOOKUP(VENDAS!C2358,Bairros!$A$2:$B$90,2,0))))</f>
        <v/>
      </c>
      <c r="J2358" s="7" t="str">
        <f t="shared" si="149"/>
        <v/>
      </c>
      <c r="K2358" s="9">
        <f t="shared" ca="1" si="150"/>
        <v>45404.878290162036</v>
      </c>
      <c r="L2358" s="10">
        <f t="shared" ca="1" si="151"/>
        <v>45404.878290046297</v>
      </c>
    </row>
    <row r="2359" spans="6:12" x14ac:dyDescent="0.25">
      <c r="F2359" s="11" t="str">
        <f>IF(ISBLANK(D2359),"",(VLOOKUP(D2359,Cardápio!$A$2:$B$16,2,0))*E2359)</f>
        <v/>
      </c>
      <c r="H2359" s="7" t="str">
        <f t="shared" si="148"/>
        <v/>
      </c>
      <c r="I2359" s="7" t="str">
        <f>IF(AND(ISBLANK(D2359),ISBLANK(C2359)),"",((VLOOKUP(D2359,Cardápio!$A$2:$C$16,3,0))*E2359)+IF(B2359="iFood",F2359*0.27,(VLOOKUP(VENDAS!C2359,Bairros!$A$2:$B$90,2,0))))</f>
        <v/>
      </c>
      <c r="J2359" s="7" t="str">
        <f t="shared" si="149"/>
        <v/>
      </c>
      <c r="K2359" s="9">
        <f t="shared" ca="1" si="150"/>
        <v>45404.878290162036</v>
      </c>
      <c r="L2359" s="10">
        <f t="shared" ca="1" si="151"/>
        <v>45404.878290046297</v>
      </c>
    </row>
    <row r="2360" spans="6:12" x14ac:dyDescent="0.25">
      <c r="F2360" s="11" t="str">
        <f>IF(ISBLANK(D2360),"",(VLOOKUP(D2360,Cardápio!$A$2:$B$16,2,0))*E2360)</f>
        <v/>
      </c>
      <c r="H2360" s="7" t="str">
        <f t="shared" si="148"/>
        <v/>
      </c>
      <c r="I2360" s="7" t="str">
        <f>IF(AND(ISBLANK(D2360),ISBLANK(C2360)),"",((VLOOKUP(D2360,Cardápio!$A$2:$C$16,3,0))*E2360)+IF(B2360="iFood",F2360*0.27,(VLOOKUP(VENDAS!C2360,Bairros!$A$2:$B$90,2,0))))</f>
        <v/>
      </c>
      <c r="J2360" s="7" t="str">
        <f t="shared" si="149"/>
        <v/>
      </c>
      <c r="K2360" s="9">
        <f t="shared" ca="1" si="150"/>
        <v>45404.878290162036</v>
      </c>
      <c r="L2360" s="10">
        <f t="shared" ca="1" si="151"/>
        <v>45404.878290046297</v>
      </c>
    </row>
    <row r="2361" spans="6:12" x14ac:dyDescent="0.25">
      <c r="F2361" s="11" t="str">
        <f>IF(ISBLANK(D2361),"",(VLOOKUP(D2361,Cardápio!$A$2:$B$16,2,0))*E2361)</f>
        <v/>
      </c>
      <c r="H2361" s="7" t="str">
        <f t="shared" si="148"/>
        <v/>
      </c>
      <c r="I2361" s="7" t="str">
        <f>IF(AND(ISBLANK(D2361),ISBLANK(C2361)),"",((VLOOKUP(D2361,Cardápio!$A$2:$C$16,3,0))*E2361)+IF(B2361="iFood",F2361*0.27,(VLOOKUP(VENDAS!C2361,Bairros!$A$2:$B$90,2,0))))</f>
        <v/>
      </c>
      <c r="J2361" s="7" t="str">
        <f t="shared" si="149"/>
        <v/>
      </c>
      <c r="K2361" s="9">
        <f t="shared" ca="1" si="150"/>
        <v>45404.878290277775</v>
      </c>
      <c r="L2361" s="10">
        <f t="shared" ca="1" si="151"/>
        <v>45404.878290046297</v>
      </c>
    </row>
    <row r="2362" spans="6:12" x14ac:dyDescent="0.25">
      <c r="F2362" s="11" t="str">
        <f>IF(ISBLANK(D2362),"",(VLOOKUP(D2362,Cardápio!$A$2:$B$16,2,0))*E2362)</f>
        <v/>
      </c>
      <c r="H2362" s="7" t="str">
        <f t="shared" si="148"/>
        <v/>
      </c>
      <c r="I2362" s="7" t="str">
        <f>IF(AND(ISBLANK(D2362),ISBLANK(C2362)),"",((VLOOKUP(D2362,Cardápio!$A$2:$C$16,3,0))*E2362)+IF(B2362="iFood",F2362*0.27,(VLOOKUP(VENDAS!C2362,Bairros!$A$2:$B$90,2,0))))</f>
        <v/>
      </c>
      <c r="J2362" s="7" t="str">
        <f t="shared" si="149"/>
        <v/>
      </c>
      <c r="K2362" s="9">
        <f t="shared" ca="1" si="150"/>
        <v>45404.878290162036</v>
      </c>
      <c r="L2362" s="10">
        <f t="shared" ca="1" si="151"/>
        <v>45404.878290046297</v>
      </c>
    </row>
    <row r="2363" spans="6:12" x14ac:dyDescent="0.25">
      <c r="F2363" s="11" t="str">
        <f>IF(ISBLANK(D2363),"",(VLOOKUP(D2363,Cardápio!$A$2:$B$16,2,0))*E2363)</f>
        <v/>
      </c>
      <c r="H2363" s="7" t="str">
        <f t="shared" si="148"/>
        <v/>
      </c>
      <c r="I2363" s="7" t="str">
        <f>IF(AND(ISBLANK(D2363),ISBLANK(C2363)),"",((VLOOKUP(D2363,Cardápio!$A$2:$C$16,3,0))*E2363)+IF(B2363="iFood",F2363*0.27,(VLOOKUP(VENDAS!C2363,Bairros!$A$2:$B$90,2,0))))</f>
        <v/>
      </c>
      <c r="J2363" s="7" t="str">
        <f t="shared" si="149"/>
        <v/>
      </c>
      <c r="K2363" s="9">
        <f t="shared" ca="1" si="150"/>
        <v>45404.878290162036</v>
      </c>
      <c r="L2363" s="10">
        <f t="shared" ca="1" si="151"/>
        <v>45404.878290046297</v>
      </c>
    </row>
    <row r="2364" spans="6:12" x14ac:dyDescent="0.25">
      <c r="F2364" s="11" t="str">
        <f>IF(ISBLANK(D2364),"",(VLOOKUP(D2364,Cardápio!$A$2:$B$16,2,0))*E2364)</f>
        <v/>
      </c>
      <c r="H2364" s="7" t="str">
        <f t="shared" si="148"/>
        <v/>
      </c>
      <c r="I2364" s="7" t="str">
        <f>IF(AND(ISBLANK(D2364),ISBLANK(C2364)),"",((VLOOKUP(D2364,Cardápio!$A$2:$C$16,3,0))*E2364)+IF(B2364="iFood",F2364*0.27,(VLOOKUP(VENDAS!C2364,Bairros!$A$2:$B$90,2,0))))</f>
        <v/>
      </c>
      <c r="J2364" s="7" t="str">
        <f t="shared" si="149"/>
        <v/>
      </c>
      <c r="K2364" s="9">
        <f t="shared" ca="1" si="150"/>
        <v>45404.878290162036</v>
      </c>
      <c r="L2364" s="10">
        <f t="shared" ca="1" si="151"/>
        <v>45404.878290046297</v>
      </c>
    </row>
    <row r="2365" spans="6:12" x14ac:dyDescent="0.25">
      <c r="F2365" s="11" t="str">
        <f>IF(ISBLANK(D2365),"",(VLOOKUP(D2365,Cardápio!$A$2:$B$16,2,0))*E2365)</f>
        <v/>
      </c>
      <c r="H2365" s="7" t="str">
        <f t="shared" si="148"/>
        <v/>
      </c>
      <c r="I2365" s="7" t="str">
        <f>IF(AND(ISBLANK(D2365),ISBLANK(C2365)),"",((VLOOKUP(D2365,Cardápio!$A$2:$C$16,3,0))*E2365)+IF(B2365="iFood",F2365*0.27,(VLOOKUP(VENDAS!C2365,Bairros!$A$2:$B$90,2,0))))</f>
        <v/>
      </c>
      <c r="J2365" s="7" t="str">
        <f t="shared" si="149"/>
        <v/>
      </c>
      <c r="K2365" s="9">
        <f t="shared" ca="1" si="150"/>
        <v>45404.878290277775</v>
      </c>
      <c r="L2365" s="10">
        <f t="shared" ca="1" si="151"/>
        <v>45404.878290046297</v>
      </c>
    </row>
    <row r="2366" spans="6:12" x14ac:dyDescent="0.25">
      <c r="F2366" s="11" t="str">
        <f>IF(ISBLANK(D2366),"",(VLOOKUP(D2366,Cardápio!$A$2:$B$16,2,0))*E2366)</f>
        <v/>
      </c>
      <c r="H2366" s="7" t="str">
        <f t="shared" si="148"/>
        <v/>
      </c>
      <c r="I2366" s="7" t="str">
        <f>IF(AND(ISBLANK(D2366),ISBLANK(C2366)),"",((VLOOKUP(D2366,Cardápio!$A$2:$C$16,3,0))*E2366)+IF(B2366="iFood",F2366*0.27,(VLOOKUP(VENDAS!C2366,Bairros!$A$2:$B$90,2,0))))</f>
        <v/>
      </c>
      <c r="J2366" s="7" t="str">
        <f t="shared" si="149"/>
        <v/>
      </c>
      <c r="K2366" s="9">
        <f t="shared" ca="1" si="150"/>
        <v>45404.878290162036</v>
      </c>
      <c r="L2366" s="10">
        <f t="shared" ca="1" si="151"/>
        <v>45404.878290046297</v>
      </c>
    </row>
    <row r="2367" spans="6:12" x14ac:dyDescent="0.25">
      <c r="F2367" s="11" t="str">
        <f>IF(ISBLANK(D2367),"",(VLOOKUP(D2367,Cardápio!$A$2:$B$16,2,0))*E2367)</f>
        <v/>
      </c>
      <c r="H2367" s="7" t="str">
        <f t="shared" si="148"/>
        <v/>
      </c>
      <c r="I2367" s="7" t="str">
        <f>IF(AND(ISBLANK(D2367),ISBLANK(C2367)),"",((VLOOKUP(D2367,Cardápio!$A$2:$C$16,3,0))*E2367)+IF(B2367="iFood",F2367*0.27,(VLOOKUP(VENDAS!C2367,Bairros!$A$2:$B$90,2,0))))</f>
        <v/>
      </c>
      <c r="J2367" s="7" t="str">
        <f t="shared" si="149"/>
        <v/>
      </c>
      <c r="K2367" s="9">
        <f t="shared" ca="1" si="150"/>
        <v>45404.878290162036</v>
      </c>
      <c r="L2367" s="10">
        <f t="shared" ca="1" si="151"/>
        <v>45404.878290046297</v>
      </c>
    </row>
    <row r="2368" spans="6:12" x14ac:dyDescent="0.25">
      <c r="F2368" s="11" t="str">
        <f>IF(ISBLANK(D2368),"",(VLOOKUP(D2368,Cardápio!$A$2:$B$16,2,0))*E2368)</f>
        <v/>
      </c>
      <c r="H2368" s="7" t="str">
        <f t="shared" si="148"/>
        <v/>
      </c>
      <c r="I2368" s="7" t="str">
        <f>IF(AND(ISBLANK(D2368),ISBLANK(C2368)),"",((VLOOKUP(D2368,Cardápio!$A$2:$C$16,3,0))*E2368)+IF(B2368="iFood",F2368*0.27,(VLOOKUP(VENDAS!C2368,Bairros!$A$2:$B$90,2,0))))</f>
        <v/>
      </c>
      <c r="J2368" s="7" t="str">
        <f t="shared" si="149"/>
        <v/>
      </c>
      <c r="K2368" s="9">
        <f t="shared" ca="1" si="150"/>
        <v>45404.878290162036</v>
      </c>
      <c r="L2368" s="10">
        <f t="shared" ca="1" si="151"/>
        <v>45404.878290046297</v>
      </c>
    </row>
    <row r="2369" spans="6:12" x14ac:dyDescent="0.25">
      <c r="F2369" s="11" t="str">
        <f>IF(ISBLANK(D2369),"",(VLOOKUP(D2369,Cardápio!$A$2:$B$16,2,0))*E2369)</f>
        <v/>
      </c>
      <c r="H2369" s="7" t="str">
        <f t="shared" si="148"/>
        <v/>
      </c>
      <c r="I2369" s="7" t="str">
        <f>IF(AND(ISBLANK(D2369),ISBLANK(C2369)),"",((VLOOKUP(D2369,Cardápio!$A$2:$C$16,3,0))*E2369)+IF(B2369="iFood",F2369*0.27,(VLOOKUP(VENDAS!C2369,Bairros!$A$2:$B$90,2,0))))</f>
        <v/>
      </c>
      <c r="J2369" s="7" t="str">
        <f t="shared" si="149"/>
        <v/>
      </c>
      <c r="K2369" s="9">
        <f t="shared" ca="1" si="150"/>
        <v>45404.878290277775</v>
      </c>
      <c r="L2369" s="10">
        <f t="shared" ca="1" si="151"/>
        <v>45404.878290046297</v>
      </c>
    </row>
    <row r="2370" spans="6:12" x14ac:dyDescent="0.25">
      <c r="F2370" s="11" t="str">
        <f>IF(ISBLANK(D2370),"",(VLOOKUP(D2370,Cardápio!$A$2:$B$16,2,0))*E2370)</f>
        <v/>
      </c>
      <c r="H2370" s="7" t="str">
        <f t="shared" si="148"/>
        <v/>
      </c>
      <c r="I2370" s="7" t="str">
        <f>IF(AND(ISBLANK(D2370),ISBLANK(C2370)),"",((VLOOKUP(D2370,Cardápio!$A$2:$C$16,3,0))*E2370)+IF(B2370="iFood",F2370*0.27,(VLOOKUP(VENDAS!C2370,Bairros!$A$2:$B$90,2,0))))</f>
        <v/>
      </c>
      <c r="J2370" s="7" t="str">
        <f t="shared" si="149"/>
        <v/>
      </c>
      <c r="K2370" s="9">
        <f t="shared" ca="1" si="150"/>
        <v>45404.878290162036</v>
      </c>
      <c r="L2370" s="10">
        <f t="shared" ca="1" si="151"/>
        <v>45404.878290046297</v>
      </c>
    </row>
    <row r="2371" spans="6:12" x14ac:dyDescent="0.25">
      <c r="F2371" s="11" t="str">
        <f>IF(ISBLANK(D2371),"",(VLOOKUP(D2371,Cardápio!$A$2:$B$16,2,0))*E2371)</f>
        <v/>
      </c>
      <c r="H2371" s="7" t="str">
        <f t="shared" si="148"/>
        <v/>
      </c>
      <c r="I2371" s="7" t="str">
        <f>IF(AND(ISBLANK(D2371),ISBLANK(C2371)),"",((VLOOKUP(D2371,Cardápio!$A$2:$C$16,3,0))*E2371)+IF(B2371="iFood",F2371*0.27,(VLOOKUP(VENDAS!C2371,Bairros!$A$2:$B$90,2,0))))</f>
        <v/>
      </c>
      <c r="J2371" s="7" t="str">
        <f t="shared" si="149"/>
        <v/>
      </c>
      <c r="K2371" s="9">
        <f t="shared" ca="1" si="150"/>
        <v>45404.878290162036</v>
      </c>
      <c r="L2371" s="10">
        <f t="shared" ca="1" si="151"/>
        <v>45404.878290046297</v>
      </c>
    </row>
    <row r="2372" spans="6:12" x14ac:dyDescent="0.25">
      <c r="F2372" s="11" t="str">
        <f>IF(ISBLANK(D2372),"",(VLOOKUP(D2372,Cardápio!$A$2:$B$16,2,0))*E2372)</f>
        <v/>
      </c>
      <c r="H2372" s="7" t="str">
        <f t="shared" si="148"/>
        <v/>
      </c>
      <c r="I2372" s="7" t="str">
        <f>IF(AND(ISBLANK(D2372),ISBLANK(C2372)),"",((VLOOKUP(D2372,Cardápio!$A$2:$C$16,3,0))*E2372)+IF(B2372="iFood",F2372*0.27,(VLOOKUP(VENDAS!C2372,Bairros!$A$2:$B$90,2,0))))</f>
        <v/>
      </c>
      <c r="J2372" s="7" t="str">
        <f t="shared" si="149"/>
        <v/>
      </c>
      <c r="K2372" s="9">
        <f t="shared" ca="1" si="150"/>
        <v>45404.878290162036</v>
      </c>
      <c r="L2372" s="10">
        <f t="shared" ca="1" si="151"/>
        <v>45404.878290046297</v>
      </c>
    </row>
    <row r="2373" spans="6:12" x14ac:dyDescent="0.25">
      <c r="F2373" s="11" t="str">
        <f>IF(ISBLANK(D2373),"",(VLOOKUP(D2373,Cardápio!$A$2:$B$16,2,0))*E2373)</f>
        <v/>
      </c>
      <c r="H2373" s="7" t="str">
        <f t="shared" si="148"/>
        <v/>
      </c>
      <c r="I2373" s="7" t="str">
        <f>IF(AND(ISBLANK(D2373),ISBLANK(C2373)),"",((VLOOKUP(D2373,Cardápio!$A$2:$C$16,3,0))*E2373)+IF(B2373="iFood",F2373*0.27,(VLOOKUP(VENDAS!C2373,Bairros!$A$2:$B$90,2,0))))</f>
        <v/>
      </c>
      <c r="J2373" s="7" t="str">
        <f t="shared" si="149"/>
        <v/>
      </c>
      <c r="K2373" s="9">
        <f t="shared" ca="1" si="150"/>
        <v>45404.878290277775</v>
      </c>
      <c r="L2373" s="10">
        <f t="shared" ca="1" si="151"/>
        <v>45404.878290046297</v>
      </c>
    </row>
    <row r="2374" spans="6:12" x14ac:dyDescent="0.25">
      <c r="F2374" s="11" t="str">
        <f>IF(ISBLANK(D2374),"",(VLOOKUP(D2374,Cardápio!$A$2:$B$16,2,0))*E2374)</f>
        <v/>
      </c>
      <c r="H2374" s="7" t="str">
        <f t="shared" si="148"/>
        <v/>
      </c>
      <c r="I2374" s="7" t="str">
        <f>IF(AND(ISBLANK(D2374),ISBLANK(C2374)),"",((VLOOKUP(D2374,Cardápio!$A$2:$C$16,3,0))*E2374)+IF(B2374="iFood",F2374*0.27,(VLOOKUP(VENDAS!C2374,Bairros!$A$2:$B$90,2,0))))</f>
        <v/>
      </c>
      <c r="J2374" s="7" t="str">
        <f t="shared" si="149"/>
        <v/>
      </c>
      <c r="K2374" s="9">
        <f t="shared" ca="1" si="150"/>
        <v>45404.878290162036</v>
      </c>
      <c r="L2374" s="10">
        <f t="shared" ca="1" si="151"/>
        <v>45404.878290046297</v>
      </c>
    </row>
    <row r="2375" spans="6:12" x14ac:dyDescent="0.25">
      <c r="F2375" s="11" t="str">
        <f>IF(ISBLANK(D2375),"",(VLOOKUP(D2375,Cardápio!$A$2:$B$16,2,0))*E2375)</f>
        <v/>
      </c>
      <c r="H2375" s="7" t="str">
        <f t="shared" si="148"/>
        <v/>
      </c>
      <c r="I2375" s="7" t="str">
        <f>IF(AND(ISBLANK(D2375),ISBLANK(C2375)),"",((VLOOKUP(D2375,Cardápio!$A$2:$C$16,3,0))*E2375)+IF(B2375="iFood",F2375*0.27,(VLOOKUP(VENDAS!C2375,Bairros!$A$2:$B$90,2,0))))</f>
        <v/>
      </c>
      <c r="J2375" s="7" t="str">
        <f t="shared" si="149"/>
        <v/>
      </c>
      <c r="K2375" s="9">
        <f t="shared" ca="1" si="150"/>
        <v>45404.878290162036</v>
      </c>
      <c r="L2375" s="10">
        <f t="shared" ca="1" si="151"/>
        <v>45404.878290046297</v>
      </c>
    </row>
    <row r="2376" spans="6:12" x14ac:dyDescent="0.25">
      <c r="F2376" s="11" t="str">
        <f>IF(ISBLANK(D2376),"",(VLOOKUP(D2376,Cardápio!$A$2:$B$16,2,0))*E2376)</f>
        <v/>
      </c>
      <c r="H2376" s="7" t="str">
        <f t="shared" si="148"/>
        <v/>
      </c>
      <c r="I2376" s="7" t="str">
        <f>IF(AND(ISBLANK(D2376),ISBLANK(C2376)),"",((VLOOKUP(D2376,Cardápio!$A$2:$C$16,3,0))*E2376)+IF(B2376="iFood",F2376*0.27,(VLOOKUP(VENDAS!C2376,Bairros!$A$2:$B$90,2,0))))</f>
        <v/>
      </c>
      <c r="J2376" s="7" t="str">
        <f t="shared" si="149"/>
        <v/>
      </c>
      <c r="K2376" s="9">
        <f t="shared" ca="1" si="150"/>
        <v>45404.878290162036</v>
      </c>
      <c r="L2376" s="10">
        <f t="shared" ca="1" si="151"/>
        <v>45404.878290046297</v>
      </c>
    </row>
    <row r="2377" spans="6:12" x14ac:dyDescent="0.25">
      <c r="F2377" s="11" t="str">
        <f>IF(ISBLANK(D2377),"",(VLOOKUP(D2377,Cardápio!$A$2:$B$16,2,0))*E2377)</f>
        <v/>
      </c>
      <c r="H2377" s="7" t="str">
        <f t="shared" si="148"/>
        <v/>
      </c>
      <c r="I2377" s="7" t="str">
        <f>IF(AND(ISBLANK(D2377),ISBLANK(C2377)),"",((VLOOKUP(D2377,Cardápio!$A$2:$C$16,3,0))*E2377)+IF(B2377="iFood",F2377*0.27,(VLOOKUP(VENDAS!C2377,Bairros!$A$2:$B$90,2,0))))</f>
        <v/>
      </c>
      <c r="J2377" s="7" t="str">
        <f t="shared" si="149"/>
        <v/>
      </c>
      <c r="K2377" s="9">
        <f t="shared" ca="1" si="150"/>
        <v>45404.878290277775</v>
      </c>
      <c r="L2377" s="10">
        <f t="shared" ca="1" si="151"/>
        <v>45404.878290046297</v>
      </c>
    </row>
    <row r="2378" spans="6:12" x14ac:dyDescent="0.25">
      <c r="F2378" s="11" t="str">
        <f>IF(ISBLANK(D2378),"",(VLOOKUP(D2378,Cardápio!$A$2:$B$16,2,0))*E2378)</f>
        <v/>
      </c>
      <c r="H2378" s="7" t="str">
        <f t="shared" si="148"/>
        <v/>
      </c>
      <c r="I2378" s="7" t="str">
        <f>IF(AND(ISBLANK(D2378),ISBLANK(C2378)),"",((VLOOKUP(D2378,Cardápio!$A$2:$C$16,3,0))*E2378)+IF(B2378="iFood",F2378*0.27,(VLOOKUP(VENDAS!C2378,Bairros!$A$2:$B$90,2,0))))</f>
        <v/>
      </c>
      <c r="J2378" s="7" t="str">
        <f t="shared" si="149"/>
        <v/>
      </c>
      <c r="K2378" s="9">
        <f t="shared" ca="1" si="150"/>
        <v>45404.878290162036</v>
      </c>
      <c r="L2378" s="10">
        <f t="shared" ca="1" si="151"/>
        <v>45404.878290046297</v>
      </c>
    </row>
    <row r="2379" spans="6:12" x14ac:dyDescent="0.25">
      <c r="F2379" s="11" t="str">
        <f>IF(ISBLANK(D2379),"",(VLOOKUP(D2379,Cardápio!$A$2:$B$16,2,0))*E2379)</f>
        <v/>
      </c>
      <c r="H2379" s="7" t="str">
        <f t="shared" si="148"/>
        <v/>
      </c>
      <c r="I2379" s="7" t="str">
        <f>IF(AND(ISBLANK(D2379),ISBLANK(C2379)),"",((VLOOKUP(D2379,Cardápio!$A$2:$C$16,3,0))*E2379)+IF(B2379="iFood",F2379*0.27,(VLOOKUP(VENDAS!C2379,Bairros!$A$2:$B$90,2,0))))</f>
        <v/>
      </c>
      <c r="J2379" s="7" t="str">
        <f t="shared" si="149"/>
        <v/>
      </c>
      <c r="K2379" s="9">
        <f t="shared" ca="1" si="150"/>
        <v>45404.878290162036</v>
      </c>
      <c r="L2379" s="10">
        <f t="shared" ca="1" si="151"/>
        <v>45404.878290046297</v>
      </c>
    </row>
    <row r="2380" spans="6:12" x14ac:dyDescent="0.25">
      <c r="F2380" s="11" t="str">
        <f>IF(ISBLANK(D2380),"",(VLOOKUP(D2380,Cardápio!$A$2:$B$16,2,0))*E2380)</f>
        <v/>
      </c>
      <c r="H2380" s="7" t="str">
        <f t="shared" si="148"/>
        <v/>
      </c>
      <c r="I2380" s="7" t="str">
        <f>IF(AND(ISBLANK(D2380),ISBLANK(C2380)),"",((VLOOKUP(D2380,Cardápio!$A$2:$C$16,3,0))*E2380)+IF(B2380="iFood",F2380*0.27,(VLOOKUP(VENDAS!C2380,Bairros!$A$2:$B$90,2,0))))</f>
        <v/>
      </c>
      <c r="J2380" s="7" t="str">
        <f t="shared" si="149"/>
        <v/>
      </c>
      <c r="K2380" s="9">
        <f t="shared" ca="1" si="150"/>
        <v>45404.878290162036</v>
      </c>
      <c r="L2380" s="10">
        <f t="shared" ca="1" si="151"/>
        <v>45404.878290046297</v>
      </c>
    </row>
    <row r="2381" spans="6:12" x14ac:dyDescent="0.25">
      <c r="F2381" s="11" t="str">
        <f>IF(ISBLANK(D2381),"",(VLOOKUP(D2381,Cardápio!$A$2:$B$16,2,0))*E2381)</f>
        <v/>
      </c>
      <c r="H2381" s="7" t="str">
        <f t="shared" si="148"/>
        <v/>
      </c>
      <c r="I2381" s="7" t="str">
        <f>IF(AND(ISBLANK(D2381),ISBLANK(C2381)),"",((VLOOKUP(D2381,Cardápio!$A$2:$C$16,3,0))*E2381)+IF(B2381="iFood",F2381*0.27,(VLOOKUP(VENDAS!C2381,Bairros!$A$2:$B$90,2,0))))</f>
        <v/>
      </c>
      <c r="J2381" s="7" t="str">
        <f t="shared" si="149"/>
        <v/>
      </c>
      <c r="K2381" s="9">
        <f t="shared" ca="1" si="150"/>
        <v>45404.878290277775</v>
      </c>
      <c r="L2381" s="10">
        <f t="shared" ca="1" si="151"/>
        <v>45404.878290046297</v>
      </c>
    </row>
    <row r="2382" spans="6:12" x14ac:dyDescent="0.25">
      <c r="F2382" s="11" t="str">
        <f>IF(ISBLANK(D2382),"",(VLOOKUP(D2382,Cardápio!$A$2:$B$16,2,0))*E2382)</f>
        <v/>
      </c>
      <c r="H2382" s="7" t="str">
        <f t="shared" si="148"/>
        <v/>
      </c>
      <c r="I2382" s="7" t="str">
        <f>IF(AND(ISBLANK(D2382),ISBLANK(C2382)),"",((VLOOKUP(D2382,Cardápio!$A$2:$C$16,3,0))*E2382)+IF(B2382="iFood",F2382*0.27,(VLOOKUP(VENDAS!C2382,Bairros!$A$2:$B$90,2,0))))</f>
        <v/>
      </c>
      <c r="J2382" s="7" t="str">
        <f t="shared" si="149"/>
        <v/>
      </c>
      <c r="K2382" s="9">
        <f t="shared" ca="1" si="150"/>
        <v>45404.878290162036</v>
      </c>
      <c r="L2382" s="10">
        <f t="shared" ca="1" si="151"/>
        <v>45404.878290046297</v>
      </c>
    </row>
    <row r="2383" spans="6:12" x14ac:dyDescent="0.25">
      <c r="F2383" s="11" t="str">
        <f>IF(ISBLANK(D2383),"",(VLOOKUP(D2383,Cardápio!$A$2:$B$16,2,0))*E2383)</f>
        <v/>
      </c>
      <c r="H2383" s="7" t="str">
        <f t="shared" si="148"/>
        <v/>
      </c>
      <c r="I2383" s="7" t="str">
        <f>IF(AND(ISBLANK(D2383),ISBLANK(C2383)),"",((VLOOKUP(D2383,Cardápio!$A$2:$C$16,3,0))*E2383)+IF(B2383="iFood",F2383*0.27,(VLOOKUP(VENDAS!C2383,Bairros!$A$2:$B$90,2,0))))</f>
        <v/>
      </c>
      <c r="J2383" s="7" t="str">
        <f t="shared" si="149"/>
        <v/>
      </c>
      <c r="K2383" s="9">
        <f t="shared" ca="1" si="150"/>
        <v>45404.878290162036</v>
      </c>
      <c r="L2383" s="10">
        <f t="shared" ca="1" si="151"/>
        <v>45404.878290046297</v>
      </c>
    </row>
    <row r="2384" spans="6:12" x14ac:dyDescent="0.25">
      <c r="F2384" s="11" t="str">
        <f>IF(ISBLANK(D2384),"",(VLOOKUP(D2384,Cardápio!$A$2:$B$16,2,0))*E2384)</f>
        <v/>
      </c>
      <c r="H2384" s="7" t="str">
        <f t="shared" si="148"/>
        <v/>
      </c>
      <c r="I2384" s="7" t="str">
        <f>IF(AND(ISBLANK(D2384),ISBLANK(C2384)),"",((VLOOKUP(D2384,Cardápio!$A$2:$C$16,3,0))*E2384)+IF(B2384="iFood",F2384*0.27,(VLOOKUP(VENDAS!C2384,Bairros!$A$2:$B$90,2,0))))</f>
        <v/>
      </c>
      <c r="J2384" s="7" t="str">
        <f t="shared" si="149"/>
        <v/>
      </c>
      <c r="K2384" s="9">
        <f t="shared" ca="1" si="150"/>
        <v>45404.878290162036</v>
      </c>
      <c r="L2384" s="10">
        <f t="shared" ca="1" si="151"/>
        <v>45404.878290046297</v>
      </c>
    </row>
    <row r="2385" spans="6:12" x14ac:dyDescent="0.25">
      <c r="F2385" s="11" t="str">
        <f>IF(ISBLANK(D2385),"",(VLOOKUP(D2385,Cardápio!$A$2:$B$16,2,0))*E2385)</f>
        <v/>
      </c>
      <c r="H2385" s="7" t="str">
        <f t="shared" si="148"/>
        <v/>
      </c>
      <c r="I2385" s="7" t="str">
        <f>IF(AND(ISBLANK(D2385),ISBLANK(C2385)),"",((VLOOKUP(D2385,Cardápio!$A$2:$C$16,3,0))*E2385)+IF(B2385="iFood",F2385*0.27,(VLOOKUP(VENDAS!C2385,Bairros!$A$2:$B$90,2,0))))</f>
        <v/>
      </c>
      <c r="J2385" s="7" t="str">
        <f t="shared" si="149"/>
        <v/>
      </c>
      <c r="K2385" s="9">
        <f t="shared" ca="1" si="150"/>
        <v>45404.878290277775</v>
      </c>
      <c r="L2385" s="10">
        <f t="shared" ca="1" si="151"/>
        <v>45404.878290046297</v>
      </c>
    </row>
    <row r="2386" spans="6:12" x14ac:dyDescent="0.25">
      <c r="F2386" s="11" t="str">
        <f>IF(ISBLANK(D2386),"",(VLOOKUP(D2386,Cardápio!$A$2:$B$16,2,0))*E2386)</f>
        <v/>
      </c>
      <c r="H2386" s="7" t="str">
        <f t="shared" si="148"/>
        <v/>
      </c>
      <c r="I2386" s="7" t="str">
        <f>IF(AND(ISBLANK(D2386),ISBLANK(C2386)),"",((VLOOKUP(D2386,Cardápio!$A$2:$C$16,3,0))*E2386)+IF(B2386="iFood",F2386*0.27,(VLOOKUP(VENDAS!C2386,Bairros!$A$2:$B$90,2,0))))</f>
        <v/>
      </c>
      <c r="J2386" s="7" t="str">
        <f t="shared" si="149"/>
        <v/>
      </c>
      <c r="K2386" s="9">
        <f t="shared" ca="1" si="150"/>
        <v>45404.878290162036</v>
      </c>
      <c r="L2386" s="10">
        <f t="shared" ca="1" si="151"/>
        <v>45404.878290046297</v>
      </c>
    </row>
    <row r="2387" spans="6:12" x14ac:dyDescent="0.25">
      <c r="F2387" s="11" t="str">
        <f>IF(ISBLANK(D2387),"",(VLOOKUP(D2387,Cardápio!$A$2:$B$16,2,0))*E2387)</f>
        <v/>
      </c>
      <c r="H2387" s="7" t="str">
        <f t="shared" si="148"/>
        <v/>
      </c>
      <c r="I2387" s="7" t="str">
        <f>IF(AND(ISBLANK(D2387),ISBLANK(C2387)),"",((VLOOKUP(D2387,Cardápio!$A$2:$C$16,3,0))*E2387)+IF(B2387="iFood",F2387*0.27,(VLOOKUP(VENDAS!C2387,Bairros!$A$2:$B$90,2,0))))</f>
        <v/>
      </c>
      <c r="J2387" s="7" t="str">
        <f t="shared" si="149"/>
        <v/>
      </c>
      <c r="K2387" s="9">
        <f t="shared" ca="1" si="150"/>
        <v>45404.878290162036</v>
      </c>
      <c r="L2387" s="10">
        <f t="shared" ca="1" si="151"/>
        <v>45404.878290046297</v>
      </c>
    </row>
    <row r="2388" spans="6:12" x14ac:dyDescent="0.25">
      <c r="F2388" s="11" t="str">
        <f>IF(ISBLANK(D2388),"",(VLOOKUP(D2388,Cardápio!$A$2:$B$16,2,0))*E2388)</f>
        <v/>
      </c>
      <c r="H2388" s="7" t="str">
        <f t="shared" si="148"/>
        <v/>
      </c>
      <c r="I2388" s="7" t="str">
        <f>IF(AND(ISBLANK(D2388),ISBLANK(C2388)),"",((VLOOKUP(D2388,Cardápio!$A$2:$C$16,3,0))*E2388)+IF(B2388="iFood",F2388*0.27,(VLOOKUP(VENDAS!C2388,Bairros!$A$2:$B$90,2,0))))</f>
        <v/>
      </c>
      <c r="J2388" s="7" t="str">
        <f t="shared" si="149"/>
        <v/>
      </c>
      <c r="K2388" s="9">
        <f t="shared" ca="1" si="150"/>
        <v>45404.878290162036</v>
      </c>
      <c r="L2388" s="10">
        <f t="shared" ca="1" si="151"/>
        <v>45404.878290046297</v>
      </c>
    </row>
    <row r="2389" spans="6:12" x14ac:dyDescent="0.25">
      <c r="F2389" s="11" t="str">
        <f>IF(ISBLANK(D2389),"",(VLOOKUP(D2389,Cardápio!$A$2:$B$16,2,0))*E2389)</f>
        <v/>
      </c>
      <c r="H2389" s="7" t="str">
        <f t="shared" si="148"/>
        <v/>
      </c>
      <c r="I2389" s="7" t="str">
        <f>IF(AND(ISBLANK(D2389),ISBLANK(C2389)),"",((VLOOKUP(D2389,Cardápio!$A$2:$C$16,3,0))*E2389)+IF(B2389="iFood",F2389*0.27,(VLOOKUP(VENDAS!C2389,Bairros!$A$2:$B$90,2,0))))</f>
        <v/>
      </c>
      <c r="J2389" s="7" t="str">
        <f t="shared" si="149"/>
        <v/>
      </c>
      <c r="K2389" s="9">
        <f t="shared" ca="1" si="150"/>
        <v>45404.878290277775</v>
      </c>
      <c r="L2389" s="10">
        <f t="shared" ca="1" si="151"/>
        <v>45404.878290046297</v>
      </c>
    </row>
    <row r="2390" spans="6:12" x14ac:dyDescent="0.25">
      <c r="F2390" s="11" t="str">
        <f>IF(ISBLANK(D2390),"",(VLOOKUP(D2390,Cardápio!$A$2:$B$16,2,0))*E2390)</f>
        <v/>
      </c>
      <c r="H2390" s="7" t="str">
        <f t="shared" si="148"/>
        <v/>
      </c>
      <c r="I2390" s="7" t="str">
        <f>IF(AND(ISBLANK(D2390),ISBLANK(C2390)),"",((VLOOKUP(D2390,Cardápio!$A$2:$C$16,3,0))*E2390)+IF(B2390="iFood",F2390*0.27,(VLOOKUP(VENDAS!C2390,Bairros!$A$2:$B$90,2,0))))</f>
        <v/>
      </c>
      <c r="J2390" s="7" t="str">
        <f t="shared" si="149"/>
        <v/>
      </c>
      <c r="K2390" s="9">
        <f t="shared" ca="1" si="150"/>
        <v>45404.878290162036</v>
      </c>
      <c r="L2390" s="10">
        <f t="shared" ca="1" si="151"/>
        <v>45404.878290046297</v>
      </c>
    </row>
    <row r="2391" spans="6:12" x14ac:dyDescent="0.25">
      <c r="F2391" s="11" t="str">
        <f>IF(ISBLANK(D2391),"",(VLOOKUP(D2391,Cardápio!$A$2:$B$16,2,0))*E2391)</f>
        <v/>
      </c>
      <c r="H2391" s="7" t="str">
        <f t="shared" si="148"/>
        <v/>
      </c>
      <c r="I2391" s="7" t="str">
        <f>IF(AND(ISBLANK(D2391),ISBLANK(C2391)),"",((VLOOKUP(D2391,Cardápio!$A$2:$C$16,3,0))*E2391)+IF(B2391="iFood",F2391*0.27,(VLOOKUP(VENDAS!C2391,Bairros!$A$2:$B$90,2,0))))</f>
        <v/>
      </c>
      <c r="J2391" s="7" t="str">
        <f t="shared" si="149"/>
        <v/>
      </c>
      <c r="K2391" s="9">
        <f t="shared" ca="1" si="150"/>
        <v>45404.878290162036</v>
      </c>
      <c r="L2391" s="10">
        <f t="shared" ca="1" si="151"/>
        <v>45404.878290046297</v>
      </c>
    </row>
    <row r="2392" spans="6:12" x14ac:dyDescent="0.25">
      <c r="F2392" s="11" t="str">
        <f>IF(ISBLANK(D2392),"",(VLOOKUP(D2392,Cardápio!$A$2:$B$16,2,0))*E2392)</f>
        <v/>
      </c>
      <c r="H2392" s="7" t="str">
        <f t="shared" si="148"/>
        <v/>
      </c>
      <c r="I2392" s="7" t="str">
        <f>IF(AND(ISBLANK(D2392),ISBLANK(C2392)),"",((VLOOKUP(D2392,Cardápio!$A$2:$C$16,3,0))*E2392)+IF(B2392="iFood",F2392*0.27,(VLOOKUP(VENDAS!C2392,Bairros!$A$2:$B$90,2,0))))</f>
        <v/>
      </c>
      <c r="J2392" s="7" t="str">
        <f t="shared" si="149"/>
        <v/>
      </c>
      <c r="K2392" s="9">
        <f t="shared" ca="1" si="150"/>
        <v>45404.878290162036</v>
      </c>
      <c r="L2392" s="10">
        <f t="shared" ca="1" si="151"/>
        <v>45404.878290046297</v>
      </c>
    </row>
    <row r="2393" spans="6:12" x14ac:dyDescent="0.25">
      <c r="F2393" s="11" t="str">
        <f>IF(ISBLANK(D2393),"",(VLOOKUP(D2393,Cardápio!$A$2:$B$16,2,0))*E2393)</f>
        <v/>
      </c>
      <c r="H2393" s="7" t="str">
        <f t="shared" si="148"/>
        <v/>
      </c>
      <c r="I2393" s="7" t="str">
        <f>IF(AND(ISBLANK(D2393),ISBLANK(C2393)),"",((VLOOKUP(D2393,Cardápio!$A$2:$C$16,3,0))*E2393)+IF(B2393="iFood",F2393*0.27,(VLOOKUP(VENDAS!C2393,Bairros!$A$2:$B$90,2,0))))</f>
        <v/>
      </c>
      <c r="J2393" s="7" t="str">
        <f t="shared" si="149"/>
        <v/>
      </c>
      <c r="K2393" s="9">
        <f t="shared" ca="1" si="150"/>
        <v>45404.878290277775</v>
      </c>
      <c r="L2393" s="10">
        <f t="shared" ca="1" si="151"/>
        <v>45404.878290046297</v>
      </c>
    </row>
    <row r="2394" spans="6:12" x14ac:dyDescent="0.25">
      <c r="F2394" s="11" t="str">
        <f>IF(ISBLANK(D2394),"",(VLOOKUP(D2394,Cardápio!$A$2:$B$16,2,0))*E2394)</f>
        <v/>
      </c>
      <c r="H2394" s="7" t="str">
        <f t="shared" si="148"/>
        <v/>
      </c>
      <c r="I2394" s="7" t="str">
        <f>IF(AND(ISBLANK(D2394),ISBLANK(C2394)),"",((VLOOKUP(D2394,Cardápio!$A$2:$C$16,3,0))*E2394)+IF(B2394="iFood",F2394*0.27,(VLOOKUP(VENDAS!C2394,Bairros!$A$2:$B$90,2,0))))</f>
        <v/>
      </c>
      <c r="J2394" s="7" t="str">
        <f t="shared" si="149"/>
        <v/>
      </c>
      <c r="K2394" s="9">
        <f t="shared" ca="1" si="150"/>
        <v>45404.878290162036</v>
      </c>
      <c r="L2394" s="10">
        <f t="shared" ca="1" si="151"/>
        <v>45404.878290046297</v>
      </c>
    </row>
    <row r="2395" spans="6:12" x14ac:dyDescent="0.25">
      <c r="F2395" s="11" t="str">
        <f>IF(ISBLANK(D2395),"",(VLOOKUP(D2395,Cardápio!$A$2:$B$16,2,0))*E2395)</f>
        <v/>
      </c>
      <c r="H2395" s="7" t="str">
        <f t="shared" si="148"/>
        <v/>
      </c>
      <c r="I2395" s="7" t="str">
        <f>IF(AND(ISBLANK(D2395),ISBLANK(C2395)),"",((VLOOKUP(D2395,Cardápio!$A$2:$C$16,3,0))*E2395)+IF(B2395="iFood",F2395*0.27,(VLOOKUP(VENDAS!C2395,Bairros!$A$2:$B$90,2,0))))</f>
        <v/>
      </c>
      <c r="J2395" s="7" t="str">
        <f t="shared" si="149"/>
        <v/>
      </c>
      <c r="K2395" s="9">
        <f t="shared" ca="1" si="150"/>
        <v>45404.878290162036</v>
      </c>
      <c r="L2395" s="10">
        <f t="shared" ca="1" si="151"/>
        <v>45404.878290046297</v>
      </c>
    </row>
    <row r="2396" spans="6:12" x14ac:dyDescent="0.25">
      <c r="F2396" s="11" t="str">
        <f>IF(ISBLANK(D2396),"",(VLOOKUP(D2396,Cardápio!$A$2:$B$16,2,0))*E2396)</f>
        <v/>
      </c>
      <c r="H2396" s="7" t="str">
        <f t="shared" si="148"/>
        <v/>
      </c>
      <c r="I2396" s="7" t="str">
        <f>IF(AND(ISBLANK(D2396),ISBLANK(C2396)),"",((VLOOKUP(D2396,Cardápio!$A$2:$C$16,3,0))*E2396)+IF(B2396="iFood",F2396*0.27,(VLOOKUP(VENDAS!C2396,Bairros!$A$2:$B$90,2,0))))</f>
        <v/>
      </c>
      <c r="J2396" s="7" t="str">
        <f t="shared" si="149"/>
        <v/>
      </c>
      <c r="K2396" s="9">
        <f t="shared" ca="1" si="150"/>
        <v>45404.878290162036</v>
      </c>
      <c r="L2396" s="10">
        <f t="shared" ca="1" si="151"/>
        <v>45404.878290046297</v>
      </c>
    </row>
    <row r="2397" spans="6:12" x14ac:dyDescent="0.25">
      <c r="F2397" s="11" t="str">
        <f>IF(ISBLANK(D2397),"",(VLOOKUP(D2397,Cardápio!$A$2:$B$16,2,0))*E2397)</f>
        <v/>
      </c>
      <c r="H2397" s="7" t="str">
        <f t="shared" si="148"/>
        <v/>
      </c>
      <c r="I2397" s="7" t="str">
        <f>IF(AND(ISBLANK(D2397),ISBLANK(C2397)),"",((VLOOKUP(D2397,Cardápio!$A$2:$C$16,3,0))*E2397)+IF(B2397="iFood",F2397*0.27,(VLOOKUP(VENDAS!C2397,Bairros!$A$2:$B$90,2,0))))</f>
        <v/>
      </c>
      <c r="J2397" s="7" t="str">
        <f t="shared" si="149"/>
        <v/>
      </c>
      <c r="K2397" s="9">
        <f t="shared" ca="1" si="150"/>
        <v>45404.878290277775</v>
      </c>
      <c r="L2397" s="10">
        <f t="shared" ca="1" si="151"/>
        <v>45404.878290046297</v>
      </c>
    </row>
    <row r="2398" spans="6:12" x14ac:dyDescent="0.25">
      <c r="F2398" s="11" t="str">
        <f>IF(ISBLANK(D2398),"",(VLOOKUP(D2398,Cardápio!$A$2:$B$16,2,0))*E2398)</f>
        <v/>
      </c>
      <c r="H2398" s="7" t="str">
        <f t="shared" si="148"/>
        <v/>
      </c>
      <c r="I2398" s="7" t="str">
        <f>IF(AND(ISBLANK(D2398),ISBLANK(C2398)),"",((VLOOKUP(D2398,Cardápio!$A$2:$C$16,3,0))*E2398)+IF(B2398="iFood",F2398*0.27,(VLOOKUP(VENDAS!C2398,Bairros!$A$2:$B$90,2,0))))</f>
        <v/>
      </c>
      <c r="J2398" s="7" t="str">
        <f t="shared" si="149"/>
        <v/>
      </c>
      <c r="K2398" s="9">
        <f t="shared" ca="1" si="150"/>
        <v>45404.878290162036</v>
      </c>
      <c r="L2398" s="10">
        <f t="shared" ca="1" si="151"/>
        <v>45404.878290046297</v>
      </c>
    </row>
    <row r="2399" spans="6:12" x14ac:dyDescent="0.25">
      <c r="F2399" s="11" t="str">
        <f>IF(ISBLANK(D2399),"",(VLOOKUP(D2399,Cardápio!$A$2:$B$16,2,0))*E2399)</f>
        <v/>
      </c>
      <c r="H2399" s="7" t="str">
        <f t="shared" si="148"/>
        <v/>
      </c>
      <c r="I2399" s="7" t="str">
        <f>IF(AND(ISBLANK(D2399),ISBLANK(C2399)),"",((VLOOKUP(D2399,Cardápio!$A$2:$C$16,3,0))*E2399)+IF(B2399="iFood",F2399*0.27,(VLOOKUP(VENDAS!C2399,Bairros!$A$2:$B$90,2,0))))</f>
        <v/>
      </c>
      <c r="J2399" s="7" t="str">
        <f t="shared" si="149"/>
        <v/>
      </c>
      <c r="K2399" s="9">
        <f t="shared" ca="1" si="150"/>
        <v>45404.878290162036</v>
      </c>
      <c r="L2399" s="10">
        <f t="shared" ca="1" si="151"/>
        <v>45404.878290046297</v>
      </c>
    </row>
    <row r="2400" spans="6:12" x14ac:dyDescent="0.25">
      <c r="F2400" s="11" t="str">
        <f>IF(ISBLANK(D2400),"",(VLOOKUP(D2400,Cardápio!$A$2:$B$16,2,0))*E2400)</f>
        <v/>
      </c>
      <c r="H2400" s="7" t="str">
        <f t="shared" si="148"/>
        <v/>
      </c>
      <c r="I2400" s="7" t="str">
        <f>IF(AND(ISBLANK(D2400),ISBLANK(C2400)),"",((VLOOKUP(D2400,Cardápio!$A$2:$C$16,3,0))*E2400)+IF(B2400="iFood",F2400*0.27,(VLOOKUP(VENDAS!C2400,Bairros!$A$2:$B$90,2,0))))</f>
        <v/>
      </c>
      <c r="J2400" s="7" t="str">
        <f t="shared" si="149"/>
        <v/>
      </c>
      <c r="K2400" s="9">
        <f t="shared" ca="1" si="150"/>
        <v>45404.878290162036</v>
      </c>
      <c r="L2400" s="10">
        <f t="shared" ca="1" si="151"/>
        <v>45404.878290046297</v>
      </c>
    </row>
    <row r="2401" spans="6:12" x14ac:dyDescent="0.25">
      <c r="F2401" s="11" t="str">
        <f>IF(ISBLANK(D2401),"",(VLOOKUP(D2401,Cardápio!$A$2:$B$16,2,0))*E2401)</f>
        <v/>
      </c>
      <c r="H2401" s="7" t="str">
        <f t="shared" si="148"/>
        <v/>
      </c>
      <c r="I2401" s="7" t="str">
        <f>IF(AND(ISBLANK(D2401),ISBLANK(C2401)),"",((VLOOKUP(D2401,Cardápio!$A$2:$C$16,3,0))*E2401)+IF(B2401="iFood",F2401*0.27,(VLOOKUP(VENDAS!C2401,Bairros!$A$2:$B$90,2,0))))</f>
        <v/>
      </c>
      <c r="J2401" s="7" t="str">
        <f t="shared" si="149"/>
        <v/>
      </c>
      <c r="K2401" s="9">
        <f t="shared" ca="1" si="150"/>
        <v>45404.878290277775</v>
      </c>
      <c r="L2401" s="10">
        <f t="shared" ca="1" si="151"/>
        <v>45404.878290046297</v>
      </c>
    </row>
    <row r="2402" spans="6:12" x14ac:dyDescent="0.25">
      <c r="F2402" s="11" t="str">
        <f>IF(ISBLANK(D2402),"",(VLOOKUP(D2402,Cardápio!$A$2:$B$16,2,0))*E2402)</f>
        <v/>
      </c>
      <c r="H2402" s="7" t="str">
        <f t="shared" si="148"/>
        <v/>
      </c>
      <c r="I2402" s="7" t="str">
        <f>IF(AND(ISBLANK(D2402),ISBLANK(C2402)),"",((VLOOKUP(D2402,Cardápio!$A$2:$C$16,3,0))*E2402)+IF(B2402="iFood",F2402*0.27,(VLOOKUP(VENDAS!C2402,Bairros!$A$2:$B$90,2,0))))</f>
        <v/>
      </c>
      <c r="J2402" s="7" t="str">
        <f t="shared" si="149"/>
        <v/>
      </c>
      <c r="K2402" s="9">
        <f t="shared" ca="1" si="150"/>
        <v>45404.878290162036</v>
      </c>
      <c r="L2402" s="10">
        <f t="shared" ca="1" si="151"/>
        <v>45404.878290046297</v>
      </c>
    </row>
    <row r="2403" spans="6:12" x14ac:dyDescent="0.25">
      <c r="F2403" s="11" t="str">
        <f>IF(ISBLANK(D2403),"",(VLOOKUP(D2403,Cardápio!$A$2:$B$16,2,0))*E2403)</f>
        <v/>
      </c>
      <c r="H2403" s="7" t="str">
        <f t="shared" si="148"/>
        <v/>
      </c>
      <c r="I2403" s="7" t="str">
        <f>IF(AND(ISBLANK(D2403),ISBLANK(C2403)),"",((VLOOKUP(D2403,Cardápio!$A$2:$C$16,3,0))*E2403)+IF(B2403="iFood",F2403*0.27,(VLOOKUP(VENDAS!C2403,Bairros!$A$2:$B$90,2,0))))</f>
        <v/>
      </c>
      <c r="J2403" s="7" t="str">
        <f t="shared" si="149"/>
        <v/>
      </c>
      <c r="K2403" s="9">
        <f t="shared" ca="1" si="150"/>
        <v>45404.878290162036</v>
      </c>
      <c r="L2403" s="10">
        <f t="shared" ca="1" si="151"/>
        <v>45404.878290046297</v>
      </c>
    </row>
    <row r="2404" spans="6:12" x14ac:dyDescent="0.25">
      <c r="F2404" s="11" t="str">
        <f>IF(ISBLANK(D2404),"",(VLOOKUP(D2404,Cardápio!$A$2:$B$16,2,0))*E2404)</f>
        <v/>
      </c>
      <c r="H2404" s="7" t="str">
        <f t="shared" si="148"/>
        <v/>
      </c>
      <c r="I2404" s="7" t="str">
        <f>IF(AND(ISBLANK(D2404),ISBLANK(C2404)),"",((VLOOKUP(D2404,Cardápio!$A$2:$C$16,3,0))*E2404)+IF(B2404="iFood",F2404*0.27,(VLOOKUP(VENDAS!C2404,Bairros!$A$2:$B$90,2,0))))</f>
        <v/>
      </c>
      <c r="J2404" s="7" t="str">
        <f t="shared" si="149"/>
        <v/>
      </c>
      <c r="K2404" s="9">
        <f t="shared" ca="1" si="150"/>
        <v>45404.878290162036</v>
      </c>
      <c r="L2404" s="10">
        <f t="shared" ca="1" si="151"/>
        <v>45404.878290046297</v>
      </c>
    </row>
    <row r="2405" spans="6:12" x14ac:dyDescent="0.25">
      <c r="F2405" s="11" t="str">
        <f>IF(ISBLANK(D2405),"",(VLOOKUP(D2405,Cardápio!$A$2:$B$16,2,0))*E2405)</f>
        <v/>
      </c>
      <c r="H2405" s="7" t="str">
        <f t="shared" si="148"/>
        <v/>
      </c>
      <c r="I2405" s="7" t="str">
        <f>IF(AND(ISBLANK(D2405),ISBLANK(C2405)),"",((VLOOKUP(D2405,Cardápio!$A$2:$C$16,3,0))*E2405)+IF(B2405="iFood",F2405*0.27,(VLOOKUP(VENDAS!C2405,Bairros!$A$2:$B$90,2,0))))</f>
        <v/>
      </c>
      <c r="J2405" s="7" t="str">
        <f t="shared" si="149"/>
        <v/>
      </c>
      <c r="K2405" s="9">
        <f t="shared" ca="1" si="150"/>
        <v>45404.878290277775</v>
      </c>
      <c r="L2405" s="10">
        <f t="shared" ca="1" si="151"/>
        <v>45404.878290046297</v>
      </c>
    </row>
    <row r="2406" spans="6:12" x14ac:dyDescent="0.25">
      <c r="F2406" s="11" t="str">
        <f>IF(ISBLANK(D2406),"",(VLOOKUP(D2406,Cardápio!$A$2:$B$16,2,0))*E2406)</f>
        <v/>
      </c>
      <c r="H2406" s="7" t="str">
        <f t="shared" si="148"/>
        <v/>
      </c>
      <c r="I2406" s="7" t="str">
        <f>IF(AND(ISBLANK(D2406),ISBLANK(C2406)),"",((VLOOKUP(D2406,Cardápio!$A$2:$C$16,3,0))*E2406)+IF(B2406="iFood",F2406*0.27,(VLOOKUP(VENDAS!C2406,Bairros!$A$2:$B$90,2,0))))</f>
        <v/>
      </c>
      <c r="J2406" s="7" t="str">
        <f t="shared" si="149"/>
        <v/>
      </c>
      <c r="K2406" s="9">
        <f t="shared" ca="1" si="150"/>
        <v>45404.878290162036</v>
      </c>
      <c r="L2406" s="10">
        <f t="shared" ca="1" si="151"/>
        <v>45404.878290046297</v>
      </c>
    </row>
    <row r="2407" spans="6:12" x14ac:dyDescent="0.25">
      <c r="F2407" s="11" t="str">
        <f>IF(ISBLANK(D2407),"",(VLOOKUP(D2407,Cardápio!$A$2:$B$16,2,0))*E2407)</f>
        <v/>
      </c>
      <c r="H2407" s="7" t="str">
        <f t="shared" si="148"/>
        <v/>
      </c>
      <c r="I2407" s="7" t="str">
        <f>IF(AND(ISBLANK(D2407),ISBLANK(C2407)),"",((VLOOKUP(D2407,Cardápio!$A$2:$C$16,3,0))*E2407)+IF(B2407="iFood",F2407*0.27,(VLOOKUP(VENDAS!C2407,Bairros!$A$2:$B$90,2,0))))</f>
        <v/>
      </c>
      <c r="J2407" s="7" t="str">
        <f t="shared" si="149"/>
        <v/>
      </c>
      <c r="K2407" s="9">
        <f t="shared" ca="1" si="150"/>
        <v>45404.878290162036</v>
      </c>
      <c r="L2407" s="10">
        <f t="shared" ca="1" si="151"/>
        <v>45404.878290046297</v>
      </c>
    </row>
    <row r="2408" spans="6:12" x14ac:dyDescent="0.25">
      <c r="F2408" s="11" t="str">
        <f>IF(ISBLANK(D2408),"",(VLOOKUP(D2408,Cardápio!$A$2:$B$16,2,0))*E2408)</f>
        <v/>
      </c>
      <c r="H2408" s="7" t="str">
        <f t="shared" si="148"/>
        <v/>
      </c>
      <c r="I2408" s="7" t="str">
        <f>IF(AND(ISBLANK(D2408),ISBLANK(C2408)),"",((VLOOKUP(D2408,Cardápio!$A$2:$C$16,3,0))*E2408)+IF(B2408="iFood",F2408*0.27,(VLOOKUP(VENDAS!C2408,Bairros!$A$2:$B$90,2,0))))</f>
        <v/>
      </c>
      <c r="J2408" s="7" t="str">
        <f t="shared" si="149"/>
        <v/>
      </c>
      <c r="K2408" s="9">
        <f t="shared" ca="1" si="150"/>
        <v>45404.878290162036</v>
      </c>
      <c r="L2408" s="10">
        <f t="shared" ca="1" si="151"/>
        <v>45404.878290046297</v>
      </c>
    </row>
    <row r="2409" spans="6:12" x14ac:dyDescent="0.25">
      <c r="F2409" s="11" t="str">
        <f>IF(ISBLANK(D2409),"",(VLOOKUP(D2409,Cardápio!$A$2:$B$16,2,0))*E2409)</f>
        <v/>
      </c>
      <c r="H2409" s="7" t="str">
        <f t="shared" si="148"/>
        <v/>
      </c>
      <c r="I2409" s="7" t="str">
        <f>IF(AND(ISBLANK(D2409),ISBLANK(C2409)),"",((VLOOKUP(D2409,Cardápio!$A$2:$C$16,3,0))*E2409)+IF(B2409="iFood",F2409*0.27,(VLOOKUP(VENDAS!C2409,Bairros!$A$2:$B$90,2,0))))</f>
        <v/>
      </c>
      <c r="J2409" s="7" t="str">
        <f t="shared" si="149"/>
        <v/>
      </c>
      <c r="K2409" s="9">
        <f t="shared" ca="1" si="150"/>
        <v>45404.878290277775</v>
      </c>
      <c r="L2409" s="10">
        <f t="shared" ca="1" si="151"/>
        <v>45404.878290046297</v>
      </c>
    </row>
    <row r="2410" spans="6:12" x14ac:dyDescent="0.25">
      <c r="F2410" s="11" t="str">
        <f>IF(ISBLANK(D2410),"",(VLOOKUP(D2410,Cardápio!$A$2:$B$16,2,0))*E2410)</f>
        <v/>
      </c>
      <c r="H2410" s="7" t="str">
        <f t="shared" si="148"/>
        <v/>
      </c>
      <c r="I2410" s="7" t="str">
        <f>IF(AND(ISBLANK(D2410),ISBLANK(C2410)),"",((VLOOKUP(D2410,Cardápio!$A$2:$C$16,3,0))*E2410)+IF(B2410="iFood",F2410*0.27,(VLOOKUP(VENDAS!C2410,Bairros!$A$2:$B$90,2,0))))</f>
        <v/>
      </c>
      <c r="J2410" s="7" t="str">
        <f t="shared" si="149"/>
        <v/>
      </c>
      <c r="K2410" s="9">
        <f t="shared" ca="1" si="150"/>
        <v>45404.878290162036</v>
      </c>
      <c r="L2410" s="10">
        <f t="shared" ca="1" si="151"/>
        <v>45404.878290046297</v>
      </c>
    </row>
    <row r="2411" spans="6:12" x14ac:dyDescent="0.25">
      <c r="F2411" s="11" t="str">
        <f>IF(ISBLANK(D2411),"",(VLOOKUP(D2411,Cardápio!$A$2:$B$16,2,0))*E2411)</f>
        <v/>
      </c>
      <c r="H2411" s="7" t="str">
        <f t="shared" si="148"/>
        <v/>
      </c>
      <c r="I2411" s="7" t="str">
        <f>IF(AND(ISBLANK(D2411),ISBLANK(C2411)),"",((VLOOKUP(D2411,Cardápio!$A$2:$C$16,3,0))*E2411)+IF(B2411="iFood",F2411*0.27,(VLOOKUP(VENDAS!C2411,Bairros!$A$2:$B$90,2,0))))</f>
        <v/>
      </c>
      <c r="J2411" s="7" t="str">
        <f t="shared" si="149"/>
        <v/>
      </c>
      <c r="K2411" s="9">
        <f t="shared" ca="1" si="150"/>
        <v>45404.878290162036</v>
      </c>
      <c r="L2411" s="10">
        <f t="shared" ca="1" si="151"/>
        <v>45404.878290046297</v>
      </c>
    </row>
    <row r="2412" spans="6:12" x14ac:dyDescent="0.25">
      <c r="F2412" s="11" t="str">
        <f>IF(ISBLANK(D2412),"",(VLOOKUP(D2412,Cardápio!$A$2:$B$16,2,0))*E2412)</f>
        <v/>
      </c>
      <c r="H2412" s="7" t="str">
        <f t="shared" si="148"/>
        <v/>
      </c>
      <c r="I2412" s="7" t="str">
        <f>IF(AND(ISBLANK(D2412),ISBLANK(C2412)),"",((VLOOKUP(D2412,Cardápio!$A$2:$C$16,3,0))*E2412)+IF(B2412="iFood",F2412*0.27,(VLOOKUP(VENDAS!C2412,Bairros!$A$2:$B$90,2,0))))</f>
        <v/>
      </c>
      <c r="J2412" s="7" t="str">
        <f t="shared" si="149"/>
        <v/>
      </c>
      <c r="K2412" s="9">
        <f t="shared" ca="1" si="150"/>
        <v>45404.878290162036</v>
      </c>
      <c r="L2412" s="10">
        <f t="shared" ca="1" si="151"/>
        <v>45404.878290046297</v>
      </c>
    </row>
    <row r="2413" spans="6:12" x14ac:dyDescent="0.25">
      <c r="F2413" s="11" t="str">
        <f>IF(ISBLANK(D2413),"",(VLOOKUP(D2413,Cardápio!$A$2:$B$16,2,0))*E2413)</f>
        <v/>
      </c>
      <c r="H2413" s="7" t="str">
        <f t="shared" si="148"/>
        <v/>
      </c>
      <c r="I2413" s="7" t="str">
        <f>IF(AND(ISBLANK(D2413),ISBLANK(C2413)),"",((VLOOKUP(D2413,Cardápio!$A$2:$C$16,3,0))*E2413)+IF(B2413="iFood",F2413*0.27,(VLOOKUP(VENDAS!C2413,Bairros!$A$2:$B$90,2,0))))</f>
        <v/>
      </c>
      <c r="J2413" s="7" t="str">
        <f t="shared" si="149"/>
        <v/>
      </c>
      <c r="K2413" s="9">
        <f t="shared" ca="1" si="150"/>
        <v>45404.878290277775</v>
      </c>
      <c r="L2413" s="10">
        <f t="shared" ca="1" si="151"/>
        <v>45404.878290046297</v>
      </c>
    </row>
    <row r="2414" spans="6:12" x14ac:dyDescent="0.25">
      <c r="F2414" s="11" t="str">
        <f>IF(ISBLANK(D2414),"",(VLOOKUP(D2414,Cardápio!$A$2:$B$16,2,0))*E2414)</f>
        <v/>
      </c>
      <c r="H2414" s="7" t="str">
        <f t="shared" si="148"/>
        <v/>
      </c>
      <c r="I2414" s="7" t="str">
        <f>IF(AND(ISBLANK(D2414),ISBLANK(C2414)),"",((VLOOKUP(D2414,Cardápio!$A$2:$C$16,3,0))*E2414)+IF(B2414="iFood",F2414*0.27,(VLOOKUP(VENDAS!C2414,Bairros!$A$2:$B$90,2,0))))</f>
        <v/>
      </c>
      <c r="J2414" s="7" t="str">
        <f t="shared" si="149"/>
        <v/>
      </c>
      <c r="K2414" s="9">
        <f t="shared" ca="1" si="150"/>
        <v>45404.878290162036</v>
      </c>
      <c r="L2414" s="10">
        <f t="shared" ca="1" si="151"/>
        <v>45404.878290046297</v>
      </c>
    </row>
    <row r="2415" spans="6:12" x14ac:dyDescent="0.25">
      <c r="F2415" s="11" t="str">
        <f>IF(ISBLANK(D2415),"",(VLOOKUP(D2415,Cardápio!$A$2:$B$16,2,0))*E2415)</f>
        <v/>
      </c>
      <c r="H2415" s="7" t="str">
        <f t="shared" si="148"/>
        <v/>
      </c>
      <c r="I2415" s="7" t="str">
        <f>IF(AND(ISBLANK(D2415),ISBLANK(C2415)),"",((VLOOKUP(D2415,Cardápio!$A$2:$C$16,3,0))*E2415)+IF(B2415="iFood",F2415*0.27,(VLOOKUP(VENDAS!C2415,Bairros!$A$2:$B$90,2,0))))</f>
        <v/>
      </c>
      <c r="J2415" s="7" t="str">
        <f t="shared" si="149"/>
        <v/>
      </c>
      <c r="K2415" s="9">
        <f t="shared" ca="1" si="150"/>
        <v>45404.878290162036</v>
      </c>
      <c r="L2415" s="10">
        <f t="shared" ca="1" si="151"/>
        <v>45404.878290046297</v>
      </c>
    </row>
    <row r="2416" spans="6:12" x14ac:dyDescent="0.25">
      <c r="F2416" s="11" t="str">
        <f>IF(ISBLANK(D2416),"",(VLOOKUP(D2416,Cardápio!$A$2:$B$16,2,0))*E2416)</f>
        <v/>
      </c>
      <c r="H2416" s="7" t="str">
        <f t="shared" si="148"/>
        <v/>
      </c>
      <c r="I2416" s="7" t="str">
        <f>IF(AND(ISBLANK(D2416),ISBLANK(C2416)),"",((VLOOKUP(D2416,Cardápio!$A$2:$C$16,3,0))*E2416)+IF(B2416="iFood",F2416*0.27,(VLOOKUP(VENDAS!C2416,Bairros!$A$2:$B$90,2,0))))</f>
        <v/>
      </c>
      <c r="J2416" s="7" t="str">
        <f t="shared" si="149"/>
        <v/>
      </c>
      <c r="K2416" s="9">
        <f t="shared" ca="1" si="150"/>
        <v>45404.878290162036</v>
      </c>
      <c r="L2416" s="10">
        <f t="shared" ca="1" si="151"/>
        <v>45404.878290046297</v>
      </c>
    </row>
    <row r="2417" spans="6:12" x14ac:dyDescent="0.25">
      <c r="F2417" s="11" t="str">
        <f>IF(ISBLANK(D2417),"",(VLOOKUP(D2417,Cardápio!$A$2:$B$16,2,0))*E2417)</f>
        <v/>
      </c>
      <c r="H2417" s="7" t="str">
        <f t="shared" si="148"/>
        <v/>
      </c>
      <c r="I2417" s="7" t="str">
        <f>IF(AND(ISBLANK(D2417),ISBLANK(C2417)),"",((VLOOKUP(D2417,Cardápio!$A$2:$C$16,3,0))*E2417)+IF(B2417="iFood",F2417*0.27,(VLOOKUP(VENDAS!C2417,Bairros!$A$2:$B$90,2,0))))</f>
        <v/>
      </c>
      <c r="J2417" s="7" t="str">
        <f t="shared" si="149"/>
        <v/>
      </c>
      <c r="K2417" s="9">
        <f t="shared" ca="1" si="150"/>
        <v>45404.878290277775</v>
      </c>
      <c r="L2417" s="10">
        <f t="shared" ca="1" si="151"/>
        <v>45404.878290046297</v>
      </c>
    </row>
    <row r="2418" spans="6:12" x14ac:dyDescent="0.25">
      <c r="F2418" s="11" t="str">
        <f>IF(ISBLANK(D2418),"",(VLOOKUP(D2418,Cardápio!$A$2:$B$16,2,0))*E2418)</f>
        <v/>
      </c>
      <c r="H2418" s="7" t="str">
        <f t="shared" si="148"/>
        <v/>
      </c>
      <c r="I2418" s="7" t="str">
        <f>IF(AND(ISBLANK(D2418),ISBLANK(C2418)),"",((VLOOKUP(D2418,Cardápio!$A$2:$C$16,3,0))*E2418)+IF(B2418="iFood",F2418*0.27,(VLOOKUP(VENDAS!C2418,Bairros!$A$2:$B$90,2,0))))</f>
        <v/>
      </c>
      <c r="J2418" s="7" t="str">
        <f t="shared" si="149"/>
        <v/>
      </c>
      <c r="K2418" s="9">
        <f t="shared" ca="1" si="150"/>
        <v>45404.878290162036</v>
      </c>
      <c r="L2418" s="10">
        <f t="shared" ca="1" si="151"/>
        <v>45404.878290046297</v>
      </c>
    </row>
    <row r="2419" spans="6:12" x14ac:dyDescent="0.25">
      <c r="F2419" s="11" t="str">
        <f>IF(ISBLANK(D2419),"",(VLOOKUP(D2419,Cardápio!$A$2:$B$16,2,0))*E2419)</f>
        <v/>
      </c>
      <c r="H2419" s="7" t="str">
        <f t="shared" si="148"/>
        <v/>
      </c>
      <c r="I2419" s="7" t="str">
        <f>IF(AND(ISBLANK(D2419),ISBLANK(C2419)),"",((VLOOKUP(D2419,Cardápio!$A$2:$C$16,3,0))*E2419)+IF(B2419="iFood",F2419*0.27,(VLOOKUP(VENDAS!C2419,Bairros!$A$2:$B$90,2,0))))</f>
        <v/>
      </c>
      <c r="J2419" s="7" t="str">
        <f t="shared" si="149"/>
        <v/>
      </c>
      <c r="K2419" s="9">
        <f t="shared" ca="1" si="150"/>
        <v>45404.878290162036</v>
      </c>
      <c r="L2419" s="10">
        <f t="shared" ca="1" si="151"/>
        <v>45404.878290046297</v>
      </c>
    </row>
    <row r="2420" spans="6:12" x14ac:dyDescent="0.25">
      <c r="F2420" s="11" t="str">
        <f>IF(ISBLANK(D2420),"",(VLOOKUP(D2420,Cardápio!$A$2:$B$16,2,0))*E2420)</f>
        <v/>
      </c>
      <c r="H2420" s="7" t="str">
        <f t="shared" si="148"/>
        <v/>
      </c>
      <c r="I2420" s="7" t="str">
        <f>IF(AND(ISBLANK(D2420),ISBLANK(C2420)),"",((VLOOKUP(D2420,Cardápio!$A$2:$C$16,3,0))*E2420)+IF(B2420="iFood",F2420*0.27,(VLOOKUP(VENDAS!C2420,Bairros!$A$2:$B$90,2,0))))</f>
        <v/>
      </c>
      <c r="J2420" s="7" t="str">
        <f t="shared" si="149"/>
        <v/>
      </c>
      <c r="K2420" s="9">
        <f t="shared" ca="1" si="150"/>
        <v>45404.878290162036</v>
      </c>
      <c r="L2420" s="10">
        <f t="shared" ca="1" si="151"/>
        <v>45404.878290046297</v>
      </c>
    </row>
    <row r="2421" spans="6:12" x14ac:dyDescent="0.25">
      <c r="F2421" s="11" t="str">
        <f>IF(ISBLANK(D2421),"",(VLOOKUP(D2421,Cardápio!$A$2:$B$16,2,0))*E2421)</f>
        <v/>
      </c>
      <c r="H2421" s="7" t="str">
        <f t="shared" ref="H2421:H2484" si="152">IF(ISBLANK(D2421),"",F2421-G2421)</f>
        <v/>
      </c>
      <c r="I2421" s="7" t="str">
        <f>IF(AND(ISBLANK(D2421),ISBLANK(C2421)),"",((VLOOKUP(D2421,Cardápio!$A$2:$C$16,3,0))*E2421)+IF(B2421="iFood",F2421*0.27,(VLOOKUP(VENDAS!C2421,Bairros!$A$2:$B$90,2,0))))</f>
        <v/>
      </c>
      <c r="J2421" s="7" t="str">
        <f t="shared" ref="J2421:J2484" si="153">IF(OR(AND(ISBLANK(H2421),ISBLANK(I2421)),(AND(H2421="",I2421=""))),"",H2421-I2421)</f>
        <v/>
      </c>
      <c r="K2421" s="9">
        <f t="shared" ref="K2421:K2484" ca="1" si="154">IF(D2421&lt;&gt;"",K2421,NOW())</f>
        <v>45404.878290277775</v>
      </c>
      <c r="L2421" s="10">
        <f t="shared" ref="L2421:L2484" ca="1" si="155">IF(D2421&lt;&gt;"",L2421,NOW())</f>
        <v>45404.878290046297</v>
      </c>
    </row>
    <row r="2422" spans="6:12" x14ac:dyDescent="0.25">
      <c r="F2422" s="11" t="str">
        <f>IF(ISBLANK(D2422),"",(VLOOKUP(D2422,Cardápio!$A$2:$B$16,2,0))*E2422)</f>
        <v/>
      </c>
      <c r="H2422" s="7" t="str">
        <f t="shared" si="152"/>
        <v/>
      </c>
      <c r="I2422" s="7" t="str">
        <f>IF(AND(ISBLANK(D2422),ISBLANK(C2422)),"",((VLOOKUP(D2422,Cardápio!$A$2:$C$16,3,0))*E2422)+IF(B2422="iFood",F2422*0.27,(VLOOKUP(VENDAS!C2422,Bairros!$A$2:$B$90,2,0))))</f>
        <v/>
      </c>
      <c r="J2422" s="7" t="str">
        <f t="shared" si="153"/>
        <v/>
      </c>
      <c r="K2422" s="9">
        <f t="shared" ca="1" si="154"/>
        <v>45404.878290162036</v>
      </c>
      <c r="L2422" s="10">
        <f t="shared" ca="1" si="155"/>
        <v>45404.878290046297</v>
      </c>
    </row>
    <row r="2423" spans="6:12" x14ac:dyDescent="0.25">
      <c r="F2423" s="11" t="str">
        <f>IF(ISBLANK(D2423),"",(VLOOKUP(D2423,Cardápio!$A$2:$B$16,2,0))*E2423)</f>
        <v/>
      </c>
      <c r="H2423" s="7" t="str">
        <f t="shared" si="152"/>
        <v/>
      </c>
      <c r="I2423" s="7" t="str">
        <f>IF(AND(ISBLANK(D2423),ISBLANK(C2423)),"",((VLOOKUP(D2423,Cardápio!$A$2:$C$16,3,0))*E2423)+IF(B2423="iFood",F2423*0.27,(VLOOKUP(VENDAS!C2423,Bairros!$A$2:$B$90,2,0))))</f>
        <v/>
      </c>
      <c r="J2423" s="7" t="str">
        <f t="shared" si="153"/>
        <v/>
      </c>
      <c r="K2423" s="9">
        <f t="shared" ca="1" si="154"/>
        <v>45404.878290162036</v>
      </c>
      <c r="L2423" s="10">
        <f t="shared" ca="1" si="155"/>
        <v>45404.878290046297</v>
      </c>
    </row>
    <row r="2424" spans="6:12" x14ac:dyDescent="0.25">
      <c r="F2424" s="11" t="str">
        <f>IF(ISBLANK(D2424),"",(VLOOKUP(D2424,Cardápio!$A$2:$B$16,2,0))*E2424)</f>
        <v/>
      </c>
      <c r="H2424" s="7" t="str">
        <f t="shared" si="152"/>
        <v/>
      </c>
      <c r="I2424" s="7" t="str">
        <f>IF(AND(ISBLANK(D2424),ISBLANK(C2424)),"",((VLOOKUP(D2424,Cardápio!$A$2:$C$16,3,0))*E2424)+IF(B2424="iFood",F2424*0.27,(VLOOKUP(VENDAS!C2424,Bairros!$A$2:$B$90,2,0))))</f>
        <v/>
      </c>
      <c r="J2424" s="7" t="str">
        <f t="shared" si="153"/>
        <v/>
      </c>
      <c r="K2424" s="9">
        <f t="shared" ca="1" si="154"/>
        <v>45404.878290162036</v>
      </c>
      <c r="L2424" s="10">
        <f t="shared" ca="1" si="155"/>
        <v>45404.878290046297</v>
      </c>
    </row>
    <row r="2425" spans="6:12" x14ac:dyDescent="0.25">
      <c r="F2425" s="11" t="str">
        <f>IF(ISBLANK(D2425),"",(VLOOKUP(D2425,Cardápio!$A$2:$B$16,2,0))*E2425)</f>
        <v/>
      </c>
      <c r="H2425" s="7" t="str">
        <f t="shared" si="152"/>
        <v/>
      </c>
      <c r="I2425" s="7" t="str">
        <f>IF(AND(ISBLANK(D2425),ISBLANK(C2425)),"",((VLOOKUP(D2425,Cardápio!$A$2:$C$16,3,0))*E2425)+IF(B2425="iFood",F2425*0.27,(VLOOKUP(VENDAS!C2425,Bairros!$A$2:$B$90,2,0))))</f>
        <v/>
      </c>
      <c r="J2425" s="7" t="str">
        <f t="shared" si="153"/>
        <v/>
      </c>
      <c r="K2425" s="9">
        <f t="shared" ca="1" si="154"/>
        <v>45404.878290277775</v>
      </c>
      <c r="L2425" s="10">
        <f t="shared" ca="1" si="155"/>
        <v>45404.878290046297</v>
      </c>
    </row>
    <row r="2426" spans="6:12" x14ac:dyDescent="0.25">
      <c r="F2426" s="11" t="str">
        <f>IF(ISBLANK(D2426),"",(VLOOKUP(D2426,Cardápio!$A$2:$B$16,2,0))*E2426)</f>
        <v/>
      </c>
      <c r="H2426" s="7" t="str">
        <f t="shared" si="152"/>
        <v/>
      </c>
      <c r="I2426" s="7" t="str">
        <f>IF(AND(ISBLANK(D2426),ISBLANK(C2426)),"",((VLOOKUP(D2426,Cardápio!$A$2:$C$16,3,0))*E2426)+IF(B2426="iFood",F2426*0.27,(VLOOKUP(VENDAS!C2426,Bairros!$A$2:$B$90,2,0))))</f>
        <v/>
      </c>
      <c r="J2426" s="7" t="str">
        <f t="shared" si="153"/>
        <v/>
      </c>
      <c r="K2426" s="9">
        <f t="shared" ca="1" si="154"/>
        <v>45404.878290162036</v>
      </c>
      <c r="L2426" s="10">
        <f t="shared" ca="1" si="155"/>
        <v>45404.878290046297</v>
      </c>
    </row>
    <row r="2427" spans="6:12" x14ac:dyDescent="0.25">
      <c r="F2427" s="11" t="str">
        <f>IF(ISBLANK(D2427),"",(VLOOKUP(D2427,Cardápio!$A$2:$B$16,2,0))*E2427)</f>
        <v/>
      </c>
      <c r="H2427" s="7" t="str">
        <f t="shared" si="152"/>
        <v/>
      </c>
      <c r="I2427" s="7" t="str">
        <f>IF(AND(ISBLANK(D2427),ISBLANK(C2427)),"",((VLOOKUP(D2427,Cardápio!$A$2:$C$16,3,0))*E2427)+IF(B2427="iFood",F2427*0.27,(VLOOKUP(VENDAS!C2427,Bairros!$A$2:$B$90,2,0))))</f>
        <v/>
      </c>
      <c r="J2427" s="7" t="str">
        <f t="shared" si="153"/>
        <v/>
      </c>
      <c r="K2427" s="9">
        <f t="shared" ca="1" si="154"/>
        <v>45404.878290162036</v>
      </c>
      <c r="L2427" s="10">
        <f t="shared" ca="1" si="155"/>
        <v>45404.878290046297</v>
      </c>
    </row>
    <row r="2428" spans="6:12" x14ac:dyDescent="0.25">
      <c r="F2428" s="11" t="str">
        <f>IF(ISBLANK(D2428),"",(VLOOKUP(D2428,Cardápio!$A$2:$B$16,2,0))*E2428)</f>
        <v/>
      </c>
      <c r="H2428" s="7" t="str">
        <f t="shared" si="152"/>
        <v/>
      </c>
      <c r="I2428" s="7" t="str">
        <f>IF(AND(ISBLANK(D2428),ISBLANK(C2428)),"",((VLOOKUP(D2428,Cardápio!$A$2:$C$16,3,0))*E2428)+IF(B2428="iFood",F2428*0.27,(VLOOKUP(VENDAS!C2428,Bairros!$A$2:$B$90,2,0))))</f>
        <v/>
      </c>
      <c r="J2428" s="7" t="str">
        <f t="shared" si="153"/>
        <v/>
      </c>
      <c r="K2428" s="9">
        <f t="shared" ca="1" si="154"/>
        <v>45404.878290162036</v>
      </c>
      <c r="L2428" s="10">
        <f t="shared" ca="1" si="155"/>
        <v>45404.878290046297</v>
      </c>
    </row>
    <row r="2429" spans="6:12" x14ac:dyDescent="0.25">
      <c r="F2429" s="11" t="str">
        <f>IF(ISBLANK(D2429),"",(VLOOKUP(D2429,Cardápio!$A$2:$B$16,2,0))*E2429)</f>
        <v/>
      </c>
      <c r="H2429" s="7" t="str">
        <f t="shared" si="152"/>
        <v/>
      </c>
      <c r="I2429" s="7" t="str">
        <f>IF(AND(ISBLANK(D2429),ISBLANK(C2429)),"",((VLOOKUP(D2429,Cardápio!$A$2:$C$16,3,0))*E2429)+IF(B2429="iFood",F2429*0.27,(VLOOKUP(VENDAS!C2429,Bairros!$A$2:$B$90,2,0))))</f>
        <v/>
      </c>
      <c r="J2429" s="7" t="str">
        <f t="shared" si="153"/>
        <v/>
      </c>
      <c r="K2429" s="9">
        <f t="shared" ca="1" si="154"/>
        <v>45404.878290277775</v>
      </c>
      <c r="L2429" s="10">
        <f t="shared" ca="1" si="155"/>
        <v>45404.878290046297</v>
      </c>
    </row>
    <row r="2430" spans="6:12" x14ac:dyDescent="0.25">
      <c r="F2430" s="11" t="str">
        <f>IF(ISBLANK(D2430),"",(VLOOKUP(D2430,Cardápio!$A$2:$B$16,2,0))*E2430)</f>
        <v/>
      </c>
      <c r="H2430" s="7" t="str">
        <f t="shared" si="152"/>
        <v/>
      </c>
      <c r="I2430" s="7" t="str">
        <f>IF(AND(ISBLANK(D2430),ISBLANK(C2430)),"",((VLOOKUP(D2430,Cardápio!$A$2:$C$16,3,0))*E2430)+IF(B2430="iFood",F2430*0.27,(VLOOKUP(VENDAS!C2430,Bairros!$A$2:$B$90,2,0))))</f>
        <v/>
      </c>
      <c r="J2430" s="7" t="str">
        <f t="shared" si="153"/>
        <v/>
      </c>
      <c r="K2430" s="9">
        <f t="shared" ca="1" si="154"/>
        <v>45404.878290162036</v>
      </c>
      <c r="L2430" s="10">
        <f t="shared" ca="1" si="155"/>
        <v>45404.878290046297</v>
      </c>
    </row>
    <row r="2431" spans="6:12" x14ac:dyDescent="0.25">
      <c r="F2431" s="11" t="str">
        <f>IF(ISBLANK(D2431),"",(VLOOKUP(D2431,Cardápio!$A$2:$B$16,2,0))*E2431)</f>
        <v/>
      </c>
      <c r="H2431" s="7" t="str">
        <f t="shared" si="152"/>
        <v/>
      </c>
      <c r="I2431" s="7" t="str">
        <f>IF(AND(ISBLANK(D2431),ISBLANK(C2431)),"",((VLOOKUP(D2431,Cardápio!$A$2:$C$16,3,0))*E2431)+IF(B2431="iFood",F2431*0.27,(VLOOKUP(VENDAS!C2431,Bairros!$A$2:$B$90,2,0))))</f>
        <v/>
      </c>
      <c r="J2431" s="7" t="str">
        <f t="shared" si="153"/>
        <v/>
      </c>
      <c r="K2431" s="9">
        <f t="shared" ca="1" si="154"/>
        <v>45404.878290162036</v>
      </c>
      <c r="L2431" s="10">
        <f t="shared" ca="1" si="155"/>
        <v>45404.878290046297</v>
      </c>
    </row>
    <row r="2432" spans="6:12" x14ac:dyDescent="0.25">
      <c r="F2432" s="11" t="str">
        <f>IF(ISBLANK(D2432),"",(VLOOKUP(D2432,Cardápio!$A$2:$B$16,2,0))*E2432)</f>
        <v/>
      </c>
      <c r="H2432" s="7" t="str">
        <f t="shared" si="152"/>
        <v/>
      </c>
      <c r="I2432" s="7" t="str">
        <f>IF(AND(ISBLANK(D2432),ISBLANK(C2432)),"",((VLOOKUP(D2432,Cardápio!$A$2:$C$16,3,0))*E2432)+IF(B2432="iFood",F2432*0.27,(VLOOKUP(VENDAS!C2432,Bairros!$A$2:$B$90,2,0))))</f>
        <v/>
      </c>
      <c r="J2432" s="7" t="str">
        <f t="shared" si="153"/>
        <v/>
      </c>
      <c r="K2432" s="9">
        <f t="shared" ca="1" si="154"/>
        <v>45404.878290162036</v>
      </c>
      <c r="L2432" s="10">
        <f t="shared" ca="1" si="155"/>
        <v>45404.878290046297</v>
      </c>
    </row>
    <row r="2433" spans="6:12" x14ac:dyDescent="0.25">
      <c r="F2433" s="11" t="str">
        <f>IF(ISBLANK(D2433),"",(VLOOKUP(D2433,Cardápio!$A$2:$B$16,2,0))*E2433)</f>
        <v/>
      </c>
      <c r="H2433" s="7" t="str">
        <f t="shared" si="152"/>
        <v/>
      </c>
      <c r="I2433" s="7" t="str">
        <f>IF(AND(ISBLANK(D2433),ISBLANK(C2433)),"",((VLOOKUP(D2433,Cardápio!$A$2:$C$16,3,0))*E2433)+IF(B2433="iFood",F2433*0.27,(VLOOKUP(VENDAS!C2433,Bairros!$A$2:$B$90,2,0))))</f>
        <v/>
      </c>
      <c r="J2433" s="7" t="str">
        <f t="shared" si="153"/>
        <v/>
      </c>
      <c r="K2433" s="9">
        <f t="shared" ca="1" si="154"/>
        <v>45404.878290277775</v>
      </c>
      <c r="L2433" s="10">
        <f t="shared" ca="1" si="155"/>
        <v>45404.878290046297</v>
      </c>
    </row>
    <row r="2434" spans="6:12" x14ac:dyDescent="0.25">
      <c r="F2434" s="11" t="str">
        <f>IF(ISBLANK(D2434),"",(VLOOKUP(D2434,Cardápio!$A$2:$B$16,2,0))*E2434)</f>
        <v/>
      </c>
      <c r="H2434" s="7" t="str">
        <f t="shared" si="152"/>
        <v/>
      </c>
      <c r="I2434" s="7" t="str">
        <f>IF(AND(ISBLANK(D2434),ISBLANK(C2434)),"",((VLOOKUP(D2434,Cardápio!$A$2:$C$16,3,0))*E2434)+IF(B2434="iFood",F2434*0.27,(VLOOKUP(VENDAS!C2434,Bairros!$A$2:$B$90,2,0))))</f>
        <v/>
      </c>
      <c r="J2434" s="7" t="str">
        <f t="shared" si="153"/>
        <v/>
      </c>
      <c r="K2434" s="9">
        <f t="shared" ca="1" si="154"/>
        <v>45404.878290162036</v>
      </c>
      <c r="L2434" s="10">
        <f t="shared" ca="1" si="155"/>
        <v>45404.878290046297</v>
      </c>
    </row>
    <row r="2435" spans="6:12" x14ac:dyDescent="0.25">
      <c r="F2435" s="11" t="str">
        <f>IF(ISBLANK(D2435),"",(VLOOKUP(D2435,Cardápio!$A$2:$B$16,2,0))*E2435)</f>
        <v/>
      </c>
      <c r="H2435" s="7" t="str">
        <f t="shared" si="152"/>
        <v/>
      </c>
      <c r="I2435" s="7" t="str">
        <f>IF(AND(ISBLANK(D2435),ISBLANK(C2435)),"",((VLOOKUP(D2435,Cardápio!$A$2:$C$16,3,0))*E2435)+IF(B2435="iFood",F2435*0.27,(VLOOKUP(VENDAS!C2435,Bairros!$A$2:$B$90,2,0))))</f>
        <v/>
      </c>
      <c r="J2435" s="7" t="str">
        <f t="shared" si="153"/>
        <v/>
      </c>
      <c r="K2435" s="9">
        <f t="shared" ca="1" si="154"/>
        <v>45404.878290162036</v>
      </c>
      <c r="L2435" s="10">
        <f t="shared" ca="1" si="155"/>
        <v>45404.878290046297</v>
      </c>
    </row>
    <row r="2436" spans="6:12" x14ac:dyDescent="0.25">
      <c r="F2436" s="11" t="str">
        <f>IF(ISBLANK(D2436),"",(VLOOKUP(D2436,Cardápio!$A$2:$B$16,2,0))*E2436)</f>
        <v/>
      </c>
      <c r="H2436" s="7" t="str">
        <f t="shared" si="152"/>
        <v/>
      </c>
      <c r="I2436" s="7" t="str">
        <f>IF(AND(ISBLANK(D2436),ISBLANK(C2436)),"",((VLOOKUP(D2436,Cardápio!$A$2:$C$16,3,0))*E2436)+IF(B2436="iFood",F2436*0.27,(VLOOKUP(VENDAS!C2436,Bairros!$A$2:$B$90,2,0))))</f>
        <v/>
      </c>
      <c r="J2436" s="7" t="str">
        <f t="shared" si="153"/>
        <v/>
      </c>
      <c r="K2436" s="9">
        <f t="shared" ca="1" si="154"/>
        <v>45404.878290162036</v>
      </c>
      <c r="L2436" s="10">
        <f t="shared" ca="1" si="155"/>
        <v>45404.878290046297</v>
      </c>
    </row>
    <row r="2437" spans="6:12" x14ac:dyDescent="0.25">
      <c r="F2437" s="11" t="str">
        <f>IF(ISBLANK(D2437),"",(VLOOKUP(D2437,Cardápio!$A$2:$B$16,2,0))*E2437)</f>
        <v/>
      </c>
      <c r="H2437" s="7" t="str">
        <f t="shared" si="152"/>
        <v/>
      </c>
      <c r="I2437" s="7" t="str">
        <f>IF(AND(ISBLANK(D2437),ISBLANK(C2437)),"",((VLOOKUP(D2437,Cardápio!$A$2:$C$16,3,0))*E2437)+IF(B2437="iFood",F2437*0.27,(VLOOKUP(VENDAS!C2437,Bairros!$A$2:$B$90,2,0))))</f>
        <v/>
      </c>
      <c r="J2437" s="7" t="str">
        <f t="shared" si="153"/>
        <v/>
      </c>
      <c r="K2437" s="9">
        <f t="shared" ca="1" si="154"/>
        <v>45404.878290277775</v>
      </c>
      <c r="L2437" s="10">
        <f t="shared" ca="1" si="155"/>
        <v>45404.878290046297</v>
      </c>
    </row>
    <row r="2438" spans="6:12" x14ac:dyDescent="0.25">
      <c r="F2438" s="11" t="str">
        <f>IF(ISBLANK(D2438),"",(VLOOKUP(D2438,Cardápio!$A$2:$B$16,2,0))*E2438)</f>
        <v/>
      </c>
      <c r="H2438" s="7" t="str">
        <f t="shared" si="152"/>
        <v/>
      </c>
      <c r="I2438" s="7" t="str">
        <f>IF(AND(ISBLANK(D2438),ISBLANK(C2438)),"",((VLOOKUP(D2438,Cardápio!$A$2:$C$16,3,0))*E2438)+IF(B2438="iFood",F2438*0.27,(VLOOKUP(VENDAS!C2438,Bairros!$A$2:$B$90,2,0))))</f>
        <v/>
      </c>
      <c r="J2438" s="7" t="str">
        <f t="shared" si="153"/>
        <v/>
      </c>
      <c r="K2438" s="9">
        <f t="shared" ca="1" si="154"/>
        <v>45404.878290162036</v>
      </c>
      <c r="L2438" s="10">
        <f t="shared" ca="1" si="155"/>
        <v>45404.878290046297</v>
      </c>
    </row>
    <row r="2439" spans="6:12" x14ac:dyDescent="0.25">
      <c r="F2439" s="11" t="str">
        <f>IF(ISBLANK(D2439),"",(VLOOKUP(D2439,Cardápio!$A$2:$B$16,2,0))*E2439)</f>
        <v/>
      </c>
      <c r="H2439" s="7" t="str">
        <f t="shared" si="152"/>
        <v/>
      </c>
      <c r="I2439" s="7" t="str">
        <f>IF(AND(ISBLANK(D2439),ISBLANK(C2439)),"",((VLOOKUP(D2439,Cardápio!$A$2:$C$16,3,0))*E2439)+IF(B2439="iFood",F2439*0.27,(VLOOKUP(VENDAS!C2439,Bairros!$A$2:$B$90,2,0))))</f>
        <v/>
      </c>
      <c r="J2439" s="7" t="str">
        <f t="shared" si="153"/>
        <v/>
      </c>
      <c r="K2439" s="9">
        <f t="shared" ca="1" si="154"/>
        <v>45404.878290162036</v>
      </c>
      <c r="L2439" s="10">
        <f t="shared" ca="1" si="155"/>
        <v>45404.878290046297</v>
      </c>
    </row>
    <row r="2440" spans="6:12" x14ac:dyDescent="0.25">
      <c r="F2440" s="11" t="str">
        <f>IF(ISBLANK(D2440),"",(VLOOKUP(D2440,Cardápio!$A$2:$B$16,2,0))*E2440)</f>
        <v/>
      </c>
      <c r="H2440" s="7" t="str">
        <f t="shared" si="152"/>
        <v/>
      </c>
      <c r="I2440" s="7" t="str">
        <f>IF(AND(ISBLANK(D2440),ISBLANK(C2440)),"",((VLOOKUP(D2440,Cardápio!$A$2:$C$16,3,0))*E2440)+IF(B2440="iFood",F2440*0.27,(VLOOKUP(VENDAS!C2440,Bairros!$A$2:$B$90,2,0))))</f>
        <v/>
      </c>
      <c r="J2440" s="7" t="str">
        <f t="shared" si="153"/>
        <v/>
      </c>
      <c r="K2440" s="9">
        <f t="shared" ca="1" si="154"/>
        <v>45404.878290162036</v>
      </c>
      <c r="L2440" s="10">
        <f t="shared" ca="1" si="155"/>
        <v>45404.878290046297</v>
      </c>
    </row>
    <row r="2441" spans="6:12" x14ac:dyDescent="0.25">
      <c r="F2441" s="11" t="str">
        <f>IF(ISBLANK(D2441),"",(VLOOKUP(D2441,Cardápio!$A$2:$B$16,2,0))*E2441)</f>
        <v/>
      </c>
      <c r="H2441" s="7" t="str">
        <f t="shared" si="152"/>
        <v/>
      </c>
      <c r="I2441" s="7" t="str">
        <f>IF(AND(ISBLANK(D2441),ISBLANK(C2441)),"",((VLOOKUP(D2441,Cardápio!$A$2:$C$16,3,0))*E2441)+IF(B2441="iFood",F2441*0.27,(VLOOKUP(VENDAS!C2441,Bairros!$A$2:$B$90,2,0))))</f>
        <v/>
      </c>
      <c r="J2441" s="7" t="str">
        <f t="shared" si="153"/>
        <v/>
      </c>
      <c r="K2441" s="9">
        <f t="shared" ca="1" si="154"/>
        <v>45404.878290277775</v>
      </c>
      <c r="L2441" s="10">
        <f t="shared" ca="1" si="155"/>
        <v>45404.878290046297</v>
      </c>
    </row>
    <row r="2442" spans="6:12" x14ac:dyDescent="0.25">
      <c r="F2442" s="11" t="str">
        <f>IF(ISBLANK(D2442),"",(VLOOKUP(D2442,Cardápio!$A$2:$B$16,2,0))*E2442)</f>
        <v/>
      </c>
      <c r="H2442" s="7" t="str">
        <f t="shared" si="152"/>
        <v/>
      </c>
      <c r="I2442" s="7" t="str">
        <f>IF(AND(ISBLANK(D2442),ISBLANK(C2442)),"",((VLOOKUP(D2442,Cardápio!$A$2:$C$16,3,0))*E2442)+IF(B2442="iFood",F2442*0.27,(VLOOKUP(VENDAS!C2442,Bairros!$A$2:$B$90,2,0))))</f>
        <v/>
      </c>
      <c r="J2442" s="7" t="str">
        <f t="shared" si="153"/>
        <v/>
      </c>
      <c r="K2442" s="9">
        <f t="shared" ca="1" si="154"/>
        <v>45404.878290162036</v>
      </c>
      <c r="L2442" s="10">
        <f t="shared" ca="1" si="155"/>
        <v>45404.878290046297</v>
      </c>
    </row>
    <row r="2443" spans="6:12" x14ac:dyDescent="0.25">
      <c r="F2443" s="11" t="str">
        <f>IF(ISBLANK(D2443),"",(VLOOKUP(D2443,Cardápio!$A$2:$B$16,2,0))*E2443)</f>
        <v/>
      </c>
      <c r="H2443" s="7" t="str">
        <f t="shared" si="152"/>
        <v/>
      </c>
      <c r="I2443" s="7" t="str">
        <f>IF(AND(ISBLANK(D2443),ISBLANK(C2443)),"",((VLOOKUP(D2443,Cardápio!$A$2:$C$16,3,0))*E2443)+IF(B2443="iFood",F2443*0.27,(VLOOKUP(VENDAS!C2443,Bairros!$A$2:$B$90,2,0))))</f>
        <v/>
      </c>
      <c r="J2443" s="7" t="str">
        <f t="shared" si="153"/>
        <v/>
      </c>
      <c r="K2443" s="9">
        <f t="shared" ca="1" si="154"/>
        <v>45404.878290162036</v>
      </c>
      <c r="L2443" s="10">
        <f t="shared" ca="1" si="155"/>
        <v>45404.878290046297</v>
      </c>
    </row>
    <row r="2444" spans="6:12" x14ac:dyDescent="0.25">
      <c r="F2444" s="11" t="str">
        <f>IF(ISBLANK(D2444),"",(VLOOKUP(D2444,Cardápio!$A$2:$B$16,2,0))*E2444)</f>
        <v/>
      </c>
      <c r="H2444" s="7" t="str">
        <f t="shared" si="152"/>
        <v/>
      </c>
      <c r="I2444" s="7" t="str">
        <f>IF(AND(ISBLANK(D2444),ISBLANK(C2444)),"",((VLOOKUP(D2444,Cardápio!$A$2:$C$16,3,0))*E2444)+IF(B2444="iFood",F2444*0.27,(VLOOKUP(VENDAS!C2444,Bairros!$A$2:$B$90,2,0))))</f>
        <v/>
      </c>
      <c r="J2444" s="7" t="str">
        <f t="shared" si="153"/>
        <v/>
      </c>
      <c r="K2444" s="9">
        <f t="shared" ca="1" si="154"/>
        <v>45404.878290162036</v>
      </c>
      <c r="L2444" s="10">
        <f t="shared" ca="1" si="155"/>
        <v>45404.878290046297</v>
      </c>
    </row>
    <row r="2445" spans="6:12" x14ac:dyDescent="0.25">
      <c r="F2445" s="11" t="str">
        <f>IF(ISBLANK(D2445),"",(VLOOKUP(D2445,Cardápio!$A$2:$B$16,2,0))*E2445)</f>
        <v/>
      </c>
      <c r="H2445" s="7" t="str">
        <f t="shared" si="152"/>
        <v/>
      </c>
      <c r="I2445" s="7" t="str">
        <f>IF(AND(ISBLANK(D2445),ISBLANK(C2445)),"",((VLOOKUP(D2445,Cardápio!$A$2:$C$16,3,0))*E2445)+IF(B2445="iFood",F2445*0.27,(VLOOKUP(VENDAS!C2445,Bairros!$A$2:$B$90,2,0))))</f>
        <v/>
      </c>
      <c r="J2445" s="7" t="str">
        <f t="shared" si="153"/>
        <v/>
      </c>
      <c r="K2445" s="9">
        <f t="shared" ca="1" si="154"/>
        <v>45404.878290277775</v>
      </c>
      <c r="L2445" s="10">
        <f t="shared" ca="1" si="155"/>
        <v>45404.878290046297</v>
      </c>
    </row>
    <row r="2446" spans="6:12" x14ac:dyDescent="0.25">
      <c r="F2446" s="11" t="str">
        <f>IF(ISBLANK(D2446),"",(VLOOKUP(D2446,Cardápio!$A$2:$B$16,2,0))*E2446)</f>
        <v/>
      </c>
      <c r="H2446" s="7" t="str">
        <f t="shared" si="152"/>
        <v/>
      </c>
      <c r="I2446" s="7" t="str">
        <f>IF(AND(ISBLANK(D2446),ISBLANK(C2446)),"",((VLOOKUP(D2446,Cardápio!$A$2:$C$16,3,0))*E2446)+IF(B2446="iFood",F2446*0.27,(VLOOKUP(VENDAS!C2446,Bairros!$A$2:$B$90,2,0))))</f>
        <v/>
      </c>
      <c r="J2446" s="7" t="str">
        <f t="shared" si="153"/>
        <v/>
      </c>
      <c r="K2446" s="9">
        <f t="shared" ca="1" si="154"/>
        <v>45404.878290162036</v>
      </c>
      <c r="L2446" s="10">
        <f t="shared" ca="1" si="155"/>
        <v>45404.878290046297</v>
      </c>
    </row>
    <row r="2447" spans="6:12" x14ac:dyDescent="0.25">
      <c r="F2447" s="11" t="str">
        <f>IF(ISBLANK(D2447),"",(VLOOKUP(D2447,Cardápio!$A$2:$B$16,2,0))*E2447)</f>
        <v/>
      </c>
      <c r="H2447" s="7" t="str">
        <f t="shared" si="152"/>
        <v/>
      </c>
      <c r="I2447" s="7" t="str">
        <f>IF(AND(ISBLANK(D2447),ISBLANK(C2447)),"",((VLOOKUP(D2447,Cardápio!$A$2:$C$16,3,0))*E2447)+IF(B2447="iFood",F2447*0.27,(VLOOKUP(VENDAS!C2447,Bairros!$A$2:$B$90,2,0))))</f>
        <v/>
      </c>
      <c r="J2447" s="7" t="str">
        <f t="shared" si="153"/>
        <v/>
      </c>
      <c r="K2447" s="9">
        <f t="shared" ca="1" si="154"/>
        <v>45404.878290162036</v>
      </c>
      <c r="L2447" s="10">
        <f t="shared" ca="1" si="155"/>
        <v>45404.878290046297</v>
      </c>
    </row>
    <row r="2448" spans="6:12" x14ac:dyDescent="0.25">
      <c r="F2448" s="11" t="str">
        <f>IF(ISBLANK(D2448),"",(VLOOKUP(D2448,Cardápio!$A$2:$B$16,2,0))*E2448)</f>
        <v/>
      </c>
      <c r="H2448" s="7" t="str">
        <f t="shared" si="152"/>
        <v/>
      </c>
      <c r="I2448" s="7" t="str">
        <f>IF(AND(ISBLANK(D2448),ISBLANK(C2448)),"",((VLOOKUP(D2448,Cardápio!$A$2:$C$16,3,0))*E2448)+IF(B2448="iFood",F2448*0.27,(VLOOKUP(VENDAS!C2448,Bairros!$A$2:$B$90,2,0))))</f>
        <v/>
      </c>
      <c r="J2448" s="7" t="str">
        <f t="shared" si="153"/>
        <v/>
      </c>
      <c r="K2448" s="9">
        <f t="shared" ca="1" si="154"/>
        <v>45404.878290162036</v>
      </c>
      <c r="L2448" s="10">
        <f t="shared" ca="1" si="155"/>
        <v>45404.878290046297</v>
      </c>
    </row>
    <row r="2449" spans="6:12" x14ac:dyDescent="0.25">
      <c r="F2449" s="11" t="str">
        <f>IF(ISBLANK(D2449),"",(VLOOKUP(D2449,Cardápio!$A$2:$B$16,2,0))*E2449)</f>
        <v/>
      </c>
      <c r="H2449" s="7" t="str">
        <f t="shared" si="152"/>
        <v/>
      </c>
      <c r="I2449" s="7" t="str">
        <f>IF(AND(ISBLANK(D2449),ISBLANK(C2449)),"",((VLOOKUP(D2449,Cardápio!$A$2:$C$16,3,0))*E2449)+IF(B2449="iFood",F2449*0.27,(VLOOKUP(VENDAS!C2449,Bairros!$A$2:$B$90,2,0))))</f>
        <v/>
      </c>
      <c r="J2449" s="7" t="str">
        <f t="shared" si="153"/>
        <v/>
      </c>
      <c r="K2449" s="9">
        <f t="shared" ca="1" si="154"/>
        <v>45404.878290277775</v>
      </c>
      <c r="L2449" s="10">
        <f t="shared" ca="1" si="155"/>
        <v>45404.878290046297</v>
      </c>
    </row>
    <row r="2450" spans="6:12" x14ac:dyDescent="0.25">
      <c r="F2450" s="11" t="str">
        <f>IF(ISBLANK(D2450),"",(VLOOKUP(D2450,Cardápio!$A$2:$B$16,2,0))*E2450)</f>
        <v/>
      </c>
      <c r="H2450" s="7" t="str">
        <f t="shared" si="152"/>
        <v/>
      </c>
      <c r="I2450" s="7" t="str">
        <f>IF(AND(ISBLANK(D2450),ISBLANK(C2450)),"",((VLOOKUP(D2450,Cardápio!$A$2:$C$16,3,0))*E2450)+IF(B2450="iFood",F2450*0.27,(VLOOKUP(VENDAS!C2450,Bairros!$A$2:$B$90,2,0))))</f>
        <v/>
      </c>
      <c r="J2450" s="7" t="str">
        <f t="shared" si="153"/>
        <v/>
      </c>
      <c r="K2450" s="9">
        <f t="shared" ca="1" si="154"/>
        <v>45404.878290162036</v>
      </c>
      <c r="L2450" s="10">
        <f t="shared" ca="1" si="155"/>
        <v>45404.878290046297</v>
      </c>
    </row>
    <row r="2451" spans="6:12" x14ac:dyDescent="0.25">
      <c r="F2451" s="11" t="str">
        <f>IF(ISBLANK(D2451),"",(VLOOKUP(D2451,Cardápio!$A$2:$B$16,2,0))*E2451)</f>
        <v/>
      </c>
      <c r="H2451" s="7" t="str">
        <f t="shared" si="152"/>
        <v/>
      </c>
      <c r="I2451" s="7" t="str">
        <f>IF(AND(ISBLANK(D2451),ISBLANK(C2451)),"",((VLOOKUP(D2451,Cardápio!$A$2:$C$16,3,0))*E2451)+IF(B2451="iFood",F2451*0.27,(VLOOKUP(VENDAS!C2451,Bairros!$A$2:$B$90,2,0))))</f>
        <v/>
      </c>
      <c r="J2451" s="7" t="str">
        <f t="shared" si="153"/>
        <v/>
      </c>
      <c r="K2451" s="9">
        <f t="shared" ca="1" si="154"/>
        <v>45404.878290162036</v>
      </c>
      <c r="L2451" s="10">
        <f t="shared" ca="1" si="155"/>
        <v>45404.878290046297</v>
      </c>
    </row>
    <row r="2452" spans="6:12" x14ac:dyDescent="0.25">
      <c r="F2452" s="11" t="str">
        <f>IF(ISBLANK(D2452),"",(VLOOKUP(D2452,Cardápio!$A$2:$B$16,2,0))*E2452)</f>
        <v/>
      </c>
      <c r="H2452" s="7" t="str">
        <f t="shared" si="152"/>
        <v/>
      </c>
      <c r="I2452" s="7" t="str">
        <f>IF(AND(ISBLANK(D2452),ISBLANK(C2452)),"",((VLOOKUP(D2452,Cardápio!$A$2:$C$16,3,0))*E2452)+IF(B2452="iFood",F2452*0.27,(VLOOKUP(VENDAS!C2452,Bairros!$A$2:$B$90,2,0))))</f>
        <v/>
      </c>
      <c r="J2452" s="7" t="str">
        <f t="shared" si="153"/>
        <v/>
      </c>
      <c r="K2452" s="9">
        <f t="shared" ca="1" si="154"/>
        <v>45404.878290162036</v>
      </c>
      <c r="L2452" s="10">
        <f t="shared" ca="1" si="155"/>
        <v>45404.878290046297</v>
      </c>
    </row>
    <row r="2453" spans="6:12" x14ac:dyDescent="0.25">
      <c r="F2453" s="11" t="str">
        <f>IF(ISBLANK(D2453),"",(VLOOKUP(D2453,Cardápio!$A$2:$B$16,2,0))*E2453)</f>
        <v/>
      </c>
      <c r="H2453" s="7" t="str">
        <f t="shared" si="152"/>
        <v/>
      </c>
      <c r="I2453" s="7" t="str">
        <f>IF(AND(ISBLANK(D2453),ISBLANK(C2453)),"",((VLOOKUP(D2453,Cardápio!$A$2:$C$16,3,0))*E2453)+IF(B2453="iFood",F2453*0.27,(VLOOKUP(VENDAS!C2453,Bairros!$A$2:$B$90,2,0))))</f>
        <v/>
      </c>
      <c r="J2453" s="7" t="str">
        <f t="shared" si="153"/>
        <v/>
      </c>
      <c r="K2453" s="9">
        <f t="shared" ca="1" si="154"/>
        <v>45404.878290277775</v>
      </c>
      <c r="L2453" s="10">
        <f t="shared" ca="1" si="155"/>
        <v>45404.878290046297</v>
      </c>
    </row>
    <row r="2454" spans="6:12" x14ac:dyDescent="0.25">
      <c r="F2454" s="11" t="str">
        <f>IF(ISBLANK(D2454),"",(VLOOKUP(D2454,Cardápio!$A$2:$B$16,2,0))*E2454)</f>
        <v/>
      </c>
      <c r="H2454" s="7" t="str">
        <f t="shared" si="152"/>
        <v/>
      </c>
      <c r="I2454" s="7" t="str">
        <f>IF(AND(ISBLANK(D2454),ISBLANK(C2454)),"",((VLOOKUP(D2454,Cardápio!$A$2:$C$16,3,0))*E2454)+IF(B2454="iFood",F2454*0.27,(VLOOKUP(VENDAS!C2454,Bairros!$A$2:$B$90,2,0))))</f>
        <v/>
      </c>
      <c r="J2454" s="7" t="str">
        <f t="shared" si="153"/>
        <v/>
      </c>
      <c r="K2454" s="9">
        <f t="shared" ca="1" si="154"/>
        <v>45404.878290162036</v>
      </c>
      <c r="L2454" s="10">
        <f t="shared" ca="1" si="155"/>
        <v>45404.878290046297</v>
      </c>
    </row>
    <row r="2455" spans="6:12" x14ac:dyDescent="0.25">
      <c r="F2455" s="11" t="str">
        <f>IF(ISBLANK(D2455),"",(VLOOKUP(D2455,Cardápio!$A$2:$B$16,2,0))*E2455)</f>
        <v/>
      </c>
      <c r="H2455" s="7" t="str">
        <f t="shared" si="152"/>
        <v/>
      </c>
      <c r="I2455" s="7" t="str">
        <f>IF(AND(ISBLANK(D2455),ISBLANK(C2455)),"",((VLOOKUP(D2455,Cardápio!$A$2:$C$16,3,0))*E2455)+IF(B2455="iFood",F2455*0.27,(VLOOKUP(VENDAS!C2455,Bairros!$A$2:$B$90,2,0))))</f>
        <v/>
      </c>
      <c r="J2455" s="7" t="str">
        <f t="shared" si="153"/>
        <v/>
      </c>
      <c r="K2455" s="9">
        <f t="shared" ca="1" si="154"/>
        <v>45404.878290162036</v>
      </c>
      <c r="L2455" s="10">
        <f t="shared" ca="1" si="155"/>
        <v>45404.878290046297</v>
      </c>
    </row>
    <row r="2456" spans="6:12" x14ac:dyDescent="0.25">
      <c r="F2456" s="11" t="str">
        <f>IF(ISBLANK(D2456),"",(VLOOKUP(D2456,Cardápio!$A$2:$B$16,2,0))*E2456)</f>
        <v/>
      </c>
      <c r="H2456" s="7" t="str">
        <f t="shared" si="152"/>
        <v/>
      </c>
      <c r="I2456" s="7" t="str">
        <f>IF(AND(ISBLANK(D2456),ISBLANK(C2456)),"",((VLOOKUP(D2456,Cardápio!$A$2:$C$16,3,0))*E2456)+IF(B2456="iFood",F2456*0.27,(VLOOKUP(VENDAS!C2456,Bairros!$A$2:$B$90,2,0))))</f>
        <v/>
      </c>
      <c r="J2456" s="7" t="str">
        <f t="shared" si="153"/>
        <v/>
      </c>
      <c r="K2456" s="9">
        <f t="shared" ca="1" si="154"/>
        <v>45404.878290162036</v>
      </c>
      <c r="L2456" s="10">
        <f t="shared" ca="1" si="155"/>
        <v>45404.878290046297</v>
      </c>
    </row>
    <row r="2457" spans="6:12" x14ac:dyDescent="0.25">
      <c r="F2457" s="11" t="str">
        <f>IF(ISBLANK(D2457),"",(VLOOKUP(D2457,Cardápio!$A$2:$B$16,2,0))*E2457)</f>
        <v/>
      </c>
      <c r="H2457" s="7" t="str">
        <f t="shared" si="152"/>
        <v/>
      </c>
      <c r="I2457" s="7" t="str">
        <f>IF(AND(ISBLANK(D2457),ISBLANK(C2457)),"",((VLOOKUP(D2457,Cardápio!$A$2:$C$16,3,0))*E2457)+IF(B2457="iFood",F2457*0.27,(VLOOKUP(VENDAS!C2457,Bairros!$A$2:$B$90,2,0))))</f>
        <v/>
      </c>
      <c r="J2457" s="7" t="str">
        <f t="shared" si="153"/>
        <v/>
      </c>
      <c r="K2457" s="9">
        <f t="shared" ca="1" si="154"/>
        <v>45404.878290277775</v>
      </c>
      <c r="L2457" s="10">
        <f t="shared" ca="1" si="155"/>
        <v>45404.878290046297</v>
      </c>
    </row>
    <row r="2458" spans="6:12" x14ac:dyDescent="0.25">
      <c r="F2458" s="11" t="str">
        <f>IF(ISBLANK(D2458),"",(VLOOKUP(D2458,Cardápio!$A$2:$B$16,2,0))*E2458)</f>
        <v/>
      </c>
      <c r="H2458" s="7" t="str">
        <f t="shared" si="152"/>
        <v/>
      </c>
      <c r="I2458" s="7" t="str">
        <f>IF(AND(ISBLANK(D2458),ISBLANK(C2458)),"",((VLOOKUP(D2458,Cardápio!$A$2:$C$16,3,0))*E2458)+IF(B2458="iFood",F2458*0.27,(VLOOKUP(VENDAS!C2458,Bairros!$A$2:$B$90,2,0))))</f>
        <v/>
      </c>
      <c r="J2458" s="7" t="str">
        <f t="shared" si="153"/>
        <v/>
      </c>
      <c r="K2458" s="9">
        <f t="shared" ca="1" si="154"/>
        <v>45404.878290162036</v>
      </c>
      <c r="L2458" s="10">
        <f t="shared" ca="1" si="155"/>
        <v>45404.878290046297</v>
      </c>
    </row>
    <row r="2459" spans="6:12" x14ac:dyDescent="0.25">
      <c r="F2459" s="11" t="str">
        <f>IF(ISBLANK(D2459),"",(VLOOKUP(D2459,Cardápio!$A$2:$B$16,2,0))*E2459)</f>
        <v/>
      </c>
      <c r="H2459" s="7" t="str">
        <f t="shared" si="152"/>
        <v/>
      </c>
      <c r="I2459" s="7" t="str">
        <f>IF(AND(ISBLANK(D2459),ISBLANK(C2459)),"",((VLOOKUP(D2459,Cardápio!$A$2:$C$16,3,0))*E2459)+IF(B2459="iFood",F2459*0.27,(VLOOKUP(VENDAS!C2459,Bairros!$A$2:$B$90,2,0))))</f>
        <v/>
      </c>
      <c r="J2459" s="7" t="str">
        <f t="shared" si="153"/>
        <v/>
      </c>
      <c r="K2459" s="9">
        <f t="shared" ca="1" si="154"/>
        <v>45404.878290162036</v>
      </c>
      <c r="L2459" s="10">
        <f t="shared" ca="1" si="155"/>
        <v>45404.878290046297</v>
      </c>
    </row>
    <row r="2460" spans="6:12" x14ac:dyDescent="0.25">
      <c r="F2460" s="11" t="str">
        <f>IF(ISBLANK(D2460),"",(VLOOKUP(D2460,Cardápio!$A$2:$B$16,2,0))*E2460)</f>
        <v/>
      </c>
      <c r="H2460" s="7" t="str">
        <f t="shared" si="152"/>
        <v/>
      </c>
      <c r="I2460" s="7" t="str">
        <f>IF(AND(ISBLANK(D2460),ISBLANK(C2460)),"",((VLOOKUP(D2460,Cardápio!$A$2:$C$16,3,0))*E2460)+IF(B2460="iFood",F2460*0.27,(VLOOKUP(VENDAS!C2460,Bairros!$A$2:$B$90,2,0))))</f>
        <v/>
      </c>
      <c r="J2460" s="7" t="str">
        <f t="shared" si="153"/>
        <v/>
      </c>
      <c r="K2460" s="9">
        <f t="shared" ca="1" si="154"/>
        <v>45404.878290162036</v>
      </c>
      <c r="L2460" s="10">
        <f t="shared" ca="1" si="155"/>
        <v>45404.878290046297</v>
      </c>
    </row>
    <row r="2461" spans="6:12" x14ac:dyDescent="0.25">
      <c r="F2461" s="11" t="str">
        <f>IF(ISBLANK(D2461),"",(VLOOKUP(D2461,Cardápio!$A$2:$B$16,2,0))*E2461)</f>
        <v/>
      </c>
      <c r="H2461" s="7" t="str">
        <f t="shared" si="152"/>
        <v/>
      </c>
      <c r="I2461" s="7" t="str">
        <f>IF(AND(ISBLANK(D2461),ISBLANK(C2461)),"",((VLOOKUP(D2461,Cardápio!$A$2:$C$16,3,0))*E2461)+IF(B2461="iFood",F2461*0.27,(VLOOKUP(VENDAS!C2461,Bairros!$A$2:$B$90,2,0))))</f>
        <v/>
      </c>
      <c r="J2461" s="7" t="str">
        <f t="shared" si="153"/>
        <v/>
      </c>
      <c r="K2461" s="9">
        <f t="shared" ca="1" si="154"/>
        <v>45404.878290277775</v>
      </c>
      <c r="L2461" s="10">
        <f t="shared" ca="1" si="155"/>
        <v>45404.878290046297</v>
      </c>
    </row>
    <row r="2462" spans="6:12" x14ac:dyDescent="0.25">
      <c r="F2462" s="11" t="str">
        <f>IF(ISBLANK(D2462),"",(VLOOKUP(D2462,Cardápio!$A$2:$B$16,2,0))*E2462)</f>
        <v/>
      </c>
      <c r="H2462" s="7" t="str">
        <f t="shared" si="152"/>
        <v/>
      </c>
      <c r="I2462" s="7" t="str">
        <f>IF(AND(ISBLANK(D2462),ISBLANK(C2462)),"",((VLOOKUP(D2462,Cardápio!$A$2:$C$16,3,0))*E2462)+IF(B2462="iFood",F2462*0.27,(VLOOKUP(VENDAS!C2462,Bairros!$A$2:$B$90,2,0))))</f>
        <v/>
      </c>
      <c r="J2462" s="7" t="str">
        <f t="shared" si="153"/>
        <v/>
      </c>
      <c r="K2462" s="9">
        <f t="shared" ca="1" si="154"/>
        <v>45404.878290162036</v>
      </c>
      <c r="L2462" s="10">
        <f t="shared" ca="1" si="155"/>
        <v>45404.878290046297</v>
      </c>
    </row>
    <row r="2463" spans="6:12" x14ac:dyDescent="0.25">
      <c r="F2463" s="11" t="str">
        <f>IF(ISBLANK(D2463),"",(VLOOKUP(D2463,Cardápio!$A$2:$B$16,2,0))*E2463)</f>
        <v/>
      </c>
      <c r="H2463" s="7" t="str">
        <f t="shared" si="152"/>
        <v/>
      </c>
      <c r="I2463" s="7" t="str">
        <f>IF(AND(ISBLANK(D2463),ISBLANK(C2463)),"",((VLOOKUP(D2463,Cardápio!$A$2:$C$16,3,0))*E2463)+IF(B2463="iFood",F2463*0.27,(VLOOKUP(VENDAS!C2463,Bairros!$A$2:$B$90,2,0))))</f>
        <v/>
      </c>
      <c r="J2463" s="7" t="str">
        <f t="shared" si="153"/>
        <v/>
      </c>
      <c r="K2463" s="9">
        <f t="shared" ca="1" si="154"/>
        <v>45404.878290162036</v>
      </c>
      <c r="L2463" s="10">
        <f t="shared" ca="1" si="155"/>
        <v>45404.878290046297</v>
      </c>
    </row>
    <row r="2464" spans="6:12" x14ac:dyDescent="0.25">
      <c r="F2464" s="11" t="str">
        <f>IF(ISBLANK(D2464),"",(VLOOKUP(D2464,Cardápio!$A$2:$B$16,2,0))*E2464)</f>
        <v/>
      </c>
      <c r="H2464" s="7" t="str">
        <f t="shared" si="152"/>
        <v/>
      </c>
      <c r="I2464" s="7" t="str">
        <f>IF(AND(ISBLANK(D2464),ISBLANK(C2464)),"",((VLOOKUP(D2464,Cardápio!$A$2:$C$16,3,0))*E2464)+IF(B2464="iFood",F2464*0.27,(VLOOKUP(VENDAS!C2464,Bairros!$A$2:$B$90,2,0))))</f>
        <v/>
      </c>
      <c r="J2464" s="7" t="str">
        <f t="shared" si="153"/>
        <v/>
      </c>
      <c r="K2464" s="9">
        <f t="shared" ca="1" si="154"/>
        <v>45404.878290162036</v>
      </c>
      <c r="L2464" s="10">
        <f t="shared" ca="1" si="155"/>
        <v>45404.878290046297</v>
      </c>
    </row>
    <row r="2465" spans="6:12" x14ac:dyDescent="0.25">
      <c r="F2465" s="11" t="str">
        <f>IF(ISBLANK(D2465),"",(VLOOKUP(D2465,Cardápio!$A$2:$B$16,2,0))*E2465)</f>
        <v/>
      </c>
      <c r="H2465" s="7" t="str">
        <f t="shared" si="152"/>
        <v/>
      </c>
      <c r="I2465" s="7" t="str">
        <f>IF(AND(ISBLANK(D2465),ISBLANK(C2465)),"",((VLOOKUP(D2465,Cardápio!$A$2:$C$16,3,0))*E2465)+IF(B2465="iFood",F2465*0.27,(VLOOKUP(VENDAS!C2465,Bairros!$A$2:$B$90,2,0))))</f>
        <v/>
      </c>
      <c r="J2465" s="7" t="str">
        <f t="shared" si="153"/>
        <v/>
      </c>
      <c r="K2465" s="9">
        <f t="shared" ca="1" si="154"/>
        <v>45404.878290277775</v>
      </c>
      <c r="L2465" s="10">
        <f t="shared" ca="1" si="155"/>
        <v>45404.878290046297</v>
      </c>
    </row>
    <row r="2466" spans="6:12" x14ac:dyDescent="0.25">
      <c r="F2466" s="11" t="str">
        <f>IF(ISBLANK(D2466),"",(VLOOKUP(D2466,Cardápio!$A$2:$B$16,2,0))*E2466)</f>
        <v/>
      </c>
      <c r="H2466" s="7" t="str">
        <f t="shared" si="152"/>
        <v/>
      </c>
      <c r="I2466" s="7" t="str">
        <f>IF(AND(ISBLANK(D2466),ISBLANK(C2466)),"",((VLOOKUP(D2466,Cardápio!$A$2:$C$16,3,0))*E2466)+IF(B2466="iFood",F2466*0.27,(VLOOKUP(VENDAS!C2466,Bairros!$A$2:$B$90,2,0))))</f>
        <v/>
      </c>
      <c r="J2466" s="7" t="str">
        <f t="shared" si="153"/>
        <v/>
      </c>
      <c r="K2466" s="9">
        <f t="shared" ca="1" si="154"/>
        <v>45404.878290162036</v>
      </c>
      <c r="L2466" s="10">
        <f t="shared" ca="1" si="155"/>
        <v>45404.878290046297</v>
      </c>
    </row>
    <row r="2467" spans="6:12" x14ac:dyDescent="0.25">
      <c r="F2467" s="11" t="str">
        <f>IF(ISBLANK(D2467),"",(VLOOKUP(D2467,Cardápio!$A$2:$B$16,2,0))*E2467)</f>
        <v/>
      </c>
      <c r="H2467" s="7" t="str">
        <f t="shared" si="152"/>
        <v/>
      </c>
      <c r="I2467" s="7" t="str">
        <f>IF(AND(ISBLANK(D2467),ISBLANK(C2467)),"",((VLOOKUP(D2467,Cardápio!$A$2:$C$16,3,0))*E2467)+IF(B2467="iFood",F2467*0.27,(VLOOKUP(VENDAS!C2467,Bairros!$A$2:$B$90,2,0))))</f>
        <v/>
      </c>
      <c r="J2467" s="7" t="str">
        <f t="shared" si="153"/>
        <v/>
      </c>
      <c r="K2467" s="9">
        <f t="shared" ca="1" si="154"/>
        <v>45404.878290162036</v>
      </c>
      <c r="L2467" s="10">
        <f t="shared" ca="1" si="155"/>
        <v>45404.878290046297</v>
      </c>
    </row>
    <row r="2468" spans="6:12" x14ac:dyDescent="0.25">
      <c r="F2468" s="11" t="str">
        <f>IF(ISBLANK(D2468),"",(VLOOKUP(D2468,Cardápio!$A$2:$B$16,2,0))*E2468)</f>
        <v/>
      </c>
      <c r="H2468" s="7" t="str">
        <f t="shared" si="152"/>
        <v/>
      </c>
      <c r="I2468" s="7" t="str">
        <f>IF(AND(ISBLANK(D2468),ISBLANK(C2468)),"",((VLOOKUP(D2468,Cardápio!$A$2:$C$16,3,0))*E2468)+IF(B2468="iFood",F2468*0.27,(VLOOKUP(VENDAS!C2468,Bairros!$A$2:$B$90,2,0))))</f>
        <v/>
      </c>
      <c r="J2468" s="7" t="str">
        <f t="shared" si="153"/>
        <v/>
      </c>
      <c r="K2468" s="9">
        <f t="shared" ca="1" si="154"/>
        <v>45404.878290162036</v>
      </c>
      <c r="L2468" s="10">
        <f t="shared" ca="1" si="155"/>
        <v>45404.878290046297</v>
      </c>
    </row>
    <row r="2469" spans="6:12" x14ac:dyDescent="0.25">
      <c r="F2469" s="11" t="str">
        <f>IF(ISBLANK(D2469),"",(VLOOKUP(D2469,Cardápio!$A$2:$B$16,2,0))*E2469)</f>
        <v/>
      </c>
      <c r="H2469" s="7" t="str">
        <f t="shared" si="152"/>
        <v/>
      </c>
      <c r="I2469" s="7" t="str">
        <f>IF(AND(ISBLANK(D2469),ISBLANK(C2469)),"",((VLOOKUP(D2469,Cardápio!$A$2:$C$16,3,0))*E2469)+IF(B2469="iFood",F2469*0.27,(VLOOKUP(VENDAS!C2469,Bairros!$A$2:$B$90,2,0))))</f>
        <v/>
      </c>
      <c r="J2469" s="7" t="str">
        <f t="shared" si="153"/>
        <v/>
      </c>
      <c r="K2469" s="9">
        <f t="shared" ca="1" si="154"/>
        <v>45404.878290277775</v>
      </c>
      <c r="L2469" s="10">
        <f t="shared" ca="1" si="155"/>
        <v>45404.878290046297</v>
      </c>
    </row>
    <row r="2470" spans="6:12" x14ac:dyDescent="0.25">
      <c r="F2470" s="11" t="str">
        <f>IF(ISBLANK(D2470),"",(VLOOKUP(D2470,Cardápio!$A$2:$B$16,2,0))*E2470)</f>
        <v/>
      </c>
      <c r="H2470" s="7" t="str">
        <f t="shared" si="152"/>
        <v/>
      </c>
      <c r="I2470" s="7" t="str">
        <f>IF(AND(ISBLANK(D2470),ISBLANK(C2470)),"",((VLOOKUP(D2470,Cardápio!$A$2:$C$16,3,0))*E2470)+IF(B2470="iFood",F2470*0.27,(VLOOKUP(VENDAS!C2470,Bairros!$A$2:$B$90,2,0))))</f>
        <v/>
      </c>
      <c r="J2470" s="7" t="str">
        <f t="shared" si="153"/>
        <v/>
      </c>
      <c r="K2470" s="9">
        <f t="shared" ca="1" si="154"/>
        <v>45404.878290162036</v>
      </c>
      <c r="L2470" s="10">
        <f t="shared" ca="1" si="155"/>
        <v>45404.878290046297</v>
      </c>
    </row>
    <row r="2471" spans="6:12" x14ac:dyDescent="0.25">
      <c r="F2471" s="11" t="str">
        <f>IF(ISBLANK(D2471),"",(VLOOKUP(D2471,Cardápio!$A$2:$B$16,2,0))*E2471)</f>
        <v/>
      </c>
      <c r="H2471" s="7" t="str">
        <f t="shared" si="152"/>
        <v/>
      </c>
      <c r="I2471" s="7" t="str">
        <f>IF(AND(ISBLANK(D2471),ISBLANK(C2471)),"",((VLOOKUP(D2471,Cardápio!$A$2:$C$16,3,0))*E2471)+IF(B2471="iFood",F2471*0.27,(VLOOKUP(VENDAS!C2471,Bairros!$A$2:$B$90,2,0))))</f>
        <v/>
      </c>
      <c r="J2471" s="7" t="str">
        <f t="shared" si="153"/>
        <v/>
      </c>
      <c r="K2471" s="9">
        <f t="shared" ca="1" si="154"/>
        <v>45404.878290162036</v>
      </c>
      <c r="L2471" s="10">
        <f t="shared" ca="1" si="155"/>
        <v>45404.878290046297</v>
      </c>
    </row>
    <row r="2472" spans="6:12" x14ac:dyDescent="0.25">
      <c r="F2472" s="11" t="str">
        <f>IF(ISBLANK(D2472),"",(VLOOKUP(D2472,Cardápio!$A$2:$B$16,2,0))*E2472)</f>
        <v/>
      </c>
      <c r="H2472" s="7" t="str">
        <f t="shared" si="152"/>
        <v/>
      </c>
      <c r="I2472" s="7" t="str">
        <f>IF(AND(ISBLANK(D2472),ISBLANK(C2472)),"",((VLOOKUP(D2472,Cardápio!$A$2:$C$16,3,0))*E2472)+IF(B2472="iFood",F2472*0.27,(VLOOKUP(VENDAS!C2472,Bairros!$A$2:$B$90,2,0))))</f>
        <v/>
      </c>
      <c r="J2472" s="7" t="str">
        <f t="shared" si="153"/>
        <v/>
      </c>
      <c r="K2472" s="9">
        <f t="shared" ca="1" si="154"/>
        <v>45404.878290162036</v>
      </c>
      <c r="L2472" s="10">
        <f t="shared" ca="1" si="155"/>
        <v>45404.878290046297</v>
      </c>
    </row>
    <row r="2473" spans="6:12" x14ac:dyDescent="0.25">
      <c r="F2473" s="11" t="str">
        <f>IF(ISBLANK(D2473),"",(VLOOKUP(D2473,Cardápio!$A$2:$B$16,2,0))*E2473)</f>
        <v/>
      </c>
      <c r="H2473" s="7" t="str">
        <f t="shared" si="152"/>
        <v/>
      </c>
      <c r="I2473" s="7" t="str">
        <f>IF(AND(ISBLANK(D2473),ISBLANK(C2473)),"",((VLOOKUP(D2473,Cardápio!$A$2:$C$16,3,0))*E2473)+IF(B2473="iFood",F2473*0.27,(VLOOKUP(VENDAS!C2473,Bairros!$A$2:$B$90,2,0))))</f>
        <v/>
      </c>
      <c r="J2473" s="7" t="str">
        <f t="shared" si="153"/>
        <v/>
      </c>
      <c r="K2473" s="9">
        <f t="shared" ca="1" si="154"/>
        <v>45404.878290277775</v>
      </c>
      <c r="L2473" s="10">
        <f t="shared" ca="1" si="155"/>
        <v>45404.878290046297</v>
      </c>
    </row>
    <row r="2474" spans="6:12" x14ac:dyDescent="0.25">
      <c r="F2474" s="11" t="str">
        <f>IF(ISBLANK(D2474),"",(VLOOKUP(D2474,Cardápio!$A$2:$B$16,2,0))*E2474)</f>
        <v/>
      </c>
      <c r="H2474" s="7" t="str">
        <f t="shared" si="152"/>
        <v/>
      </c>
      <c r="I2474" s="7" t="str">
        <f>IF(AND(ISBLANK(D2474),ISBLANK(C2474)),"",((VLOOKUP(D2474,Cardápio!$A$2:$C$16,3,0))*E2474)+IF(B2474="iFood",F2474*0.27,(VLOOKUP(VENDAS!C2474,Bairros!$A$2:$B$90,2,0))))</f>
        <v/>
      </c>
      <c r="J2474" s="7" t="str">
        <f t="shared" si="153"/>
        <v/>
      </c>
      <c r="K2474" s="9">
        <f t="shared" ca="1" si="154"/>
        <v>45404.878290162036</v>
      </c>
      <c r="L2474" s="10">
        <f t="shared" ca="1" si="155"/>
        <v>45404.878290046297</v>
      </c>
    </row>
    <row r="2475" spans="6:12" x14ac:dyDescent="0.25">
      <c r="F2475" s="11" t="str">
        <f>IF(ISBLANK(D2475),"",(VLOOKUP(D2475,Cardápio!$A$2:$B$16,2,0))*E2475)</f>
        <v/>
      </c>
      <c r="H2475" s="7" t="str">
        <f t="shared" si="152"/>
        <v/>
      </c>
      <c r="I2475" s="7" t="str">
        <f>IF(AND(ISBLANK(D2475),ISBLANK(C2475)),"",((VLOOKUP(D2475,Cardápio!$A$2:$C$16,3,0))*E2475)+IF(B2475="iFood",F2475*0.27,(VLOOKUP(VENDAS!C2475,Bairros!$A$2:$B$90,2,0))))</f>
        <v/>
      </c>
      <c r="J2475" s="7" t="str">
        <f t="shared" si="153"/>
        <v/>
      </c>
      <c r="K2475" s="9">
        <f t="shared" ca="1" si="154"/>
        <v>45404.878290162036</v>
      </c>
      <c r="L2475" s="10">
        <f t="shared" ca="1" si="155"/>
        <v>45404.878290046297</v>
      </c>
    </row>
    <row r="2476" spans="6:12" x14ac:dyDescent="0.25">
      <c r="F2476" s="11" t="str">
        <f>IF(ISBLANK(D2476),"",(VLOOKUP(D2476,Cardápio!$A$2:$B$16,2,0))*E2476)</f>
        <v/>
      </c>
      <c r="H2476" s="7" t="str">
        <f t="shared" si="152"/>
        <v/>
      </c>
      <c r="I2476" s="7" t="str">
        <f>IF(AND(ISBLANK(D2476),ISBLANK(C2476)),"",((VLOOKUP(D2476,Cardápio!$A$2:$C$16,3,0))*E2476)+IF(B2476="iFood",F2476*0.27,(VLOOKUP(VENDAS!C2476,Bairros!$A$2:$B$90,2,0))))</f>
        <v/>
      </c>
      <c r="J2476" s="7" t="str">
        <f t="shared" si="153"/>
        <v/>
      </c>
      <c r="K2476" s="9">
        <f t="shared" ca="1" si="154"/>
        <v>45404.878290162036</v>
      </c>
      <c r="L2476" s="10">
        <f t="shared" ca="1" si="155"/>
        <v>45404.878290046297</v>
      </c>
    </row>
    <row r="2477" spans="6:12" x14ac:dyDescent="0.25">
      <c r="F2477" s="11" t="str">
        <f>IF(ISBLANK(D2477),"",(VLOOKUP(D2477,Cardápio!$A$2:$B$16,2,0))*E2477)</f>
        <v/>
      </c>
      <c r="H2477" s="7" t="str">
        <f t="shared" si="152"/>
        <v/>
      </c>
      <c r="I2477" s="7" t="str">
        <f>IF(AND(ISBLANK(D2477),ISBLANK(C2477)),"",((VLOOKUP(D2477,Cardápio!$A$2:$C$16,3,0))*E2477)+IF(B2477="iFood",F2477*0.27,(VLOOKUP(VENDAS!C2477,Bairros!$A$2:$B$90,2,0))))</f>
        <v/>
      </c>
      <c r="J2477" s="7" t="str">
        <f t="shared" si="153"/>
        <v/>
      </c>
      <c r="K2477" s="9">
        <f t="shared" ca="1" si="154"/>
        <v>45404.878290277775</v>
      </c>
      <c r="L2477" s="10">
        <f t="shared" ca="1" si="155"/>
        <v>45404.878290046297</v>
      </c>
    </row>
    <row r="2478" spans="6:12" x14ac:dyDescent="0.25">
      <c r="F2478" s="11" t="str">
        <f>IF(ISBLANK(D2478),"",(VLOOKUP(D2478,Cardápio!$A$2:$B$16,2,0))*E2478)</f>
        <v/>
      </c>
      <c r="H2478" s="7" t="str">
        <f t="shared" si="152"/>
        <v/>
      </c>
      <c r="I2478" s="7" t="str">
        <f>IF(AND(ISBLANK(D2478),ISBLANK(C2478)),"",((VLOOKUP(D2478,Cardápio!$A$2:$C$16,3,0))*E2478)+IF(B2478="iFood",F2478*0.27,(VLOOKUP(VENDAS!C2478,Bairros!$A$2:$B$90,2,0))))</f>
        <v/>
      </c>
      <c r="J2478" s="7" t="str">
        <f t="shared" si="153"/>
        <v/>
      </c>
      <c r="K2478" s="9">
        <f t="shared" ca="1" si="154"/>
        <v>45404.878290162036</v>
      </c>
      <c r="L2478" s="10">
        <f t="shared" ca="1" si="155"/>
        <v>45404.878290046297</v>
      </c>
    </row>
    <row r="2479" spans="6:12" x14ac:dyDescent="0.25">
      <c r="F2479" s="11" t="str">
        <f>IF(ISBLANK(D2479),"",(VLOOKUP(D2479,Cardápio!$A$2:$B$16,2,0))*E2479)</f>
        <v/>
      </c>
      <c r="H2479" s="7" t="str">
        <f t="shared" si="152"/>
        <v/>
      </c>
      <c r="I2479" s="7" t="str">
        <f>IF(AND(ISBLANK(D2479),ISBLANK(C2479)),"",((VLOOKUP(D2479,Cardápio!$A$2:$C$16,3,0))*E2479)+IF(B2479="iFood",F2479*0.27,(VLOOKUP(VENDAS!C2479,Bairros!$A$2:$B$90,2,0))))</f>
        <v/>
      </c>
      <c r="J2479" s="7" t="str">
        <f t="shared" si="153"/>
        <v/>
      </c>
      <c r="K2479" s="9">
        <f t="shared" ca="1" si="154"/>
        <v>45404.878290162036</v>
      </c>
      <c r="L2479" s="10">
        <f t="shared" ca="1" si="155"/>
        <v>45404.878290046297</v>
      </c>
    </row>
    <row r="2480" spans="6:12" x14ac:dyDescent="0.25">
      <c r="F2480" s="11" t="str">
        <f>IF(ISBLANK(D2480),"",(VLOOKUP(D2480,Cardápio!$A$2:$B$16,2,0))*E2480)</f>
        <v/>
      </c>
      <c r="H2480" s="7" t="str">
        <f t="shared" si="152"/>
        <v/>
      </c>
      <c r="I2480" s="7" t="str">
        <f>IF(AND(ISBLANK(D2480),ISBLANK(C2480)),"",((VLOOKUP(D2480,Cardápio!$A$2:$C$16,3,0))*E2480)+IF(B2480="iFood",F2480*0.27,(VLOOKUP(VENDAS!C2480,Bairros!$A$2:$B$90,2,0))))</f>
        <v/>
      </c>
      <c r="J2480" s="7" t="str">
        <f t="shared" si="153"/>
        <v/>
      </c>
      <c r="K2480" s="9">
        <f t="shared" ca="1" si="154"/>
        <v>45404.878290162036</v>
      </c>
      <c r="L2480" s="10">
        <f t="shared" ca="1" si="155"/>
        <v>45404.878290046297</v>
      </c>
    </row>
    <row r="2481" spans="6:12" x14ac:dyDescent="0.25">
      <c r="F2481" s="11" t="str">
        <f>IF(ISBLANK(D2481),"",(VLOOKUP(D2481,Cardápio!$A$2:$B$16,2,0))*E2481)</f>
        <v/>
      </c>
      <c r="H2481" s="7" t="str">
        <f t="shared" si="152"/>
        <v/>
      </c>
      <c r="I2481" s="7" t="str">
        <f>IF(AND(ISBLANK(D2481),ISBLANK(C2481)),"",((VLOOKUP(D2481,Cardápio!$A$2:$C$16,3,0))*E2481)+IF(B2481="iFood",F2481*0.27,(VLOOKUP(VENDAS!C2481,Bairros!$A$2:$B$90,2,0))))</f>
        <v/>
      </c>
      <c r="J2481" s="7" t="str">
        <f t="shared" si="153"/>
        <v/>
      </c>
      <c r="K2481" s="9">
        <f t="shared" ca="1" si="154"/>
        <v>45404.878290277775</v>
      </c>
      <c r="L2481" s="10">
        <f t="shared" ca="1" si="155"/>
        <v>45404.878290046297</v>
      </c>
    </row>
    <row r="2482" spans="6:12" x14ac:dyDescent="0.25">
      <c r="F2482" s="11" t="str">
        <f>IF(ISBLANK(D2482),"",(VLOOKUP(D2482,Cardápio!$A$2:$B$16,2,0))*E2482)</f>
        <v/>
      </c>
      <c r="H2482" s="7" t="str">
        <f t="shared" si="152"/>
        <v/>
      </c>
      <c r="I2482" s="7" t="str">
        <f>IF(AND(ISBLANK(D2482),ISBLANK(C2482)),"",((VLOOKUP(D2482,Cardápio!$A$2:$C$16,3,0))*E2482)+IF(B2482="iFood",F2482*0.27,(VLOOKUP(VENDAS!C2482,Bairros!$A$2:$B$90,2,0))))</f>
        <v/>
      </c>
      <c r="J2482" s="7" t="str">
        <f t="shared" si="153"/>
        <v/>
      </c>
      <c r="K2482" s="9">
        <f t="shared" ca="1" si="154"/>
        <v>45404.878290162036</v>
      </c>
      <c r="L2482" s="10">
        <f t="shared" ca="1" si="155"/>
        <v>45404.878290046297</v>
      </c>
    </row>
    <row r="2483" spans="6:12" x14ac:dyDescent="0.25">
      <c r="F2483" s="11" t="str">
        <f>IF(ISBLANK(D2483),"",(VLOOKUP(D2483,Cardápio!$A$2:$B$16,2,0))*E2483)</f>
        <v/>
      </c>
      <c r="H2483" s="7" t="str">
        <f t="shared" si="152"/>
        <v/>
      </c>
      <c r="I2483" s="7" t="str">
        <f>IF(AND(ISBLANK(D2483),ISBLANK(C2483)),"",((VLOOKUP(D2483,Cardápio!$A$2:$C$16,3,0))*E2483)+IF(B2483="iFood",F2483*0.27,(VLOOKUP(VENDAS!C2483,Bairros!$A$2:$B$90,2,0))))</f>
        <v/>
      </c>
      <c r="J2483" s="7" t="str">
        <f t="shared" si="153"/>
        <v/>
      </c>
      <c r="K2483" s="9">
        <f t="shared" ca="1" si="154"/>
        <v>45404.878290162036</v>
      </c>
      <c r="L2483" s="10">
        <f t="shared" ca="1" si="155"/>
        <v>45404.878290046297</v>
      </c>
    </row>
    <row r="2484" spans="6:12" x14ac:dyDescent="0.25">
      <c r="F2484" s="11" t="str">
        <f>IF(ISBLANK(D2484),"",(VLOOKUP(D2484,Cardápio!$A$2:$B$16,2,0))*E2484)</f>
        <v/>
      </c>
      <c r="H2484" s="7" t="str">
        <f t="shared" si="152"/>
        <v/>
      </c>
      <c r="I2484" s="7" t="str">
        <f>IF(AND(ISBLANK(D2484),ISBLANK(C2484)),"",((VLOOKUP(D2484,Cardápio!$A$2:$C$16,3,0))*E2484)+IF(B2484="iFood",F2484*0.27,(VLOOKUP(VENDAS!C2484,Bairros!$A$2:$B$90,2,0))))</f>
        <v/>
      </c>
      <c r="J2484" s="7" t="str">
        <f t="shared" si="153"/>
        <v/>
      </c>
      <c r="K2484" s="9">
        <f t="shared" ca="1" si="154"/>
        <v>45404.878290162036</v>
      </c>
      <c r="L2484" s="10">
        <f t="shared" ca="1" si="155"/>
        <v>45404.878290046297</v>
      </c>
    </row>
    <row r="2485" spans="6:12" x14ac:dyDescent="0.25">
      <c r="F2485" s="11" t="str">
        <f>IF(ISBLANK(D2485),"",(VLOOKUP(D2485,Cardápio!$A$2:$B$16,2,0))*E2485)</f>
        <v/>
      </c>
      <c r="H2485" s="7" t="str">
        <f t="shared" ref="H2485:H2548" si="156">IF(ISBLANK(D2485),"",F2485-G2485)</f>
        <v/>
      </c>
      <c r="I2485" s="7" t="str">
        <f>IF(AND(ISBLANK(D2485),ISBLANK(C2485)),"",((VLOOKUP(D2485,Cardápio!$A$2:$C$16,3,0))*E2485)+IF(B2485="iFood",F2485*0.27,(VLOOKUP(VENDAS!C2485,Bairros!$A$2:$B$90,2,0))))</f>
        <v/>
      </c>
      <c r="J2485" s="7" t="str">
        <f t="shared" ref="J2485:J2548" si="157">IF(OR(AND(ISBLANK(H2485),ISBLANK(I2485)),(AND(H2485="",I2485=""))),"",H2485-I2485)</f>
        <v/>
      </c>
      <c r="K2485" s="9">
        <f t="shared" ref="K2485:K2548" ca="1" si="158">IF(D2485&lt;&gt;"",K2485,NOW())</f>
        <v>45404.878290277775</v>
      </c>
      <c r="L2485" s="10">
        <f t="shared" ref="L2485:L2548" ca="1" si="159">IF(D2485&lt;&gt;"",L2485,NOW())</f>
        <v>45404.878290046297</v>
      </c>
    </row>
    <row r="2486" spans="6:12" x14ac:dyDescent="0.25">
      <c r="F2486" s="11" t="str">
        <f>IF(ISBLANK(D2486),"",(VLOOKUP(D2486,Cardápio!$A$2:$B$16,2,0))*E2486)</f>
        <v/>
      </c>
      <c r="H2486" s="7" t="str">
        <f t="shared" si="156"/>
        <v/>
      </c>
      <c r="I2486" s="7" t="str">
        <f>IF(AND(ISBLANK(D2486),ISBLANK(C2486)),"",((VLOOKUP(D2486,Cardápio!$A$2:$C$16,3,0))*E2486)+IF(B2486="iFood",F2486*0.27,(VLOOKUP(VENDAS!C2486,Bairros!$A$2:$B$90,2,0))))</f>
        <v/>
      </c>
      <c r="J2486" s="7" t="str">
        <f t="shared" si="157"/>
        <v/>
      </c>
      <c r="K2486" s="9">
        <f t="shared" ca="1" si="158"/>
        <v>45404.878290162036</v>
      </c>
      <c r="L2486" s="10">
        <f t="shared" ca="1" si="159"/>
        <v>45404.878290046297</v>
      </c>
    </row>
    <row r="2487" spans="6:12" x14ac:dyDescent="0.25">
      <c r="F2487" s="11" t="str">
        <f>IF(ISBLANK(D2487),"",(VLOOKUP(D2487,Cardápio!$A$2:$B$16,2,0))*E2487)</f>
        <v/>
      </c>
      <c r="H2487" s="7" t="str">
        <f t="shared" si="156"/>
        <v/>
      </c>
      <c r="I2487" s="7" t="str">
        <f>IF(AND(ISBLANK(D2487),ISBLANK(C2487)),"",((VLOOKUP(D2487,Cardápio!$A$2:$C$16,3,0))*E2487)+IF(B2487="iFood",F2487*0.27,(VLOOKUP(VENDAS!C2487,Bairros!$A$2:$B$90,2,0))))</f>
        <v/>
      </c>
      <c r="J2487" s="7" t="str">
        <f t="shared" si="157"/>
        <v/>
      </c>
      <c r="K2487" s="9">
        <f t="shared" ca="1" si="158"/>
        <v>45404.878290162036</v>
      </c>
      <c r="L2487" s="10">
        <f t="shared" ca="1" si="159"/>
        <v>45404.878290046297</v>
      </c>
    </row>
    <row r="2488" spans="6:12" x14ac:dyDescent="0.25">
      <c r="F2488" s="11" t="str">
        <f>IF(ISBLANK(D2488),"",(VLOOKUP(D2488,Cardápio!$A$2:$B$16,2,0))*E2488)</f>
        <v/>
      </c>
      <c r="H2488" s="7" t="str">
        <f t="shared" si="156"/>
        <v/>
      </c>
      <c r="I2488" s="7" t="str">
        <f>IF(AND(ISBLANK(D2488),ISBLANK(C2488)),"",((VLOOKUP(D2488,Cardápio!$A$2:$C$16,3,0))*E2488)+IF(B2488="iFood",F2488*0.27,(VLOOKUP(VENDAS!C2488,Bairros!$A$2:$B$90,2,0))))</f>
        <v/>
      </c>
      <c r="J2488" s="7" t="str">
        <f t="shared" si="157"/>
        <v/>
      </c>
      <c r="K2488" s="9">
        <f t="shared" ca="1" si="158"/>
        <v>45404.878290162036</v>
      </c>
      <c r="L2488" s="10">
        <f t="shared" ca="1" si="159"/>
        <v>45404.878290046297</v>
      </c>
    </row>
    <row r="2489" spans="6:12" x14ac:dyDescent="0.25">
      <c r="F2489" s="11" t="str">
        <f>IF(ISBLANK(D2489),"",(VLOOKUP(D2489,Cardápio!$A$2:$B$16,2,0))*E2489)</f>
        <v/>
      </c>
      <c r="H2489" s="7" t="str">
        <f t="shared" si="156"/>
        <v/>
      </c>
      <c r="I2489" s="7" t="str">
        <f>IF(AND(ISBLANK(D2489),ISBLANK(C2489)),"",((VLOOKUP(D2489,Cardápio!$A$2:$C$16,3,0))*E2489)+IF(B2489="iFood",F2489*0.27,(VLOOKUP(VENDAS!C2489,Bairros!$A$2:$B$90,2,0))))</f>
        <v/>
      </c>
      <c r="J2489" s="7" t="str">
        <f t="shared" si="157"/>
        <v/>
      </c>
      <c r="K2489" s="9">
        <f t="shared" ca="1" si="158"/>
        <v>45404.878290277775</v>
      </c>
      <c r="L2489" s="10">
        <f t="shared" ca="1" si="159"/>
        <v>45404.878290046297</v>
      </c>
    </row>
    <row r="2490" spans="6:12" x14ac:dyDescent="0.25">
      <c r="F2490" s="11" t="str">
        <f>IF(ISBLANK(D2490),"",(VLOOKUP(D2490,Cardápio!$A$2:$B$16,2,0))*E2490)</f>
        <v/>
      </c>
      <c r="H2490" s="7" t="str">
        <f t="shared" si="156"/>
        <v/>
      </c>
      <c r="I2490" s="7" t="str">
        <f>IF(AND(ISBLANK(D2490),ISBLANK(C2490)),"",((VLOOKUP(D2490,Cardápio!$A$2:$C$16,3,0))*E2490)+IF(B2490="iFood",F2490*0.27,(VLOOKUP(VENDAS!C2490,Bairros!$A$2:$B$90,2,0))))</f>
        <v/>
      </c>
      <c r="J2490" s="7" t="str">
        <f t="shared" si="157"/>
        <v/>
      </c>
      <c r="K2490" s="9">
        <f t="shared" ca="1" si="158"/>
        <v>45404.878290162036</v>
      </c>
      <c r="L2490" s="10">
        <f t="shared" ca="1" si="159"/>
        <v>45404.878290046297</v>
      </c>
    </row>
    <row r="2491" spans="6:12" x14ac:dyDescent="0.25">
      <c r="F2491" s="11" t="str">
        <f>IF(ISBLANK(D2491),"",(VLOOKUP(D2491,Cardápio!$A$2:$B$16,2,0))*E2491)</f>
        <v/>
      </c>
      <c r="H2491" s="7" t="str">
        <f t="shared" si="156"/>
        <v/>
      </c>
      <c r="I2491" s="7" t="str">
        <f>IF(AND(ISBLANK(D2491),ISBLANK(C2491)),"",((VLOOKUP(D2491,Cardápio!$A$2:$C$16,3,0))*E2491)+IF(B2491="iFood",F2491*0.27,(VLOOKUP(VENDAS!C2491,Bairros!$A$2:$B$90,2,0))))</f>
        <v/>
      </c>
      <c r="J2491" s="7" t="str">
        <f t="shared" si="157"/>
        <v/>
      </c>
      <c r="K2491" s="9">
        <f t="shared" ca="1" si="158"/>
        <v>45404.878290162036</v>
      </c>
      <c r="L2491" s="10">
        <f t="shared" ca="1" si="159"/>
        <v>45404.878290046297</v>
      </c>
    </row>
    <row r="2492" spans="6:12" x14ac:dyDescent="0.25">
      <c r="F2492" s="11" t="str">
        <f>IF(ISBLANK(D2492),"",(VLOOKUP(D2492,Cardápio!$A$2:$B$16,2,0))*E2492)</f>
        <v/>
      </c>
      <c r="H2492" s="7" t="str">
        <f t="shared" si="156"/>
        <v/>
      </c>
      <c r="I2492" s="7" t="str">
        <f>IF(AND(ISBLANK(D2492),ISBLANK(C2492)),"",((VLOOKUP(D2492,Cardápio!$A$2:$C$16,3,0))*E2492)+IF(B2492="iFood",F2492*0.27,(VLOOKUP(VENDAS!C2492,Bairros!$A$2:$B$90,2,0))))</f>
        <v/>
      </c>
      <c r="J2492" s="7" t="str">
        <f t="shared" si="157"/>
        <v/>
      </c>
      <c r="K2492" s="9">
        <f t="shared" ca="1" si="158"/>
        <v>45404.878290162036</v>
      </c>
      <c r="L2492" s="10">
        <f t="shared" ca="1" si="159"/>
        <v>45404.878290046297</v>
      </c>
    </row>
    <row r="2493" spans="6:12" x14ac:dyDescent="0.25">
      <c r="F2493" s="11" t="str">
        <f>IF(ISBLANK(D2493),"",(VLOOKUP(D2493,Cardápio!$A$2:$B$16,2,0))*E2493)</f>
        <v/>
      </c>
      <c r="H2493" s="7" t="str">
        <f t="shared" si="156"/>
        <v/>
      </c>
      <c r="I2493" s="7" t="str">
        <f>IF(AND(ISBLANK(D2493),ISBLANK(C2493)),"",((VLOOKUP(D2493,Cardápio!$A$2:$C$16,3,0))*E2493)+IF(B2493="iFood",F2493*0.27,(VLOOKUP(VENDAS!C2493,Bairros!$A$2:$B$90,2,0))))</f>
        <v/>
      </c>
      <c r="J2493" s="7" t="str">
        <f t="shared" si="157"/>
        <v/>
      </c>
      <c r="K2493" s="9">
        <f t="shared" ca="1" si="158"/>
        <v>45404.878290277775</v>
      </c>
      <c r="L2493" s="10">
        <f t="shared" ca="1" si="159"/>
        <v>45404.878290046297</v>
      </c>
    </row>
    <row r="2494" spans="6:12" x14ac:dyDescent="0.25">
      <c r="F2494" s="11" t="str">
        <f>IF(ISBLANK(D2494),"",(VLOOKUP(D2494,Cardápio!$A$2:$B$16,2,0))*E2494)</f>
        <v/>
      </c>
      <c r="H2494" s="7" t="str">
        <f t="shared" si="156"/>
        <v/>
      </c>
      <c r="I2494" s="7" t="str">
        <f>IF(AND(ISBLANK(D2494),ISBLANK(C2494)),"",((VLOOKUP(D2494,Cardápio!$A$2:$C$16,3,0))*E2494)+IF(B2494="iFood",F2494*0.27,(VLOOKUP(VENDAS!C2494,Bairros!$A$2:$B$90,2,0))))</f>
        <v/>
      </c>
      <c r="J2494" s="7" t="str">
        <f t="shared" si="157"/>
        <v/>
      </c>
      <c r="K2494" s="9">
        <f t="shared" ca="1" si="158"/>
        <v>45404.878290162036</v>
      </c>
      <c r="L2494" s="10">
        <f t="shared" ca="1" si="159"/>
        <v>45404.878290046297</v>
      </c>
    </row>
    <row r="2495" spans="6:12" x14ac:dyDescent="0.25">
      <c r="F2495" s="11" t="str">
        <f>IF(ISBLANK(D2495),"",(VLOOKUP(D2495,Cardápio!$A$2:$B$16,2,0))*E2495)</f>
        <v/>
      </c>
      <c r="H2495" s="7" t="str">
        <f t="shared" si="156"/>
        <v/>
      </c>
      <c r="I2495" s="7" t="str">
        <f>IF(AND(ISBLANK(D2495),ISBLANK(C2495)),"",((VLOOKUP(D2495,Cardápio!$A$2:$C$16,3,0))*E2495)+IF(B2495="iFood",F2495*0.27,(VLOOKUP(VENDAS!C2495,Bairros!$A$2:$B$90,2,0))))</f>
        <v/>
      </c>
      <c r="J2495" s="7" t="str">
        <f t="shared" si="157"/>
        <v/>
      </c>
      <c r="K2495" s="9">
        <f t="shared" ca="1" si="158"/>
        <v>45404.878290162036</v>
      </c>
      <c r="L2495" s="10">
        <f t="shared" ca="1" si="159"/>
        <v>45404.878290046297</v>
      </c>
    </row>
    <row r="2496" spans="6:12" x14ac:dyDescent="0.25">
      <c r="F2496" s="11" t="str">
        <f>IF(ISBLANK(D2496),"",(VLOOKUP(D2496,Cardápio!$A$2:$B$16,2,0))*E2496)</f>
        <v/>
      </c>
      <c r="H2496" s="7" t="str">
        <f t="shared" si="156"/>
        <v/>
      </c>
      <c r="I2496" s="7" t="str">
        <f>IF(AND(ISBLANK(D2496),ISBLANK(C2496)),"",((VLOOKUP(D2496,Cardápio!$A$2:$C$16,3,0))*E2496)+IF(B2496="iFood",F2496*0.27,(VLOOKUP(VENDAS!C2496,Bairros!$A$2:$B$90,2,0))))</f>
        <v/>
      </c>
      <c r="J2496" s="7" t="str">
        <f t="shared" si="157"/>
        <v/>
      </c>
      <c r="K2496" s="9">
        <f t="shared" ca="1" si="158"/>
        <v>45404.878290162036</v>
      </c>
      <c r="L2496" s="10">
        <f t="shared" ca="1" si="159"/>
        <v>45404.878290046297</v>
      </c>
    </row>
    <row r="2497" spans="6:12" x14ac:dyDescent="0.25">
      <c r="F2497" s="11" t="str">
        <f>IF(ISBLANK(D2497),"",(VLOOKUP(D2497,Cardápio!$A$2:$B$16,2,0))*E2497)</f>
        <v/>
      </c>
      <c r="H2497" s="7" t="str">
        <f t="shared" si="156"/>
        <v/>
      </c>
      <c r="I2497" s="7" t="str">
        <f>IF(AND(ISBLANK(D2497),ISBLANK(C2497)),"",((VLOOKUP(D2497,Cardápio!$A$2:$C$16,3,0))*E2497)+IF(B2497="iFood",F2497*0.27,(VLOOKUP(VENDAS!C2497,Bairros!$A$2:$B$90,2,0))))</f>
        <v/>
      </c>
      <c r="J2497" s="7" t="str">
        <f t="shared" si="157"/>
        <v/>
      </c>
      <c r="K2497" s="9">
        <f t="shared" ca="1" si="158"/>
        <v>45404.878290277775</v>
      </c>
      <c r="L2497" s="10">
        <f t="shared" ca="1" si="159"/>
        <v>45404.878290046297</v>
      </c>
    </row>
    <row r="2498" spans="6:12" x14ac:dyDescent="0.25">
      <c r="F2498" s="11" t="str">
        <f>IF(ISBLANK(D2498),"",(VLOOKUP(D2498,Cardápio!$A$2:$B$16,2,0))*E2498)</f>
        <v/>
      </c>
      <c r="H2498" s="7" t="str">
        <f t="shared" si="156"/>
        <v/>
      </c>
      <c r="I2498" s="7" t="str">
        <f>IF(AND(ISBLANK(D2498),ISBLANK(C2498)),"",((VLOOKUP(D2498,Cardápio!$A$2:$C$16,3,0))*E2498)+IF(B2498="iFood",F2498*0.27,(VLOOKUP(VENDAS!C2498,Bairros!$A$2:$B$90,2,0))))</f>
        <v/>
      </c>
      <c r="J2498" s="7" t="str">
        <f t="shared" si="157"/>
        <v/>
      </c>
      <c r="K2498" s="9">
        <f t="shared" ca="1" si="158"/>
        <v>45404.878290162036</v>
      </c>
      <c r="L2498" s="10">
        <f t="shared" ca="1" si="159"/>
        <v>45404.878290046297</v>
      </c>
    </row>
    <row r="2499" spans="6:12" x14ac:dyDescent="0.25">
      <c r="F2499" s="11" t="str">
        <f>IF(ISBLANK(D2499),"",(VLOOKUP(D2499,Cardápio!$A$2:$B$16,2,0))*E2499)</f>
        <v/>
      </c>
      <c r="H2499" s="7" t="str">
        <f t="shared" si="156"/>
        <v/>
      </c>
      <c r="I2499" s="7" t="str">
        <f>IF(AND(ISBLANK(D2499),ISBLANK(C2499)),"",((VLOOKUP(D2499,Cardápio!$A$2:$C$16,3,0))*E2499)+IF(B2499="iFood",F2499*0.27,(VLOOKUP(VENDAS!C2499,Bairros!$A$2:$B$90,2,0))))</f>
        <v/>
      </c>
      <c r="J2499" s="7" t="str">
        <f t="shared" si="157"/>
        <v/>
      </c>
      <c r="K2499" s="9">
        <f t="shared" ca="1" si="158"/>
        <v>45404.878290162036</v>
      </c>
      <c r="L2499" s="10">
        <f t="shared" ca="1" si="159"/>
        <v>45404.878290046297</v>
      </c>
    </row>
    <row r="2500" spans="6:12" x14ac:dyDescent="0.25">
      <c r="F2500" s="11" t="str">
        <f>IF(ISBLANK(D2500),"",(VLOOKUP(D2500,Cardápio!$A$2:$B$16,2,0))*E2500)</f>
        <v/>
      </c>
      <c r="H2500" s="7" t="str">
        <f t="shared" si="156"/>
        <v/>
      </c>
      <c r="I2500" s="7" t="str">
        <f>IF(AND(ISBLANK(D2500),ISBLANK(C2500)),"",((VLOOKUP(D2500,Cardápio!$A$2:$C$16,3,0))*E2500)+IF(B2500="iFood",F2500*0.27,(VLOOKUP(VENDAS!C2500,Bairros!$A$2:$B$90,2,0))))</f>
        <v/>
      </c>
      <c r="J2500" s="7" t="str">
        <f t="shared" si="157"/>
        <v/>
      </c>
      <c r="K2500" s="9">
        <f t="shared" ca="1" si="158"/>
        <v>45404.878290162036</v>
      </c>
      <c r="L2500" s="10">
        <f t="shared" ca="1" si="159"/>
        <v>45404.878290046297</v>
      </c>
    </row>
    <row r="2501" spans="6:12" x14ac:dyDescent="0.25">
      <c r="F2501" s="11" t="str">
        <f>IF(ISBLANK(D2501),"",(VLOOKUP(D2501,Cardápio!$A$2:$B$16,2,0))*E2501)</f>
        <v/>
      </c>
      <c r="H2501" s="7" t="str">
        <f t="shared" si="156"/>
        <v/>
      </c>
      <c r="I2501" s="7" t="str">
        <f>IF(AND(ISBLANK(D2501),ISBLANK(C2501)),"",((VLOOKUP(D2501,Cardápio!$A$2:$C$16,3,0))*E2501)+IF(B2501="iFood",F2501*0.27,(VLOOKUP(VENDAS!C2501,Bairros!$A$2:$B$90,2,0))))</f>
        <v/>
      </c>
      <c r="J2501" s="7" t="str">
        <f t="shared" si="157"/>
        <v/>
      </c>
      <c r="K2501" s="9">
        <f t="shared" ca="1" si="158"/>
        <v>45404.878290277775</v>
      </c>
      <c r="L2501" s="10">
        <f t="shared" ca="1" si="159"/>
        <v>45404.878290046297</v>
      </c>
    </row>
    <row r="2502" spans="6:12" x14ac:dyDescent="0.25">
      <c r="F2502" s="11" t="str">
        <f>IF(ISBLANK(D2502),"",(VLOOKUP(D2502,Cardápio!$A$2:$B$16,2,0))*E2502)</f>
        <v/>
      </c>
      <c r="H2502" s="7" t="str">
        <f t="shared" si="156"/>
        <v/>
      </c>
      <c r="I2502" s="7" t="str">
        <f>IF(AND(ISBLANK(D2502),ISBLANK(C2502)),"",((VLOOKUP(D2502,Cardápio!$A$2:$C$16,3,0))*E2502)+IF(B2502="iFood",F2502*0.27,(VLOOKUP(VENDAS!C2502,Bairros!$A$2:$B$90,2,0))))</f>
        <v/>
      </c>
      <c r="J2502" s="7" t="str">
        <f t="shared" si="157"/>
        <v/>
      </c>
      <c r="K2502" s="9">
        <f t="shared" ca="1" si="158"/>
        <v>45404.878290162036</v>
      </c>
      <c r="L2502" s="10">
        <f t="shared" ca="1" si="159"/>
        <v>45404.878290046297</v>
      </c>
    </row>
    <row r="2503" spans="6:12" x14ac:dyDescent="0.25">
      <c r="F2503" s="11" t="str">
        <f>IF(ISBLANK(D2503),"",(VLOOKUP(D2503,Cardápio!$A$2:$B$16,2,0))*E2503)</f>
        <v/>
      </c>
      <c r="H2503" s="7" t="str">
        <f t="shared" si="156"/>
        <v/>
      </c>
      <c r="I2503" s="7" t="str">
        <f>IF(AND(ISBLANK(D2503),ISBLANK(C2503)),"",((VLOOKUP(D2503,Cardápio!$A$2:$C$16,3,0))*E2503)+IF(B2503="iFood",F2503*0.27,(VLOOKUP(VENDAS!C2503,Bairros!$A$2:$B$90,2,0))))</f>
        <v/>
      </c>
      <c r="J2503" s="7" t="str">
        <f t="shared" si="157"/>
        <v/>
      </c>
      <c r="K2503" s="9">
        <f t="shared" ca="1" si="158"/>
        <v>45404.878290162036</v>
      </c>
      <c r="L2503" s="10">
        <f t="shared" ca="1" si="159"/>
        <v>45404.878290046297</v>
      </c>
    </row>
    <row r="2504" spans="6:12" x14ac:dyDescent="0.25">
      <c r="F2504" s="11" t="str">
        <f>IF(ISBLANK(D2504),"",(VLOOKUP(D2504,Cardápio!$A$2:$B$16,2,0))*E2504)</f>
        <v/>
      </c>
      <c r="H2504" s="7" t="str">
        <f t="shared" si="156"/>
        <v/>
      </c>
      <c r="I2504" s="7" t="str">
        <f>IF(AND(ISBLANK(D2504),ISBLANK(C2504)),"",((VLOOKUP(D2504,Cardápio!$A$2:$C$16,3,0))*E2504)+IF(B2504="iFood",F2504*0.27,(VLOOKUP(VENDAS!C2504,Bairros!$A$2:$B$90,2,0))))</f>
        <v/>
      </c>
      <c r="J2504" s="7" t="str">
        <f t="shared" si="157"/>
        <v/>
      </c>
      <c r="K2504" s="9">
        <f t="shared" ca="1" si="158"/>
        <v>45404.878290162036</v>
      </c>
      <c r="L2504" s="10">
        <f t="shared" ca="1" si="159"/>
        <v>45404.878290046297</v>
      </c>
    </row>
    <row r="2505" spans="6:12" x14ac:dyDescent="0.25">
      <c r="F2505" s="11" t="str">
        <f>IF(ISBLANK(D2505),"",(VLOOKUP(D2505,Cardápio!$A$2:$B$16,2,0))*E2505)</f>
        <v/>
      </c>
      <c r="H2505" s="7" t="str">
        <f t="shared" si="156"/>
        <v/>
      </c>
      <c r="I2505" s="7" t="str">
        <f>IF(AND(ISBLANK(D2505),ISBLANK(C2505)),"",((VLOOKUP(D2505,Cardápio!$A$2:$C$16,3,0))*E2505)+IF(B2505="iFood",F2505*0.27,(VLOOKUP(VENDAS!C2505,Bairros!$A$2:$B$90,2,0))))</f>
        <v/>
      </c>
      <c r="J2505" s="7" t="str">
        <f t="shared" si="157"/>
        <v/>
      </c>
      <c r="K2505" s="9">
        <f t="shared" ca="1" si="158"/>
        <v>45404.878290277775</v>
      </c>
      <c r="L2505" s="10">
        <f t="shared" ca="1" si="159"/>
        <v>45404.878290046297</v>
      </c>
    </row>
    <row r="2506" spans="6:12" x14ac:dyDescent="0.25">
      <c r="F2506" s="11" t="str">
        <f>IF(ISBLANK(D2506),"",(VLOOKUP(D2506,Cardápio!$A$2:$B$16,2,0))*E2506)</f>
        <v/>
      </c>
      <c r="H2506" s="7" t="str">
        <f t="shared" si="156"/>
        <v/>
      </c>
      <c r="I2506" s="7" t="str">
        <f>IF(AND(ISBLANK(D2506),ISBLANK(C2506)),"",((VLOOKUP(D2506,Cardápio!$A$2:$C$16,3,0))*E2506)+IF(B2506="iFood",F2506*0.27,(VLOOKUP(VENDAS!C2506,Bairros!$A$2:$B$90,2,0))))</f>
        <v/>
      </c>
      <c r="J2506" s="7" t="str">
        <f t="shared" si="157"/>
        <v/>
      </c>
      <c r="K2506" s="9">
        <f t="shared" ca="1" si="158"/>
        <v>45404.878290162036</v>
      </c>
      <c r="L2506" s="10">
        <f t="shared" ca="1" si="159"/>
        <v>45404.878290046297</v>
      </c>
    </row>
    <row r="2507" spans="6:12" x14ac:dyDescent="0.25">
      <c r="F2507" s="11" t="str">
        <f>IF(ISBLANK(D2507),"",(VLOOKUP(D2507,Cardápio!$A$2:$B$16,2,0))*E2507)</f>
        <v/>
      </c>
      <c r="H2507" s="7" t="str">
        <f t="shared" si="156"/>
        <v/>
      </c>
      <c r="I2507" s="7" t="str">
        <f>IF(AND(ISBLANK(D2507),ISBLANK(C2507)),"",((VLOOKUP(D2507,Cardápio!$A$2:$C$16,3,0))*E2507)+IF(B2507="iFood",F2507*0.27,(VLOOKUP(VENDAS!C2507,Bairros!$A$2:$B$90,2,0))))</f>
        <v/>
      </c>
      <c r="J2507" s="7" t="str">
        <f t="shared" si="157"/>
        <v/>
      </c>
      <c r="K2507" s="9">
        <f t="shared" ca="1" si="158"/>
        <v>45404.878290162036</v>
      </c>
      <c r="L2507" s="10">
        <f t="shared" ca="1" si="159"/>
        <v>45404.878290046297</v>
      </c>
    </row>
    <row r="2508" spans="6:12" x14ac:dyDescent="0.25">
      <c r="F2508" s="11" t="str">
        <f>IF(ISBLANK(D2508),"",(VLOOKUP(D2508,Cardápio!$A$2:$B$16,2,0))*E2508)</f>
        <v/>
      </c>
      <c r="H2508" s="7" t="str">
        <f t="shared" si="156"/>
        <v/>
      </c>
      <c r="I2508" s="7" t="str">
        <f>IF(AND(ISBLANK(D2508),ISBLANK(C2508)),"",((VLOOKUP(D2508,Cardápio!$A$2:$C$16,3,0))*E2508)+IF(B2508="iFood",F2508*0.27,(VLOOKUP(VENDAS!C2508,Bairros!$A$2:$B$90,2,0))))</f>
        <v/>
      </c>
      <c r="J2508" s="7" t="str">
        <f t="shared" si="157"/>
        <v/>
      </c>
      <c r="K2508" s="9">
        <f t="shared" ca="1" si="158"/>
        <v>45404.878290162036</v>
      </c>
      <c r="L2508" s="10">
        <f t="shared" ca="1" si="159"/>
        <v>45404.878290046297</v>
      </c>
    </row>
    <row r="2509" spans="6:12" x14ac:dyDescent="0.25">
      <c r="F2509" s="11" t="str">
        <f>IF(ISBLANK(D2509),"",(VLOOKUP(D2509,Cardápio!$A$2:$B$16,2,0))*E2509)</f>
        <v/>
      </c>
      <c r="H2509" s="7" t="str">
        <f t="shared" si="156"/>
        <v/>
      </c>
      <c r="I2509" s="7" t="str">
        <f>IF(AND(ISBLANK(D2509),ISBLANK(C2509)),"",((VLOOKUP(D2509,Cardápio!$A$2:$C$16,3,0))*E2509)+IF(B2509="iFood",F2509*0.27,(VLOOKUP(VENDAS!C2509,Bairros!$A$2:$B$90,2,0))))</f>
        <v/>
      </c>
      <c r="J2509" s="7" t="str">
        <f t="shared" si="157"/>
        <v/>
      </c>
      <c r="K2509" s="9">
        <f t="shared" ca="1" si="158"/>
        <v>45404.878290277775</v>
      </c>
      <c r="L2509" s="10">
        <f t="shared" ca="1" si="159"/>
        <v>45404.878290046297</v>
      </c>
    </row>
    <row r="2510" spans="6:12" x14ac:dyDescent="0.25">
      <c r="F2510" s="11" t="str">
        <f>IF(ISBLANK(D2510),"",(VLOOKUP(D2510,Cardápio!$A$2:$B$16,2,0))*E2510)</f>
        <v/>
      </c>
      <c r="H2510" s="7" t="str">
        <f t="shared" si="156"/>
        <v/>
      </c>
      <c r="I2510" s="7" t="str">
        <f>IF(AND(ISBLANK(D2510),ISBLANK(C2510)),"",((VLOOKUP(D2510,Cardápio!$A$2:$C$16,3,0))*E2510)+IF(B2510="iFood",F2510*0.27,(VLOOKUP(VENDAS!C2510,Bairros!$A$2:$B$90,2,0))))</f>
        <v/>
      </c>
      <c r="J2510" s="7" t="str">
        <f t="shared" si="157"/>
        <v/>
      </c>
      <c r="K2510" s="9">
        <f t="shared" ca="1" si="158"/>
        <v>45404.878290162036</v>
      </c>
      <c r="L2510" s="10">
        <f t="shared" ca="1" si="159"/>
        <v>45404.878290046297</v>
      </c>
    </row>
    <row r="2511" spans="6:12" x14ac:dyDescent="0.25">
      <c r="F2511" s="11" t="str">
        <f>IF(ISBLANK(D2511),"",(VLOOKUP(D2511,Cardápio!$A$2:$B$16,2,0))*E2511)</f>
        <v/>
      </c>
      <c r="H2511" s="7" t="str">
        <f t="shared" si="156"/>
        <v/>
      </c>
      <c r="I2511" s="7" t="str">
        <f>IF(AND(ISBLANK(D2511),ISBLANK(C2511)),"",((VLOOKUP(D2511,Cardápio!$A$2:$C$16,3,0))*E2511)+IF(B2511="iFood",F2511*0.27,(VLOOKUP(VENDAS!C2511,Bairros!$A$2:$B$90,2,0))))</f>
        <v/>
      </c>
      <c r="J2511" s="7" t="str">
        <f t="shared" si="157"/>
        <v/>
      </c>
      <c r="K2511" s="9">
        <f t="shared" ca="1" si="158"/>
        <v>45404.878290162036</v>
      </c>
      <c r="L2511" s="10">
        <f t="shared" ca="1" si="159"/>
        <v>45404.878290046297</v>
      </c>
    </row>
    <row r="2512" spans="6:12" x14ac:dyDescent="0.25">
      <c r="F2512" s="11" t="str">
        <f>IF(ISBLANK(D2512),"",(VLOOKUP(D2512,Cardápio!$A$2:$B$16,2,0))*E2512)</f>
        <v/>
      </c>
      <c r="H2512" s="7" t="str">
        <f t="shared" si="156"/>
        <v/>
      </c>
      <c r="I2512" s="7" t="str">
        <f>IF(AND(ISBLANK(D2512),ISBLANK(C2512)),"",((VLOOKUP(D2512,Cardápio!$A$2:$C$16,3,0))*E2512)+IF(B2512="iFood",F2512*0.27,(VLOOKUP(VENDAS!C2512,Bairros!$A$2:$B$90,2,0))))</f>
        <v/>
      </c>
      <c r="J2512" s="7" t="str">
        <f t="shared" si="157"/>
        <v/>
      </c>
      <c r="K2512" s="9">
        <f t="shared" ca="1" si="158"/>
        <v>45404.878290162036</v>
      </c>
      <c r="L2512" s="10">
        <f t="shared" ca="1" si="159"/>
        <v>45404.878290046297</v>
      </c>
    </row>
    <row r="2513" spans="6:12" x14ac:dyDescent="0.25">
      <c r="F2513" s="11" t="str">
        <f>IF(ISBLANK(D2513),"",(VLOOKUP(D2513,Cardápio!$A$2:$B$16,2,0))*E2513)</f>
        <v/>
      </c>
      <c r="H2513" s="7" t="str">
        <f t="shared" si="156"/>
        <v/>
      </c>
      <c r="I2513" s="7" t="str">
        <f>IF(AND(ISBLANK(D2513),ISBLANK(C2513)),"",((VLOOKUP(D2513,Cardápio!$A$2:$C$16,3,0))*E2513)+IF(B2513="iFood",F2513*0.27,(VLOOKUP(VENDAS!C2513,Bairros!$A$2:$B$90,2,0))))</f>
        <v/>
      </c>
      <c r="J2513" s="7" t="str">
        <f t="shared" si="157"/>
        <v/>
      </c>
      <c r="K2513" s="9">
        <f t="shared" ca="1" si="158"/>
        <v>45404.878290277775</v>
      </c>
      <c r="L2513" s="10">
        <f t="shared" ca="1" si="159"/>
        <v>45404.878290046297</v>
      </c>
    </row>
    <row r="2514" spans="6:12" x14ac:dyDescent="0.25">
      <c r="F2514" s="11" t="str">
        <f>IF(ISBLANK(D2514),"",(VLOOKUP(D2514,Cardápio!$A$2:$B$16,2,0))*E2514)</f>
        <v/>
      </c>
      <c r="H2514" s="7" t="str">
        <f t="shared" si="156"/>
        <v/>
      </c>
      <c r="I2514" s="7" t="str">
        <f>IF(AND(ISBLANK(D2514),ISBLANK(C2514)),"",((VLOOKUP(D2514,Cardápio!$A$2:$C$16,3,0))*E2514)+IF(B2514="iFood",F2514*0.27,(VLOOKUP(VENDAS!C2514,Bairros!$A$2:$B$90,2,0))))</f>
        <v/>
      </c>
      <c r="J2514" s="7" t="str">
        <f t="shared" si="157"/>
        <v/>
      </c>
      <c r="K2514" s="9">
        <f t="shared" ca="1" si="158"/>
        <v>45404.878290162036</v>
      </c>
      <c r="L2514" s="10">
        <f t="shared" ca="1" si="159"/>
        <v>45404.878290046297</v>
      </c>
    </row>
    <row r="2515" spans="6:12" x14ac:dyDescent="0.25">
      <c r="F2515" s="11" t="str">
        <f>IF(ISBLANK(D2515),"",(VLOOKUP(D2515,Cardápio!$A$2:$B$16,2,0))*E2515)</f>
        <v/>
      </c>
      <c r="H2515" s="7" t="str">
        <f t="shared" si="156"/>
        <v/>
      </c>
      <c r="I2515" s="7" t="str">
        <f>IF(AND(ISBLANK(D2515),ISBLANK(C2515)),"",((VLOOKUP(D2515,Cardápio!$A$2:$C$16,3,0))*E2515)+IF(B2515="iFood",F2515*0.27,(VLOOKUP(VENDAS!C2515,Bairros!$A$2:$B$90,2,0))))</f>
        <v/>
      </c>
      <c r="J2515" s="7" t="str">
        <f t="shared" si="157"/>
        <v/>
      </c>
      <c r="K2515" s="9">
        <f t="shared" ca="1" si="158"/>
        <v>45404.878290162036</v>
      </c>
      <c r="L2515" s="10">
        <f t="shared" ca="1" si="159"/>
        <v>45404.878290046297</v>
      </c>
    </row>
    <row r="2516" spans="6:12" x14ac:dyDescent="0.25">
      <c r="F2516" s="11" t="str">
        <f>IF(ISBLANK(D2516),"",(VLOOKUP(D2516,Cardápio!$A$2:$B$16,2,0))*E2516)</f>
        <v/>
      </c>
      <c r="H2516" s="7" t="str">
        <f t="shared" si="156"/>
        <v/>
      </c>
      <c r="I2516" s="7" t="str">
        <f>IF(AND(ISBLANK(D2516),ISBLANK(C2516)),"",((VLOOKUP(D2516,Cardápio!$A$2:$C$16,3,0))*E2516)+IF(B2516="iFood",F2516*0.27,(VLOOKUP(VENDAS!C2516,Bairros!$A$2:$B$90,2,0))))</f>
        <v/>
      </c>
      <c r="J2516" s="7" t="str">
        <f t="shared" si="157"/>
        <v/>
      </c>
      <c r="K2516" s="9">
        <f t="shared" ca="1" si="158"/>
        <v>45404.878290162036</v>
      </c>
      <c r="L2516" s="10">
        <f t="shared" ca="1" si="159"/>
        <v>45404.878290046297</v>
      </c>
    </row>
    <row r="2517" spans="6:12" x14ac:dyDescent="0.25">
      <c r="F2517" s="11" t="str">
        <f>IF(ISBLANK(D2517),"",(VLOOKUP(D2517,Cardápio!$A$2:$B$16,2,0))*E2517)</f>
        <v/>
      </c>
      <c r="H2517" s="7" t="str">
        <f t="shared" si="156"/>
        <v/>
      </c>
      <c r="I2517" s="7" t="str">
        <f>IF(AND(ISBLANK(D2517),ISBLANK(C2517)),"",((VLOOKUP(D2517,Cardápio!$A$2:$C$16,3,0))*E2517)+IF(B2517="iFood",F2517*0.27,(VLOOKUP(VENDAS!C2517,Bairros!$A$2:$B$90,2,0))))</f>
        <v/>
      </c>
      <c r="J2517" s="7" t="str">
        <f t="shared" si="157"/>
        <v/>
      </c>
      <c r="K2517" s="9">
        <f t="shared" ca="1" si="158"/>
        <v>45404.878290277775</v>
      </c>
      <c r="L2517" s="10">
        <f t="shared" ca="1" si="159"/>
        <v>45404.878290046297</v>
      </c>
    </row>
    <row r="2518" spans="6:12" x14ac:dyDescent="0.25">
      <c r="F2518" s="11" t="str">
        <f>IF(ISBLANK(D2518),"",(VLOOKUP(D2518,Cardápio!$A$2:$B$16,2,0))*E2518)</f>
        <v/>
      </c>
      <c r="H2518" s="7" t="str">
        <f t="shared" si="156"/>
        <v/>
      </c>
      <c r="I2518" s="7" t="str">
        <f>IF(AND(ISBLANK(D2518),ISBLANK(C2518)),"",((VLOOKUP(D2518,Cardápio!$A$2:$C$16,3,0))*E2518)+IF(B2518="iFood",F2518*0.27,(VLOOKUP(VENDAS!C2518,Bairros!$A$2:$B$90,2,0))))</f>
        <v/>
      </c>
      <c r="J2518" s="7" t="str">
        <f t="shared" si="157"/>
        <v/>
      </c>
      <c r="K2518" s="9">
        <f t="shared" ca="1" si="158"/>
        <v>45404.878290162036</v>
      </c>
      <c r="L2518" s="10">
        <f t="shared" ca="1" si="159"/>
        <v>45404.878290046297</v>
      </c>
    </row>
    <row r="2519" spans="6:12" x14ac:dyDescent="0.25">
      <c r="F2519" s="11" t="str">
        <f>IF(ISBLANK(D2519),"",(VLOOKUP(D2519,Cardápio!$A$2:$B$16,2,0))*E2519)</f>
        <v/>
      </c>
      <c r="H2519" s="7" t="str">
        <f t="shared" si="156"/>
        <v/>
      </c>
      <c r="I2519" s="7" t="str">
        <f>IF(AND(ISBLANK(D2519),ISBLANK(C2519)),"",((VLOOKUP(D2519,Cardápio!$A$2:$C$16,3,0))*E2519)+IF(B2519="iFood",F2519*0.27,(VLOOKUP(VENDAS!C2519,Bairros!$A$2:$B$90,2,0))))</f>
        <v/>
      </c>
      <c r="J2519" s="7" t="str">
        <f t="shared" si="157"/>
        <v/>
      </c>
      <c r="K2519" s="9">
        <f t="shared" ca="1" si="158"/>
        <v>45404.878290162036</v>
      </c>
      <c r="L2519" s="10">
        <f t="shared" ca="1" si="159"/>
        <v>45404.878290046297</v>
      </c>
    </row>
    <row r="2520" spans="6:12" x14ac:dyDescent="0.25">
      <c r="F2520" s="11" t="str">
        <f>IF(ISBLANK(D2520),"",(VLOOKUP(D2520,Cardápio!$A$2:$B$16,2,0))*E2520)</f>
        <v/>
      </c>
      <c r="H2520" s="7" t="str">
        <f t="shared" si="156"/>
        <v/>
      </c>
      <c r="I2520" s="7" t="str">
        <f>IF(AND(ISBLANK(D2520),ISBLANK(C2520)),"",((VLOOKUP(D2520,Cardápio!$A$2:$C$16,3,0))*E2520)+IF(B2520="iFood",F2520*0.27,(VLOOKUP(VENDAS!C2520,Bairros!$A$2:$B$90,2,0))))</f>
        <v/>
      </c>
      <c r="J2520" s="7" t="str">
        <f t="shared" si="157"/>
        <v/>
      </c>
      <c r="K2520" s="9">
        <f t="shared" ca="1" si="158"/>
        <v>45404.878290162036</v>
      </c>
      <c r="L2520" s="10">
        <f t="shared" ca="1" si="159"/>
        <v>45404.878290046297</v>
      </c>
    </row>
    <row r="2521" spans="6:12" x14ac:dyDescent="0.25">
      <c r="F2521" s="11" t="str">
        <f>IF(ISBLANK(D2521),"",(VLOOKUP(D2521,Cardápio!$A$2:$B$16,2,0))*E2521)</f>
        <v/>
      </c>
      <c r="H2521" s="7" t="str">
        <f t="shared" si="156"/>
        <v/>
      </c>
      <c r="I2521" s="7" t="str">
        <f>IF(AND(ISBLANK(D2521),ISBLANK(C2521)),"",((VLOOKUP(D2521,Cardápio!$A$2:$C$16,3,0))*E2521)+IF(B2521="iFood",F2521*0.27,(VLOOKUP(VENDAS!C2521,Bairros!$A$2:$B$90,2,0))))</f>
        <v/>
      </c>
      <c r="J2521" s="7" t="str">
        <f t="shared" si="157"/>
        <v/>
      </c>
      <c r="K2521" s="9">
        <f t="shared" ca="1" si="158"/>
        <v>45404.878290277775</v>
      </c>
      <c r="L2521" s="10">
        <f t="shared" ca="1" si="159"/>
        <v>45404.878290046297</v>
      </c>
    </row>
    <row r="2522" spans="6:12" x14ac:dyDescent="0.25">
      <c r="F2522" s="11" t="str">
        <f>IF(ISBLANK(D2522),"",(VLOOKUP(D2522,Cardápio!$A$2:$B$16,2,0))*E2522)</f>
        <v/>
      </c>
      <c r="H2522" s="7" t="str">
        <f t="shared" si="156"/>
        <v/>
      </c>
      <c r="I2522" s="7" t="str">
        <f>IF(AND(ISBLANK(D2522),ISBLANK(C2522)),"",((VLOOKUP(D2522,Cardápio!$A$2:$C$16,3,0))*E2522)+IF(B2522="iFood",F2522*0.27,(VLOOKUP(VENDAS!C2522,Bairros!$A$2:$B$90,2,0))))</f>
        <v/>
      </c>
      <c r="J2522" s="7" t="str">
        <f t="shared" si="157"/>
        <v/>
      </c>
      <c r="K2522" s="9">
        <f t="shared" ca="1" si="158"/>
        <v>45404.878290162036</v>
      </c>
      <c r="L2522" s="10">
        <f t="shared" ca="1" si="159"/>
        <v>45404.878290046297</v>
      </c>
    </row>
    <row r="2523" spans="6:12" x14ac:dyDescent="0.25">
      <c r="F2523" s="11" t="str">
        <f>IF(ISBLANK(D2523),"",(VLOOKUP(D2523,Cardápio!$A$2:$B$16,2,0))*E2523)</f>
        <v/>
      </c>
      <c r="H2523" s="7" t="str">
        <f t="shared" si="156"/>
        <v/>
      </c>
      <c r="I2523" s="7" t="str">
        <f>IF(AND(ISBLANK(D2523),ISBLANK(C2523)),"",((VLOOKUP(D2523,Cardápio!$A$2:$C$16,3,0))*E2523)+IF(B2523="iFood",F2523*0.27,(VLOOKUP(VENDAS!C2523,Bairros!$A$2:$B$90,2,0))))</f>
        <v/>
      </c>
      <c r="J2523" s="7" t="str">
        <f t="shared" si="157"/>
        <v/>
      </c>
      <c r="K2523" s="9">
        <f t="shared" ca="1" si="158"/>
        <v>45404.878290162036</v>
      </c>
      <c r="L2523" s="10">
        <f t="shared" ca="1" si="159"/>
        <v>45404.878290046297</v>
      </c>
    </row>
    <row r="2524" spans="6:12" x14ac:dyDescent="0.25">
      <c r="F2524" s="11" t="str">
        <f>IF(ISBLANK(D2524),"",(VLOOKUP(D2524,Cardápio!$A$2:$B$16,2,0))*E2524)</f>
        <v/>
      </c>
      <c r="H2524" s="7" t="str">
        <f t="shared" si="156"/>
        <v/>
      </c>
      <c r="I2524" s="7" t="str">
        <f>IF(AND(ISBLANK(D2524),ISBLANK(C2524)),"",((VLOOKUP(D2524,Cardápio!$A$2:$C$16,3,0))*E2524)+IF(B2524="iFood",F2524*0.27,(VLOOKUP(VENDAS!C2524,Bairros!$A$2:$B$90,2,0))))</f>
        <v/>
      </c>
      <c r="J2524" s="7" t="str">
        <f t="shared" si="157"/>
        <v/>
      </c>
      <c r="K2524" s="9">
        <f t="shared" ca="1" si="158"/>
        <v>45404.878290162036</v>
      </c>
      <c r="L2524" s="10">
        <f t="shared" ca="1" si="159"/>
        <v>45404.878290046297</v>
      </c>
    </row>
    <row r="2525" spans="6:12" x14ac:dyDescent="0.25">
      <c r="F2525" s="11" t="str">
        <f>IF(ISBLANK(D2525),"",(VLOOKUP(D2525,Cardápio!$A$2:$B$16,2,0))*E2525)</f>
        <v/>
      </c>
      <c r="H2525" s="7" t="str">
        <f t="shared" si="156"/>
        <v/>
      </c>
      <c r="I2525" s="7" t="str">
        <f>IF(AND(ISBLANK(D2525),ISBLANK(C2525)),"",((VLOOKUP(D2525,Cardápio!$A$2:$C$16,3,0))*E2525)+IF(B2525="iFood",F2525*0.27,(VLOOKUP(VENDAS!C2525,Bairros!$A$2:$B$90,2,0))))</f>
        <v/>
      </c>
      <c r="J2525" s="7" t="str">
        <f t="shared" si="157"/>
        <v/>
      </c>
      <c r="K2525" s="9">
        <f t="shared" ca="1" si="158"/>
        <v>45404.878290277775</v>
      </c>
      <c r="L2525" s="10">
        <f t="shared" ca="1" si="159"/>
        <v>45404.878290046297</v>
      </c>
    </row>
    <row r="2526" spans="6:12" x14ac:dyDescent="0.25">
      <c r="F2526" s="11" t="str">
        <f>IF(ISBLANK(D2526),"",(VLOOKUP(D2526,Cardápio!$A$2:$B$16,2,0))*E2526)</f>
        <v/>
      </c>
      <c r="H2526" s="7" t="str">
        <f t="shared" si="156"/>
        <v/>
      </c>
      <c r="I2526" s="7" t="str">
        <f>IF(AND(ISBLANK(D2526),ISBLANK(C2526)),"",((VLOOKUP(D2526,Cardápio!$A$2:$C$16,3,0))*E2526)+IF(B2526="iFood",F2526*0.27,(VLOOKUP(VENDAS!C2526,Bairros!$A$2:$B$90,2,0))))</f>
        <v/>
      </c>
      <c r="J2526" s="7" t="str">
        <f t="shared" si="157"/>
        <v/>
      </c>
      <c r="K2526" s="9">
        <f t="shared" ca="1" si="158"/>
        <v>45404.878290162036</v>
      </c>
      <c r="L2526" s="10">
        <f t="shared" ca="1" si="159"/>
        <v>45404.878290046297</v>
      </c>
    </row>
    <row r="2527" spans="6:12" x14ac:dyDescent="0.25">
      <c r="F2527" s="11" t="str">
        <f>IF(ISBLANK(D2527),"",(VLOOKUP(D2527,Cardápio!$A$2:$B$16,2,0))*E2527)</f>
        <v/>
      </c>
      <c r="H2527" s="7" t="str">
        <f t="shared" si="156"/>
        <v/>
      </c>
      <c r="I2527" s="7" t="str">
        <f>IF(AND(ISBLANK(D2527),ISBLANK(C2527)),"",((VLOOKUP(D2527,Cardápio!$A$2:$C$16,3,0))*E2527)+IF(B2527="iFood",F2527*0.27,(VLOOKUP(VENDAS!C2527,Bairros!$A$2:$B$90,2,0))))</f>
        <v/>
      </c>
      <c r="J2527" s="7" t="str">
        <f t="shared" si="157"/>
        <v/>
      </c>
      <c r="K2527" s="9">
        <f t="shared" ca="1" si="158"/>
        <v>45404.878290162036</v>
      </c>
      <c r="L2527" s="10">
        <f t="shared" ca="1" si="159"/>
        <v>45404.878290046297</v>
      </c>
    </row>
    <row r="2528" spans="6:12" x14ac:dyDescent="0.25">
      <c r="F2528" s="11" t="str">
        <f>IF(ISBLANK(D2528),"",(VLOOKUP(D2528,Cardápio!$A$2:$B$16,2,0))*E2528)</f>
        <v/>
      </c>
      <c r="H2528" s="7" t="str">
        <f t="shared" si="156"/>
        <v/>
      </c>
      <c r="I2528" s="7" t="str">
        <f>IF(AND(ISBLANK(D2528),ISBLANK(C2528)),"",((VLOOKUP(D2528,Cardápio!$A$2:$C$16,3,0))*E2528)+IF(B2528="iFood",F2528*0.27,(VLOOKUP(VENDAS!C2528,Bairros!$A$2:$B$90,2,0))))</f>
        <v/>
      </c>
      <c r="J2528" s="7" t="str">
        <f t="shared" si="157"/>
        <v/>
      </c>
      <c r="K2528" s="9">
        <f t="shared" ca="1" si="158"/>
        <v>45404.878290162036</v>
      </c>
      <c r="L2528" s="10">
        <f t="shared" ca="1" si="159"/>
        <v>45404.878290046297</v>
      </c>
    </row>
    <row r="2529" spans="6:12" x14ac:dyDescent="0.25">
      <c r="F2529" s="11" t="str">
        <f>IF(ISBLANK(D2529),"",(VLOOKUP(D2529,Cardápio!$A$2:$B$16,2,0))*E2529)</f>
        <v/>
      </c>
      <c r="H2529" s="7" t="str">
        <f t="shared" si="156"/>
        <v/>
      </c>
      <c r="I2529" s="7" t="str">
        <f>IF(AND(ISBLANK(D2529),ISBLANK(C2529)),"",((VLOOKUP(D2529,Cardápio!$A$2:$C$16,3,0))*E2529)+IF(B2529="iFood",F2529*0.27,(VLOOKUP(VENDAS!C2529,Bairros!$A$2:$B$90,2,0))))</f>
        <v/>
      </c>
      <c r="J2529" s="7" t="str">
        <f t="shared" si="157"/>
        <v/>
      </c>
      <c r="K2529" s="9">
        <f t="shared" ca="1" si="158"/>
        <v>45404.878290277775</v>
      </c>
      <c r="L2529" s="10">
        <f t="shared" ca="1" si="159"/>
        <v>45404.878290046297</v>
      </c>
    </row>
    <row r="2530" spans="6:12" x14ac:dyDescent="0.25">
      <c r="F2530" s="11" t="str">
        <f>IF(ISBLANK(D2530),"",(VLOOKUP(D2530,Cardápio!$A$2:$B$16,2,0))*E2530)</f>
        <v/>
      </c>
      <c r="H2530" s="7" t="str">
        <f t="shared" si="156"/>
        <v/>
      </c>
      <c r="I2530" s="7" t="str">
        <f>IF(AND(ISBLANK(D2530),ISBLANK(C2530)),"",((VLOOKUP(D2530,Cardápio!$A$2:$C$16,3,0))*E2530)+IF(B2530="iFood",F2530*0.27,(VLOOKUP(VENDAS!C2530,Bairros!$A$2:$B$90,2,0))))</f>
        <v/>
      </c>
      <c r="J2530" s="7" t="str">
        <f t="shared" si="157"/>
        <v/>
      </c>
      <c r="K2530" s="9">
        <f t="shared" ca="1" si="158"/>
        <v>45404.878290162036</v>
      </c>
      <c r="L2530" s="10">
        <f t="shared" ca="1" si="159"/>
        <v>45404.878290046297</v>
      </c>
    </row>
    <row r="2531" spans="6:12" x14ac:dyDescent="0.25">
      <c r="F2531" s="11" t="str">
        <f>IF(ISBLANK(D2531),"",(VLOOKUP(D2531,Cardápio!$A$2:$B$16,2,0))*E2531)</f>
        <v/>
      </c>
      <c r="H2531" s="7" t="str">
        <f t="shared" si="156"/>
        <v/>
      </c>
      <c r="I2531" s="7" t="str">
        <f>IF(AND(ISBLANK(D2531),ISBLANK(C2531)),"",((VLOOKUP(D2531,Cardápio!$A$2:$C$16,3,0))*E2531)+IF(B2531="iFood",F2531*0.27,(VLOOKUP(VENDAS!C2531,Bairros!$A$2:$B$90,2,0))))</f>
        <v/>
      </c>
      <c r="J2531" s="7" t="str">
        <f t="shared" si="157"/>
        <v/>
      </c>
      <c r="K2531" s="9">
        <f t="shared" ca="1" si="158"/>
        <v>45404.878290162036</v>
      </c>
      <c r="L2531" s="10">
        <f t="shared" ca="1" si="159"/>
        <v>45404.878290046297</v>
      </c>
    </row>
    <row r="2532" spans="6:12" x14ac:dyDescent="0.25">
      <c r="F2532" s="11" t="str">
        <f>IF(ISBLANK(D2532),"",(VLOOKUP(D2532,Cardápio!$A$2:$B$16,2,0))*E2532)</f>
        <v/>
      </c>
      <c r="H2532" s="7" t="str">
        <f t="shared" si="156"/>
        <v/>
      </c>
      <c r="I2532" s="7" t="str">
        <f>IF(AND(ISBLANK(D2532),ISBLANK(C2532)),"",((VLOOKUP(D2532,Cardápio!$A$2:$C$16,3,0))*E2532)+IF(B2532="iFood",F2532*0.27,(VLOOKUP(VENDAS!C2532,Bairros!$A$2:$B$90,2,0))))</f>
        <v/>
      </c>
      <c r="J2532" s="7" t="str">
        <f t="shared" si="157"/>
        <v/>
      </c>
      <c r="K2532" s="9">
        <f t="shared" ca="1" si="158"/>
        <v>45404.878290162036</v>
      </c>
      <c r="L2532" s="10">
        <f t="shared" ca="1" si="159"/>
        <v>45404.878290046297</v>
      </c>
    </row>
    <row r="2533" spans="6:12" x14ac:dyDescent="0.25">
      <c r="F2533" s="11" t="str">
        <f>IF(ISBLANK(D2533),"",(VLOOKUP(D2533,Cardápio!$A$2:$B$16,2,0))*E2533)</f>
        <v/>
      </c>
      <c r="H2533" s="7" t="str">
        <f t="shared" si="156"/>
        <v/>
      </c>
      <c r="I2533" s="7" t="str">
        <f>IF(AND(ISBLANK(D2533),ISBLANK(C2533)),"",((VLOOKUP(D2533,Cardápio!$A$2:$C$16,3,0))*E2533)+IF(B2533="iFood",F2533*0.27,(VLOOKUP(VENDAS!C2533,Bairros!$A$2:$B$90,2,0))))</f>
        <v/>
      </c>
      <c r="J2533" s="7" t="str">
        <f t="shared" si="157"/>
        <v/>
      </c>
      <c r="K2533" s="9">
        <f t="shared" ca="1" si="158"/>
        <v>45404.878290277775</v>
      </c>
      <c r="L2533" s="10">
        <f t="shared" ca="1" si="159"/>
        <v>45404.878290046297</v>
      </c>
    </row>
    <row r="2534" spans="6:12" x14ac:dyDescent="0.25">
      <c r="F2534" s="11" t="str">
        <f>IF(ISBLANK(D2534),"",(VLOOKUP(D2534,Cardápio!$A$2:$B$16,2,0))*E2534)</f>
        <v/>
      </c>
      <c r="H2534" s="7" t="str">
        <f t="shared" si="156"/>
        <v/>
      </c>
      <c r="I2534" s="7" t="str">
        <f>IF(AND(ISBLANK(D2534),ISBLANK(C2534)),"",((VLOOKUP(D2534,Cardápio!$A$2:$C$16,3,0))*E2534)+IF(B2534="iFood",F2534*0.27,(VLOOKUP(VENDAS!C2534,Bairros!$A$2:$B$90,2,0))))</f>
        <v/>
      </c>
      <c r="J2534" s="7" t="str">
        <f t="shared" si="157"/>
        <v/>
      </c>
      <c r="K2534" s="9">
        <f t="shared" ca="1" si="158"/>
        <v>45404.878290162036</v>
      </c>
      <c r="L2534" s="10">
        <f t="shared" ca="1" si="159"/>
        <v>45404.878290046297</v>
      </c>
    </row>
    <row r="2535" spans="6:12" x14ac:dyDescent="0.25">
      <c r="F2535" s="11" t="str">
        <f>IF(ISBLANK(D2535),"",(VLOOKUP(D2535,Cardápio!$A$2:$B$16,2,0))*E2535)</f>
        <v/>
      </c>
      <c r="H2535" s="7" t="str">
        <f t="shared" si="156"/>
        <v/>
      </c>
      <c r="I2535" s="7" t="str">
        <f>IF(AND(ISBLANK(D2535),ISBLANK(C2535)),"",((VLOOKUP(D2535,Cardápio!$A$2:$C$16,3,0))*E2535)+IF(B2535="iFood",F2535*0.27,(VLOOKUP(VENDAS!C2535,Bairros!$A$2:$B$90,2,0))))</f>
        <v/>
      </c>
      <c r="J2535" s="7" t="str">
        <f t="shared" si="157"/>
        <v/>
      </c>
      <c r="K2535" s="9">
        <f t="shared" ca="1" si="158"/>
        <v>45404.878290162036</v>
      </c>
      <c r="L2535" s="10">
        <f t="shared" ca="1" si="159"/>
        <v>45404.878290046297</v>
      </c>
    </row>
    <row r="2536" spans="6:12" x14ac:dyDescent="0.25">
      <c r="F2536" s="11" t="str">
        <f>IF(ISBLANK(D2536),"",(VLOOKUP(D2536,Cardápio!$A$2:$B$16,2,0))*E2536)</f>
        <v/>
      </c>
      <c r="H2536" s="7" t="str">
        <f t="shared" si="156"/>
        <v/>
      </c>
      <c r="I2536" s="7" t="str">
        <f>IF(AND(ISBLANK(D2536),ISBLANK(C2536)),"",((VLOOKUP(D2536,Cardápio!$A$2:$C$16,3,0))*E2536)+IF(B2536="iFood",F2536*0.27,(VLOOKUP(VENDAS!C2536,Bairros!$A$2:$B$90,2,0))))</f>
        <v/>
      </c>
      <c r="J2536" s="7" t="str">
        <f t="shared" si="157"/>
        <v/>
      </c>
      <c r="K2536" s="9">
        <f t="shared" ca="1" si="158"/>
        <v>45404.878290162036</v>
      </c>
      <c r="L2536" s="10">
        <f t="shared" ca="1" si="159"/>
        <v>45404.878290046297</v>
      </c>
    </row>
    <row r="2537" spans="6:12" x14ac:dyDescent="0.25">
      <c r="F2537" s="11" t="str">
        <f>IF(ISBLANK(D2537),"",(VLOOKUP(D2537,Cardápio!$A$2:$B$16,2,0))*E2537)</f>
        <v/>
      </c>
      <c r="H2537" s="7" t="str">
        <f t="shared" si="156"/>
        <v/>
      </c>
      <c r="I2537" s="7" t="str">
        <f>IF(AND(ISBLANK(D2537),ISBLANK(C2537)),"",((VLOOKUP(D2537,Cardápio!$A$2:$C$16,3,0))*E2537)+IF(B2537="iFood",F2537*0.27,(VLOOKUP(VENDAS!C2537,Bairros!$A$2:$B$90,2,0))))</f>
        <v/>
      </c>
      <c r="J2537" s="7" t="str">
        <f t="shared" si="157"/>
        <v/>
      </c>
      <c r="K2537" s="9">
        <f t="shared" ca="1" si="158"/>
        <v>45404.878290277775</v>
      </c>
      <c r="L2537" s="10">
        <f t="shared" ca="1" si="159"/>
        <v>45404.878290046297</v>
      </c>
    </row>
    <row r="2538" spans="6:12" x14ac:dyDescent="0.25">
      <c r="F2538" s="11" t="str">
        <f>IF(ISBLANK(D2538),"",(VLOOKUP(D2538,Cardápio!$A$2:$B$16,2,0))*E2538)</f>
        <v/>
      </c>
      <c r="H2538" s="7" t="str">
        <f t="shared" si="156"/>
        <v/>
      </c>
      <c r="I2538" s="7" t="str">
        <f>IF(AND(ISBLANK(D2538),ISBLANK(C2538)),"",((VLOOKUP(D2538,Cardápio!$A$2:$C$16,3,0))*E2538)+IF(B2538="iFood",F2538*0.27,(VLOOKUP(VENDAS!C2538,Bairros!$A$2:$B$90,2,0))))</f>
        <v/>
      </c>
      <c r="J2538" s="7" t="str">
        <f t="shared" si="157"/>
        <v/>
      </c>
      <c r="K2538" s="9">
        <f t="shared" ca="1" si="158"/>
        <v>45404.878290162036</v>
      </c>
      <c r="L2538" s="10">
        <f t="shared" ca="1" si="159"/>
        <v>45404.878290046297</v>
      </c>
    </row>
    <row r="2539" spans="6:12" x14ac:dyDescent="0.25">
      <c r="F2539" s="11" t="str">
        <f>IF(ISBLANK(D2539),"",(VLOOKUP(D2539,Cardápio!$A$2:$B$16,2,0))*E2539)</f>
        <v/>
      </c>
      <c r="H2539" s="7" t="str">
        <f t="shared" si="156"/>
        <v/>
      </c>
      <c r="I2539" s="7" t="str">
        <f>IF(AND(ISBLANK(D2539),ISBLANK(C2539)),"",((VLOOKUP(D2539,Cardápio!$A$2:$C$16,3,0))*E2539)+IF(B2539="iFood",F2539*0.27,(VLOOKUP(VENDAS!C2539,Bairros!$A$2:$B$90,2,0))))</f>
        <v/>
      </c>
      <c r="J2539" s="7" t="str">
        <f t="shared" si="157"/>
        <v/>
      </c>
      <c r="K2539" s="9">
        <f t="shared" ca="1" si="158"/>
        <v>45404.878290162036</v>
      </c>
      <c r="L2539" s="10">
        <f t="shared" ca="1" si="159"/>
        <v>45404.878290046297</v>
      </c>
    </row>
    <row r="2540" spans="6:12" x14ac:dyDescent="0.25">
      <c r="F2540" s="11" t="str">
        <f>IF(ISBLANK(D2540),"",(VLOOKUP(D2540,Cardápio!$A$2:$B$16,2,0))*E2540)</f>
        <v/>
      </c>
      <c r="H2540" s="7" t="str">
        <f t="shared" si="156"/>
        <v/>
      </c>
      <c r="I2540" s="7" t="str">
        <f>IF(AND(ISBLANK(D2540),ISBLANK(C2540)),"",((VLOOKUP(D2540,Cardápio!$A$2:$C$16,3,0))*E2540)+IF(B2540="iFood",F2540*0.27,(VLOOKUP(VENDAS!C2540,Bairros!$A$2:$B$90,2,0))))</f>
        <v/>
      </c>
      <c r="J2540" s="7" t="str">
        <f t="shared" si="157"/>
        <v/>
      </c>
      <c r="K2540" s="9">
        <f t="shared" ca="1" si="158"/>
        <v>45404.878290162036</v>
      </c>
      <c r="L2540" s="10">
        <f t="shared" ca="1" si="159"/>
        <v>45404.878290046297</v>
      </c>
    </row>
    <row r="2541" spans="6:12" x14ac:dyDescent="0.25">
      <c r="F2541" s="11" t="str">
        <f>IF(ISBLANK(D2541),"",(VLOOKUP(D2541,Cardápio!$A$2:$B$16,2,0))*E2541)</f>
        <v/>
      </c>
      <c r="H2541" s="7" t="str">
        <f t="shared" si="156"/>
        <v/>
      </c>
      <c r="I2541" s="7" t="str">
        <f>IF(AND(ISBLANK(D2541),ISBLANK(C2541)),"",((VLOOKUP(D2541,Cardápio!$A$2:$C$16,3,0))*E2541)+IF(B2541="iFood",F2541*0.27,(VLOOKUP(VENDAS!C2541,Bairros!$A$2:$B$90,2,0))))</f>
        <v/>
      </c>
      <c r="J2541" s="7" t="str">
        <f t="shared" si="157"/>
        <v/>
      </c>
      <c r="K2541" s="9">
        <f t="shared" ca="1" si="158"/>
        <v>45404.878290277775</v>
      </c>
      <c r="L2541" s="10">
        <f t="shared" ca="1" si="159"/>
        <v>45404.878290046297</v>
      </c>
    </row>
    <row r="2542" spans="6:12" x14ac:dyDescent="0.25">
      <c r="F2542" s="11" t="str">
        <f>IF(ISBLANK(D2542),"",(VLOOKUP(D2542,Cardápio!$A$2:$B$16,2,0))*E2542)</f>
        <v/>
      </c>
      <c r="H2542" s="7" t="str">
        <f t="shared" si="156"/>
        <v/>
      </c>
      <c r="I2542" s="7" t="str">
        <f>IF(AND(ISBLANK(D2542),ISBLANK(C2542)),"",((VLOOKUP(D2542,Cardápio!$A$2:$C$16,3,0))*E2542)+IF(B2542="iFood",F2542*0.27,(VLOOKUP(VENDAS!C2542,Bairros!$A$2:$B$90,2,0))))</f>
        <v/>
      </c>
      <c r="J2542" s="7" t="str">
        <f t="shared" si="157"/>
        <v/>
      </c>
      <c r="K2542" s="9">
        <f t="shared" ca="1" si="158"/>
        <v>45404.878290162036</v>
      </c>
      <c r="L2542" s="10">
        <f t="shared" ca="1" si="159"/>
        <v>45404.878290046297</v>
      </c>
    </row>
    <row r="2543" spans="6:12" x14ac:dyDescent="0.25">
      <c r="F2543" s="11" t="str">
        <f>IF(ISBLANK(D2543),"",(VLOOKUP(D2543,Cardápio!$A$2:$B$16,2,0))*E2543)</f>
        <v/>
      </c>
      <c r="H2543" s="7" t="str">
        <f t="shared" si="156"/>
        <v/>
      </c>
      <c r="I2543" s="7" t="str">
        <f>IF(AND(ISBLANK(D2543),ISBLANK(C2543)),"",((VLOOKUP(D2543,Cardápio!$A$2:$C$16,3,0))*E2543)+IF(B2543="iFood",F2543*0.27,(VLOOKUP(VENDAS!C2543,Bairros!$A$2:$B$90,2,0))))</f>
        <v/>
      </c>
      <c r="J2543" s="7" t="str">
        <f t="shared" si="157"/>
        <v/>
      </c>
      <c r="K2543" s="9">
        <f t="shared" ca="1" si="158"/>
        <v>45404.878290162036</v>
      </c>
      <c r="L2543" s="10">
        <f t="shared" ca="1" si="159"/>
        <v>45404.878290046297</v>
      </c>
    </row>
    <row r="2544" spans="6:12" x14ac:dyDescent="0.25">
      <c r="F2544" s="11" t="str">
        <f>IF(ISBLANK(D2544),"",(VLOOKUP(D2544,Cardápio!$A$2:$B$16,2,0))*E2544)</f>
        <v/>
      </c>
      <c r="H2544" s="7" t="str">
        <f t="shared" si="156"/>
        <v/>
      </c>
      <c r="I2544" s="7" t="str">
        <f>IF(AND(ISBLANK(D2544),ISBLANK(C2544)),"",((VLOOKUP(D2544,Cardápio!$A$2:$C$16,3,0))*E2544)+IF(B2544="iFood",F2544*0.27,(VLOOKUP(VENDAS!C2544,Bairros!$A$2:$B$90,2,0))))</f>
        <v/>
      </c>
      <c r="J2544" s="7" t="str">
        <f t="shared" si="157"/>
        <v/>
      </c>
      <c r="K2544" s="9">
        <f t="shared" ca="1" si="158"/>
        <v>45404.878290162036</v>
      </c>
      <c r="L2544" s="10">
        <f t="shared" ca="1" si="159"/>
        <v>45404.878290046297</v>
      </c>
    </row>
    <row r="2545" spans="6:12" x14ac:dyDescent="0.25">
      <c r="F2545" s="11" t="str">
        <f>IF(ISBLANK(D2545),"",(VLOOKUP(D2545,Cardápio!$A$2:$B$16,2,0))*E2545)</f>
        <v/>
      </c>
      <c r="H2545" s="7" t="str">
        <f t="shared" si="156"/>
        <v/>
      </c>
      <c r="I2545" s="7" t="str">
        <f>IF(AND(ISBLANK(D2545),ISBLANK(C2545)),"",((VLOOKUP(D2545,Cardápio!$A$2:$C$16,3,0))*E2545)+IF(B2545="iFood",F2545*0.27,(VLOOKUP(VENDAS!C2545,Bairros!$A$2:$B$90,2,0))))</f>
        <v/>
      </c>
      <c r="J2545" s="7" t="str">
        <f t="shared" si="157"/>
        <v/>
      </c>
      <c r="K2545" s="9">
        <f t="shared" ca="1" si="158"/>
        <v>45404.878290277775</v>
      </c>
      <c r="L2545" s="10">
        <f t="shared" ca="1" si="159"/>
        <v>45404.878290046297</v>
      </c>
    </row>
    <row r="2546" spans="6:12" x14ac:dyDescent="0.25">
      <c r="F2546" s="11" t="str">
        <f>IF(ISBLANK(D2546),"",(VLOOKUP(D2546,Cardápio!$A$2:$B$16,2,0))*E2546)</f>
        <v/>
      </c>
      <c r="H2546" s="7" t="str">
        <f t="shared" si="156"/>
        <v/>
      </c>
      <c r="I2546" s="7" t="str">
        <f>IF(AND(ISBLANK(D2546),ISBLANK(C2546)),"",((VLOOKUP(D2546,Cardápio!$A$2:$C$16,3,0))*E2546)+IF(B2546="iFood",F2546*0.27,(VLOOKUP(VENDAS!C2546,Bairros!$A$2:$B$90,2,0))))</f>
        <v/>
      </c>
      <c r="J2546" s="7" t="str">
        <f t="shared" si="157"/>
        <v/>
      </c>
      <c r="K2546" s="9">
        <f t="shared" ca="1" si="158"/>
        <v>45404.878290162036</v>
      </c>
      <c r="L2546" s="10">
        <f t="shared" ca="1" si="159"/>
        <v>45404.878290046297</v>
      </c>
    </row>
    <row r="2547" spans="6:12" x14ac:dyDescent="0.25">
      <c r="F2547" s="11" t="str">
        <f>IF(ISBLANK(D2547),"",(VLOOKUP(D2547,Cardápio!$A$2:$B$16,2,0))*E2547)</f>
        <v/>
      </c>
      <c r="H2547" s="7" t="str">
        <f t="shared" si="156"/>
        <v/>
      </c>
      <c r="I2547" s="7" t="str">
        <f>IF(AND(ISBLANK(D2547),ISBLANK(C2547)),"",((VLOOKUP(D2547,Cardápio!$A$2:$C$16,3,0))*E2547)+IF(B2547="iFood",F2547*0.27,(VLOOKUP(VENDAS!C2547,Bairros!$A$2:$B$90,2,0))))</f>
        <v/>
      </c>
      <c r="J2547" s="7" t="str">
        <f t="shared" si="157"/>
        <v/>
      </c>
      <c r="K2547" s="9">
        <f t="shared" ca="1" si="158"/>
        <v>45404.878290162036</v>
      </c>
      <c r="L2547" s="10">
        <f t="shared" ca="1" si="159"/>
        <v>45404.878290046297</v>
      </c>
    </row>
    <row r="2548" spans="6:12" x14ac:dyDescent="0.25">
      <c r="F2548" s="11" t="str">
        <f>IF(ISBLANK(D2548),"",(VLOOKUP(D2548,Cardápio!$A$2:$B$16,2,0))*E2548)</f>
        <v/>
      </c>
      <c r="H2548" s="7" t="str">
        <f t="shared" si="156"/>
        <v/>
      </c>
      <c r="I2548" s="7" t="str">
        <f>IF(AND(ISBLANK(D2548),ISBLANK(C2548)),"",((VLOOKUP(D2548,Cardápio!$A$2:$C$16,3,0))*E2548)+IF(B2548="iFood",F2548*0.27,(VLOOKUP(VENDAS!C2548,Bairros!$A$2:$B$90,2,0))))</f>
        <v/>
      </c>
      <c r="J2548" s="7" t="str">
        <f t="shared" si="157"/>
        <v/>
      </c>
      <c r="K2548" s="9">
        <f t="shared" ca="1" si="158"/>
        <v>45404.878290162036</v>
      </c>
      <c r="L2548" s="10">
        <f t="shared" ca="1" si="159"/>
        <v>45404.878290046297</v>
      </c>
    </row>
    <row r="2549" spans="6:12" x14ac:dyDescent="0.25">
      <c r="F2549" s="11" t="str">
        <f>IF(ISBLANK(D2549),"",(VLOOKUP(D2549,Cardápio!$A$2:$B$16,2,0))*E2549)</f>
        <v/>
      </c>
      <c r="H2549" s="7" t="str">
        <f t="shared" ref="H2549:H2612" si="160">IF(ISBLANK(D2549),"",F2549-G2549)</f>
        <v/>
      </c>
      <c r="I2549" s="7" t="str">
        <f>IF(AND(ISBLANK(D2549),ISBLANK(C2549)),"",((VLOOKUP(D2549,Cardápio!$A$2:$C$16,3,0))*E2549)+IF(B2549="iFood",F2549*0.27,(VLOOKUP(VENDAS!C2549,Bairros!$A$2:$B$90,2,0))))</f>
        <v/>
      </c>
      <c r="J2549" s="7" t="str">
        <f t="shared" ref="J2549:J2612" si="161">IF(OR(AND(ISBLANK(H2549),ISBLANK(I2549)),(AND(H2549="",I2549=""))),"",H2549-I2549)</f>
        <v/>
      </c>
      <c r="K2549" s="9">
        <f t="shared" ref="K2549:K2612" ca="1" si="162">IF(D2549&lt;&gt;"",K2549,NOW())</f>
        <v>45404.878290277775</v>
      </c>
      <c r="L2549" s="10">
        <f t="shared" ref="L2549:L2612" ca="1" si="163">IF(D2549&lt;&gt;"",L2549,NOW())</f>
        <v>45404.878290046297</v>
      </c>
    </row>
    <row r="2550" spans="6:12" x14ac:dyDescent="0.25">
      <c r="F2550" s="11" t="str">
        <f>IF(ISBLANK(D2550),"",(VLOOKUP(D2550,Cardápio!$A$2:$B$16,2,0))*E2550)</f>
        <v/>
      </c>
      <c r="H2550" s="7" t="str">
        <f t="shared" si="160"/>
        <v/>
      </c>
      <c r="I2550" s="7" t="str">
        <f>IF(AND(ISBLANK(D2550),ISBLANK(C2550)),"",((VLOOKUP(D2550,Cardápio!$A$2:$C$16,3,0))*E2550)+IF(B2550="iFood",F2550*0.27,(VLOOKUP(VENDAS!C2550,Bairros!$A$2:$B$90,2,0))))</f>
        <v/>
      </c>
      <c r="J2550" s="7" t="str">
        <f t="shared" si="161"/>
        <v/>
      </c>
      <c r="K2550" s="9">
        <f t="shared" ca="1" si="162"/>
        <v>45404.878290162036</v>
      </c>
      <c r="L2550" s="10">
        <f t="shared" ca="1" si="163"/>
        <v>45404.878290046297</v>
      </c>
    </row>
    <row r="2551" spans="6:12" x14ac:dyDescent="0.25">
      <c r="F2551" s="11" t="str">
        <f>IF(ISBLANK(D2551),"",(VLOOKUP(D2551,Cardápio!$A$2:$B$16,2,0))*E2551)</f>
        <v/>
      </c>
      <c r="H2551" s="7" t="str">
        <f t="shared" si="160"/>
        <v/>
      </c>
      <c r="I2551" s="7" t="str">
        <f>IF(AND(ISBLANK(D2551),ISBLANK(C2551)),"",((VLOOKUP(D2551,Cardápio!$A$2:$C$16,3,0))*E2551)+IF(B2551="iFood",F2551*0.27,(VLOOKUP(VENDAS!C2551,Bairros!$A$2:$B$90,2,0))))</f>
        <v/>
      </c>
      <c r="J2551" s="7" t="str">
        <f t="shared" si="161"/>
        <v/>
      </c>
      <c r="K2551" s="9">
        <f t="shared" ca="1" si="162"/>
        <v>45404.878290162036</v>
      </c>
      <c r="L2551" s="10">
        <f t="shared" ca="1" si="163"/>
        <v>45404.878290046297</v>
      </c>
    </row>
    <row r="2552" spans="6:12" x14ac:dyDescent="0.25">
      <c r="F2552" s="11" t="str">
        <f>IF(ISBLANK(D2552),"",(VLOOKUP(D2552,Cardápio!$A$2:$B$16,2,0))*E2552)</f>
        <v/>
      </c>
      <c r="H2552" s="7" t="str">
        <f t="shared" si="160"/>
        <v/>
      </c>
      <c r="I2552" s="7" t="str">
        <f>IF(AND(ISBLANK(D2552),ISBLANK(C2552)),"",((VLOOKUP(D2552,Cardápio!$A$2:$C$16,3,0))*E2552)+IF(B2552="iFood",F2552*0.27,(VLOOKUP(VENDAS!C2552,Bairros!$A$2:$B$90,2,0))))</f>
        <v/>
      </c>
      <c r="J2552" s="7" t="str">
        <f t="shared" si="161"/>
        <v/>
      </c>
      <c r="K2552" s="9">
        <f t="shared" ca="1" si="162"/>
        <v>45404.878290162036</v>
      </c>
      <c r="L2552" s="10">
        <f t="shared" ca="1" si="163"/>
        <v>45404.878290046297</v>
      </c>
    </row>
    <row r="2553" spans="6:12" x14ac:dyDescent="0.25">
      <c r="F2553" s="11" t="str">
        <f>IF(ISBLANK(D2553),"",(VLOOKUP(D2553,Cardápio!$A$2:$B$16,2,0))*E2553)</f>
        <v/>
      </c>
      <c r="H2553" s="7" t="str">
        <f t="shared" si="160"/>
        <v/>
      </c>
      <c r="I2553" s="7" t="str">
        <f>IF(AND(ISBLANK(D2553),ISBLANK(C2553)),"",((VLOOKUP(D2553,Cardápio!$A$2:$C$16,3,0))*E2553)+IF(B2553="iFood",F2553*0.27,(VLOOKUP(VENDAS!C2553,Bairros!$A$2:$B$90,2,0))))</f>
        <v/>
      </c>
      <c r="J2553" s="7" t="str">
        <f t="shared" si="161"/>
        <v/>
      </c>
      <c r="K2553" s="9">
        <f t="shared" ca="1" si="162"/>
        <v>45404.878290277775</v>
      </c>
      <c r="L2553" s="10">
        <f t="shared" ca="1" si="163"/>
        <v>45404.878290046297</v>
      </c>
    </row>
    <row r="2554" spans="6:12" x14ac:dyDescent="0.25">
      <c r="F2554" s="11" t="str">
        <f>IF(ISBLANK(D2554),"",(VLOOKUP(D2554,Cardápio!$A$2:$B$16,2,0))*E2554)</f>
        <v/>
      </c>
      <c r="H2554" s="7" t="str">
        <f t="shared" si="160"/>
        <v/>
      </c>
      <c r="I2554" s="7" t="str">
        <f>IF(AND(ISBLANK(D2554),ISBLANK(C2554)),"",((VLOOKUP(D2554,Cardápio!$A$2:$C$16,3,0))*E2554)+IF(B2554="iFood",F2554*0.27,(VLOOKUP(VENDAS!C2554,Bairros!$A$2:$B$90,2,0))))</f>
        <v/>
      </c>
      <c r="J2554" s="7" t="str">
        <f t="shared" si="161"/>
        <v/>
      </c>
      <c r="K2554" s="9">
        <f t="shared" ca="1" si="162"/>
        <v>45404.878290162036</v>
      </c>
      <c r="L2554" s="10">
        <f t="shared" ca="1" si="163"/>
        <v>45404.878290046297</v>
      </c>
    </row>
    <row r="2555" spans="6:12" x14ac:dyDescent="0.25">
      <c r="F2555" s="11" t="str">
        <f>IF(ISBLANK(D2555),"",(VLOOKUP(D2555,Cardápio!$A$2:$B$16,2,0))*E2555)</f>
        <v/>
      </c>
      <c r="H2555" s="7" t="str">
        <f t="shared" si="160"/>
        <v/>
      </c>
      <c r="I2555" s="7" t="str">
        <f>IF(AND(ISBLANK(D2555),ISBLANK(C2555)),"",((VLOOKUP(D2555,Cardápio!$A$2:$C$16,3,0))*E2555)+IF(B2555="iFood",F2555*0.27,(VLOOKUP(VENDAS!C2555,Bairros!$A$2:$B$90,2,0))))</f>
        <v/>
      </c>
      <c r="J2555" s="7" t="str">
        <f t="shared" si="161"/>
        <v/>
      </c>
      <c r="K2555" s="9">
        <f t="shared" ca="1" si="162"/>
        <v>45404.878290162036</v>
      </c>
      <c r="L2555" s="10">
        <f t="shared" ca="1" si="163"/>
        <v>45404.878290046297</v>
      </c>
    </row>
    <row r="2556" spans="6:12" x14ac:dyDescent="0.25">
      <c r="F2556" s="11" t="str">
        <f>IF(ISBLANK(D2556),"",(VLOOKUP(D2556,Cardápio!$A$2:$B$16,2,0))*E2556)</f>
        <v/>
      </c>
      <c r="H2556" s="7" t="str">
        <f t="shared" si="160"/>
        <v/>
      </c>
      <c r="I2556" s="7" t="str">
        <f>IF(AND(ISBLANK(D2556),ISBLANK(C2556)),"",((VLOOKUP(D2556,Cardápio!$A$2:$C$16,3,0))*E2556)+IF(B2556="iFood",F2556*0.27,(VLOOKUP(VENDAS!C2556,Bairros!$A$2:$B$90,2,0))))</f>
        <v/>
      </c>
      <c r="J2556" s="7" t="str">
        <f t="shared" si="161"/>
        <v/>
      </c>
      <c r="K2556" s="9">
        <f t="shared" ca="1" si="162"/>
        <v>45404.878290162036</v>
      </c>
      <c r="L2556" s="10">
        <f t="shared" ca="1" si="163"/>
        <v>45404.878290046297</v>
      </c>
    </row>
    <row r="2557" spans="6:12" x14ac:dyDescent="0.25">
      <c r="F2557" s="11" t="str">
        <f>IF(ISBLANK(D2557),"",(VLOOKUP(D2557,Cardápio!$A$2:$B$16,2,0))*E2557)</f>
        <v/>
      </c>
      <c r="H2557" s="7" t="str">
        <f t="shared" si="160"/>
        <v/>
      </c>
      <c r="I2557" s="7" t="str">
        <f>IF(AND(ISBLANK(D2557),ISBLANK(C2557)),"",((VLOOKUP(D2557,Cardápio!$A$2:$C$16,3,0))*E2557)+IF(B2557="iFood",F2557*0.27,(VLOOKUP(VENDAS!C2557,Bairros!$A$2:$B$90,2,0))))</f>
        <v/>
      </c>
      <c r="J2557" s="7" t="str">
        <f t="shared" si="161"/>
        <v/>
      </c>
      <c r="K2557" s="9">
        <f t="shared" ca="1" si="162"/>
        <v>45404.878290277775</v>
      </c>
      <c r="L2557" s="10">
        <f t="shared" ca="1" si="163"/>
        <v>45404.878290046297</v>
      </c>
    </row>
    <row r="2558" spans="6:12" x14ac:dyDescent="0.25">
      <c r="F2558" s="11" t="str">
        <f>IF(ISBLANK(D2558),"",(VLOOKUP(D2558,Cardápio!$A$2:$B$16,2,0))*E2558)</f>
        <v/>
      </c>
      <c r="H2558" s="7" t="str">
        <f t="shared" si="160"/>
        <v/>
      </c>
      <c r="I2558" s="7" t="str">
        <f>IF(AND(ISBLANK(D2558),ISBLANK(C2558)),"",((VLOOKUP(D2558,Cardápio!$A$2:$C$16,3,0))*E2558)+IF(B2558="iFood",F2558*0.27,(VLOOKUP(VENDAS!C2558,Bairros!$A$2:$B$90,2,0))))</f>
        <v/>
      </c>
      <c r="J2558" s="7" t="str">
        <f t="shared" si="161"/>
        <v/>
      </c>
      <c r="K2558" s="9">
        <f t="shared" ca="1" si="162"/>
        <v>45404.878290162036</v>
      </c>
      <c r="L2558" s="10">
        <f t="shared" ca="1" si="163"/>
        <v>45404.878290046297</v>
      </c>
    </row>
    <row r="2559" spans="6:12" x14ac:dyDescent="0.25">
      <c r="F2559" s="11" t="str">
        <f>IF(ISBLANK(D2559),"",(VLOOKUP(D2559,Cardápio!$A$2:$B$16,2,0))*E2559)</f>
        <v/>
      </c>
      <c r="H2559" s="7" t="str">
        <f t="shared" si="160"/>
        <v/>
      </c>
      <c r="I2559" s="7" t="str">
        <f>IF(AND(ISBLANK(D2559),ISBLANK(C2559)),"",((VLOOKUP(D2559,Cardápio!$A$2:$C$16,3,0))*E2559)+IF(B2559="iFood",F2559*0.27,(VLOOKUP(VENDAS!C2559,Bairros!$A$2:$B$90,2,0))))</f>
        <v/>
      </c>
      <c r="J2559" s="7" t="str">
        <f t="shared" si="161"/>
        <v/>
      </c>
      <c r="K2559" s="9">
        <f t="shared" ca="1" si="162"/>
        <v>45404.878290162036</v>
      </c>
      <c r="L2559" s="10">
        <f t="shared" ca="1" si="163"/>
        <v>45404.878290046297</v>
      </c>
    </row>
    <row r="2560" spans="6:12" x14ac:dyDescent="0.25">
      <c r="F2560" s="11" t="str">
        <f>IF(ISBLANK(D2560),"",(VLOOKUP(D2560,Cardápio!$A$2:$B$16,2,0))*E2560)</f>
        <v/>
      </c>
      <c r="H2560" s="7" t="str">
        <f t="shared" si="160"/>
        <v/>
      </c>
      <c r="I2560" s="7" t="str">
        <f>IF(AND(ISBLANK(D2560),ISBLANK(C2560)),"",((VLOOKUP(D2560,Cardápio!$A$2:$C$16,3,0))*E2560)+IF(B2560="iFood",F2560*0.27,(VLOOKUP(VENDAS!C2560,Bairros!$A$2:$B$90,2,0))))</f>
        <v/>
      </c>
      <c r="J2560" s="7" t="str">
        <f t="shared" si="161"/>
        <v/>
      </c>
      <c r="K2560" s="9">
        <f t="shared" ca="1" si="162"/>
        <v>45404.878290162036</v>
      </c>
      <c r="L2560" s="10">
        <f t="shared" ca="1" si="163"/>
        <v>45404.878290046297</v>
      </c>
    </row>
    <row r="2561" spans="6:12" x14ac:dyDescent="0.25">
      <c r="F2561" s="11" t="str">
        <f>IF(ISBLANK(D2561),"",(VLOOKUP(D2561,Cardápio!$A$2:$B$16,2,0))*E2561)</f>
        <v/>
      </c>
      <c r="H2561" s="7" t="str">
        <f t="shared" si="160"/>
        <v/>
      </c>
      <c r="I2561" s="7" t="str">
        <f>IF(AND(ISBLANK(D2561),ISBLANK(C2561)),"",((VLOOKUP(D2561,Cardápio!$A$2:$C$16,3,0))*E2561)+IF(B2561="iFood",F2561*0.27,(VLOOKUP(VENDAS!C2561,Bairros!$A$2:$B$90,2,0))))</f>
        <v/>
      </c>
      <c r="J2561" s="7" t="str">
        <f t="shared" si="161"/>
        <v/>
      </c>
      <c r="K2561" s="9">
        <f t="shared" ca="1" si="162"/>
        <v>45404.878290277775</v>
      </c>
      <c r="L2561" s="10">
        <f t="shared" ca="1" si="163"/>
        <v>45404.878290046297</v>
      </c>
    </row>
    <row r="2562" spans="6:12" x14ac:dyDescent="0.25">
      <c r="F2562" s="11" t="str">
        <f>IF(ISBLANK(D2562),"",(VLOOKUP(D2562,Cardápio!$A$2:$B$16,2,0))*E2562)</f>
        <v/>
      </c>
      <c r="H2562" s="7" t="str">
        <f t="shared" si="160"/>
        <v/>
      </c>
      <c r="I2562" s="7" t="str">
        <f>IF(AND(ISBLANK(D2562),ISBLANK(C2562)),"",((VLOOKUP(D2562,Cardápio!$A$2:$C$16,3,0))*E2562)+IF(B2562="iFood",F2562*0.27,(VLOOKUP(VENDAS!C2562,Bairros!$A$2:$B$90,2,0))))</f>
        <v/>
      </c>
      <c r="J2562" s="7" t="str">
        <f t="shared" si="161"/>
        <v/>
      </c>
      <c r="K2562" s="9">
        <f t="shared" ca="1" si="162"/>
        <v>45404.878290162036</v>
      </c>
      <c r="L2562" s="10">
        <f t="shared" ca="1" si="163"/>
        <v>45404.878290046297</v>
      </c>
    </row>
    <row r="2563" spans="6:12" x14ac:dyDescent="0.25">
      <c r="F2563" s="11" t="str">
        <f>IF(ISBLANK(D2563),"",(VLOOKUP(D2563,Cardápio!$A$2:$B$16,2,0))*E2563)</f>
        <v/>
      </c>
      <c r="H2563" s="7" t="str">
        <f t="shared" si="160"/>
        <v/>
      </c>
      <c r="I2563" s="7" t="str">
        <f>IF(AND(ISBLANK(D2563),ISBLANK(C2563)),"",((VLOOKUP(D2563,Cardápio!$A$2:$C$16,3,0))*E2563)+IF(B2563="iFood",F2563*0.27,(VLOOKUP(VENDAS!C2563,Bairros!$A$2:$B$90,2,0))))</f>
        <v/>
      </c>
      <c r="J2563" s="7" t="str">
        <f t="shared" si="161"/>
        <v/>
      </c>
      <c r="K2563" s="9">
        <f t="shared" ca="1" si="162"/>
        <v>45404.878290162036</v>
      </c>
      <c r="L2563" s="10">
        <f t="shared" ca="1" si="163"/>
        <v>45404.878290046297</v>
      </c>
    </row>
    <row r="2564" spans="6:12" x14ac:dyDescent="0.25">
      <c r="F2564" s="11" t="str">
        <f>IF(ISBLANK(D2564),"",(VLOOKUP(D2564,Cardápio!$A$2:$B$16,2,0))*E2564)</f>
        <v/>
      </c>
      <c r="H2564" s="7" t="str">
        <f t="shared" si="160"/>
        <v/>
      </c>
      <c r="I2564" s="7" t="str">
        <f>IF(AND(ISBLANK(D2564),ISBLANK(C2564)),"",((VLOOKUP(D2564,Cardápio!$A$2:$C$16,3,0))*E2564)+IF(B2564="iFood",F2564*0.27,(VLOOKUP(VENDAS!C2564,Bairros!$A$2:$B$90,2,0))))</f>
        <v/>
      </c>
      <c r="J2564" s="7" t="str">
        <f t="shared" si="161"/>
        <v/>
      </c>
      <c r="K2564" s="9">
        <f t="shared" ca="1" si="162"/>
        <v>45404.878290162036</v>
      </c>
      <c r="L2564" s="10">
        <f t="shared" ca="1" si="163"/>
        <v>45404.878290046297</v>
      </c>
    </row>
    <row r="2565" spans="6:12" x14ac:dyDescent="0.25">
      <c r="F2565" s="11" t="str">
        <f>IF(ISBLANK(D2565),"",(VLOOKUP(D2565,Cardápio!$A$2:$B$16,2,0))*E2565)</f>
        <v/>
      </c>
      <c r="H2565" s="7" t="str">
        <f t="shared" si="160"/>
        <v/>
      </c>
      <c r="I2565" s="7" t="str">
        <f>IF(AND(ISBLANK(D2565),ISBLANK(C2565)),"",((VLOOKUP(D2565,Cardápio!$A$2:$C$16,3,0))*E2565)+IF(B2565="iFood",F2565*0.27,(VLOOKUP(VENDAS!C2565,Bairros!$A$2:$B$90,2,0))))</f>
        <v/>
      </c>
      <c r="J2565" s="7" t="str">
        <f t="shared" si="161"/>
        <v/>
      </c>
      <c r="K2565" s="9">
        <f t="shared" ca="1" si="162"/>
        <v>45404.878290277775</v>
      </c>
      <c r="L2565" s="10">
        <f t="shared" ca="1" si="163"/>
        <v>45404.878290046297</v>
      </c>
    </row>
    <row r="2566" spans="6:12" x14ac:dyDescent="0.25">
      <c r="F2566" s="11" t="str">
        <f>IF(ISBLANK(D2566),"",(VLOOKUP(D2566,Cardápio!$A$2:$B$16,2,0))*E2566)</f>
        <v/>
      </c>
      <c r="H2566" s="7" t="str">
        <f t="shared" si="160"/>
        <v/>
      </c>
      <c r="I2566" s="7" t="str">
        <f>IF(AND(ISBLANK(D2566),ISBLANK(C2566)),"",((VLOOKUP(D2566,Cardápio!$A$2:$C$16,3,0))*E2566)+IF(B2566="iFood",F2566*0.27,(VLOOKUP(VENDAS!C2566,Bairros!$A$2:$B$90,2,0))))</f>
        <v/>
      </c>
      <c r="J2566" s="7" t="str">
        <f t="shared" si="161"/>
        <v/>
      </c>
      <c r="K2566" s="9">
        <f t="shared" ca="1" si="162"/>
        <v>45404.878290162036</v>
      </c>
      <c r="L2566" s="10">
        <f t="shared" ca="1" si="163"/>
        <v>45404.878290046297</v>
      </c>
    </row>
    <row r="2567" spans="6:12" x14ac:dyDescent="0.25">
      <c r="F2567" s="11" t="str">
        <f>IF(ISBLANK(D2567),"",(VLOOKUP(D2567,Cardápio!$A$2:$B$16,2,0))*E2567)</f>
        <v/>
      </c>
      <c r="H2567" s="7" t="str">
        <f t="shared" si="160"/>
        <v/>
      </c>
      <c r="I2567" s="7" t="str">
        <f>IF(AND(ISBLANK(D2567),ISBLANK(C2567)),"",((VLOOKUP(D2567,Cardápio!$A$2:$C$16,3,0))*E2567)+IF(B2567="iFood",F2567*0.27,(VLOOKUP(VENDAS!C2567,Bairros!$A$2:$B$90,2,0))))</f>
        <v/>
      </c>
      <c r="J2567" s="7" t="str">
        <f t="shared" si="161"/>
        <v/>
      </c>
      <c r="K2567" s="9">
        <f t="shared" ca="1" si="162"/>
        <v>45404.878290162036</v>
      </c>
      <c r="L2567" s="10">
        <f t="shared" ca="1" si="163"/>
        <v>45404.878290046297</v>
      </c>
    </row>
    <row r="2568" spans="6:12" x14ac:dyDescent="0.25">
      <c r="F2568" s="11" t="str">
        <f>IF(ISBLANK(D2568),"",(VLOOKUP(D2568,Cardápio!$A$2:$B$16,2,0))*E2568)</f>
        <v/>
      </c>
      <c r="H2568" s="7" t="str">
        <f t="shared" si="160"/>
        <v/>
      </c>
      <c r="I2568" s="7" t="str">
        <f>IF(AND(ISBLANK(D2568),ISBLANK(C2568)),"",((VLOOKUP(D2568,Cardápio!$A$2:$C$16,3,0))*E2568)+IF(B2568="iFood",F2568*0.27,(VLOOKUP(VENDAS!C2568,Bairros!$A$2:$B$90,2,0))))</f>
        <v/>
      </c>
      <c r="J2568" s="7" t="str">
        <f t="shared" si="161"/>
        <v/>
      </c>
      <c r="K2568" s="9">
        <f t="shared" ca="1" si="162"/>
        <v>45404.878290162036</v>
      </c>
      <c r="L2568" s="10">
        <f t="shared" ca="1" si="163"/>
        <v>45404.878290046297</v>
      </c>
    </row>
    <row r="2569" spans="6:12" x14ac:dyDescent="0.25">
      <c r="F2569" s="11" t="str">
        <f>IF(ISBLANK(D2569),"",(VLOOKUP(D2569,Cardápio!$A$2:$B$16,2,0))*E2569)</f>
        <v/>
      </c>
      <c r="H2569" s="7" t="str">
        <f t="shared" si="160"/>
        <v/>
      </c>
      <c r="I2569" s="7" t="str">
        <f>IF(AND(ISBLANK(D2569),ISBLANK(C2569)),"",((VLOOKUP(D2569,Cardápio!$A$2:$C$16,3,0))*E2569)+IF(B2569="iFood",F2569*0.27,(VLOOKUP(VENDAS!C2569,Bairros!$A$2:$B$90,2,0))))</f>
        <v/>
      </c>
      <c r="J2569" s="7" t="str">
        <f t="shared" si="161"/>
        <v/>
      </c>
      <c r="K2569" s="9">
        <f t="shared" ca="1" si="162"/>
        <v>45404.878290277775</v>
      </c>
      <c r="L2569" s="10">
        <f t="shared" ca="1" si="163"/>
        <v>45404.878290046297</v>
      </c>
    </row>
    <row r="2570" spans="6:12" x14ac:dyDescent="0.25">
      <c r="F2570" s="11" t="str">
        <f>IF(ISBLANK(D2570),"",(VLOOKUP(D2570,Cardápio!$A$2:$B$16,2,0))*E2570)</f>
        <v/>
      </c>
      <c r="H2570" s="7" t="str">
        <f t="shared" si="160"/>
        <v/>
      </c>
      <c r="I2570" s="7" t="str">
        <f>IF(AND(ISBLANK(D2570),ISBLANK(C2570)),"",((VLOOKUP(D2570,Cardápio!$A$2:$C$16,3,0))*E2570)+IF(B2570="iFood",F2570*0.27,(VLOOKUP(VENDAS!C2570,Bairros!$A$2:$B$90,2,0))))</f>
        <v/>
      </c>
      <c r="J2570" s="7" t="str">
        <f t="shared" si="161"/>
        <v/>
      </c>
      <c r="K2570" s="9">
        <f t="shared" ca="1" si="162"/>
        <v>45404.878290162036</v>
      </c>
      <c r="L2570" s="10">
        <f t="shared" ca="1" si="163"/>
        <v>45404.878290046297</v>
      </c>
    </row>
    <row r="2571" spans="6:12" x14ac:dyDescent="0.25">
      <c r="F2571" s="11" t="str">
        <f>IF(ISBLANK(D2571),"",(VLOOKUP(D2571,Cardápio!$A$2:$B$16,2,0))*E2571)</f>
        <v/>
      </c>
      <c r="H2571" s="7" t="str">
        <f t="shared" si="160"/>
        <v/>
      </c>
      <c r="I2571" s="7" t="str">
        <f>IF(AND(ISBLANK(D2571),ISBLANK(C2571)),"",((VLOOKUP(D2571,Cardápio!$A$2:$C$16,3,0))*E2571)+IF(B2571="iFood",F2571*0.27,(VLOOKUP(VENDAS!C2571,Bairros!$A$2:$B$90,2,0))))</f>
        <v/>
      </c>
      <c r="J2571" s="7" t="str">
        <f t="shared" si="161"/>
        <v/>
      </c>
      <c r="K2571" s="9">
        <f t="shared" ca="1" si="162"/>
        <v>45404.878290162036</v>
      </c>
      <c r="L2571" s="10">
        <f t="shared" ca="1" si="163"/>
        <v>45404.878290046297</v>
      </c>
    </row>
    <row r="2572" spans="6:12" x14ac:dyDescent="0.25">
      <c r="F2572" s="11" t="str">
        <f>IF(ISBLANK(D2572),"",(VLOOKUP(D2572,Cardápio!$A$2:$B$16,2,0))*E2572)</f>
        <v/>
      </c>
      <c r="H2572" s="7" t="str">
        <f t="shared" si="160"/>
        <v/>
      </c>
      <c r="I2572" s="7" t="str">
        <f>IF(AND(ISBLANK(D2572),ISBLANK(C2572)),"",((VLOOKUP(D2572,Cardápio!$A$2:$C$16,3,0))*E2572)+IF(B2572="iFood",F2572*0.27,(VLOOKUP(VENDAS!C2572,Bairros!$A$2:$B$90,2,0))))</f>
        <v/>
      </c>
      <c r="J2572" s="7" t="str">
        <f t="shared" si="161"/>
        <v/>
      </c>
      <c r="K2572" s="9">
        <f t="shared" ca="1" si="162"/>
        <v>45404.878290162036</v>
      </c>
      <c r="L2572" s="10">
        <f t="shared" ca="1" si="163"/>
        <v>45404.878290046297</v>
      </c>
    </row>
    <row r="2573" spans="6:12" x14ac:dyDescent="0.25">
      <c r="F2573" s="11" t="str">
        <f>IF(ISBLANK(D2573),"",(VLOOKUP(D2573,Cardápio!$A$2:$B$16,2,0))*E2573)</f>
        <v/>
      </c>
      <c r="H2573" s="7" t="str">
        <f t="shared" si="160"/>
        <v/>
      </c>
      <c r="I2573" s="7" t="str">
        <f>IF(AND(ISBLANK(D2573),ISBLANK(C2573)),"",((VLOOKUP(D2573,Cardápio!$A$2:$C$16,3,0))*E2573)+IF(B2573="iFood",F2573*0.27,(VLOOKUP(VENDAS!C2573,Bairros!$A$2:$B$90,2,0))))</f>
        <v/>
      </c>
      <c r="J2573" s="7" t="str">
        <f t="shared" si="161"/>
        <v/>
      </c>
      <c r="K2573" s="9">
        <f t="shared" ca="1" si="162"/>
        <v>45404.878290277775</v>
      </c>
      <c r="L2573" s="10">
        <f t="shared" ca="1" si="163"/>
        <v>45404.878290046297</v>
      </c>
    </row>
    <row r="2574" spans="6:12" x14ac:dyDescent="0.25">
      <c r="F2574" s="11" t="str">
        <f>IF(ISBLANK(D2574),"",(VLOOKUP(D2574,Cardápio!$A$2:$B$16,2,0))*E2574)</f>
        <v/>
      </c>
      <c r="H2574" s="7" t="str">
        <f t="shared" si="160"/>
        <v/>
      </c>
      <c r="I2574" s="7" t="str">
        <f>IF(AND(ISBLANK(D2574),ISBLANK(C2574)),"",((VLOOKUP(D2574,Cardápio!$A$2:$C$16,3,0))*E2574)+IF(B2574="iFood",F2574*0.27,(VLOOKUP(VENDAS!C2574,Bairros!$A$2:$B$90,2,0))))</f>
        <v/>
      </c>
      <c r="J2574" s="7" t="str">
        <f t="shared" si="161"/>
        <v/>
      </c>
      <c r="K2574" s="9">
        <f t="shared" ca="1" si="162"/>
        <v>45404.878290162036</v>
      </c>
      <c r="L2574" s="10">
        <f t="shared" ca="1" si="163"/>
        <v>45404.878290046297</v>
      </c>
    </row>
    <row r="2575" spans="6:12" x14ac:dyDescent="0.25">
      <c r="F2575" s="11" t="str">
        <f>IF(ISBLANK(D2575),"",(VLOOKUP(D2575,Cardápio!$A$2:$B$16,2,0))*E2575)</f>
        <v/>
      </c>
      <c r="H2575" s="7" t="str">
        <f t="shared" si="160"/>
        <v/>
      </c>
      <c r="I2575" s="7" t="str">
        <f>IF(AND(ISBLANK(D2575),ISBLANK(C2575)),"",((VLOOKUP(D2575,Cardápio!$A$2:$C$16,3,0))*E2575)+IF(B2575="iFood",F2575*0.27,(VLOOKUP(VENDAS!C2575,Bairros!$A$2:$B$90,2,0))))</f>
        <v/>
      </c>
      <c r="J2575" s="7" t="str">
        <f t="shared" si="161"/>
        <v/>
      </c>
      <c r="K2575" s="9">
        <f t="shared" ca="1" si="162"/>
        <v>45404.878290162036</v>
      </c>
      <c r="L2575" s="10">
        <f t="shared" ca="1" si="163"/>
        <v>45404.878290046297</v>
      </c>
    </row>
    <row r="2576" spans="6:12" x14ac:dyDescent="0.25">
      <c r="F2576" s="11" t="str">
        <f>IF(ISBLANK(D2576),"",(VLOOKUP(D2576,Cardápio!$A$2:$B$16,2,0))*E2576)</f>
        <v/>
      </c>
      <c r="H2576" s="7" t="str">
        <f t="shared" si="160"/>
        <v/>
      </c>
      <c r="I2576" s="7" t="str">
        <f>IF(AND(ISBLANK(D2576),ISBLANK(C2576)),"",((VLOOKUP(D2576,Cardápio!$A$2:$C$16,3,0))*E2576)+IF(B2576="iFood",F2576*0.27,(VLOOKUP(VENDAS!C2576,Bairros!$A$2:$B$90,2,0))))</f>
        <v/>
      </c>
      <c r="J2576" s="7" t="str">
        <f t="shared" si="161"/>
        <v/>
      </c>
      <c r="K2576" s="9">
        <f t="shared" ca="1" si="162"/>
        <v>45404.878290162036</v>
      </c>
      <c r="L2576" s="10">
        <f t="shared" ca="1" si="163"/>
        <v>45404.878290046297</v>
      </c>
    </row>
    <row r="2577" spans="6:12" x14ac:dyDescent="0.25">
      <c r="F2577" s="11" t="str">
        <f>IF(ISBLANK(D2577),"",(VLOOKUP(D2577,Cardápio!$A$2:$B$16,2,0))*E2577)</f>
        <v/>
      </c>
      <c r="H2577" s="7" t="str">
        <f t="shared" si="160"/>
        <v/>
      </c>
      <c r="I2577" s="7" t="str">
        <f>IF(AND(ISBLANK(D2577),ISBLANK(C2577)),"",((VLOOKUP(D2577,Cardápio!$A$2:$C$16,3,0))*E2577)+IF(B2577="iFood",F2577*0.27,(VLOOKUP(VENDAS!C2577,Bairros!$A$2:$B$90,2,0))))</f>
        <v/>
      </c>
      <c r="J2577" s="7" t="str">
        <f t="shared" si="161"/>
        <v/>
      </c>
      <c r="K2577" s="9">
        <f t="shared" ca="1" si="162"/>
        <v>45404.878290277775</v>
      </c>
      <c r="L2577" s="10">
        <f t="shared" ca="1" si="163"/>
        <v>45404.878290046297</v>
      </c>
    </row>
    <row r="2578" spans="6:12" x14ac:dyDescent="0.25">
      <c r="F2578" s="11" t="str">
        <f>IF(ISBLANK(D2578),"",(VLOOKUP(D2578,Cardápio!$A$2:$B$16,2,0))*E2578)</f>
        <v/>
      </c>
      <c r="H2578" s="7" t="str">
        <f t="shared" si="160"/>
        <v/>
      </c>
      <c r="I2578" s="7" t="str">
        <f>IF(AND(ISBLANK(D2578),ISBLANK(C2578)),"",((VLOOKUP(D2578,Cardápio!$A$2:$C$16,3,0))*E2578)+IF(B2578="iFood",F2578*0.27,(VLOOKUP(VENDAS!C2578,Bairros!$A$2:$B$90,2,0))))</f>
        <v/>
      </c>
      <c r="J2578" s="7" t="str">
        <f t="shared" si="161"/>
        <v/>
      </c>
      <c r="K2578" s="9">
        <f t="shared" ca="1" si="162"/>
        <v>45404.878290162036</v>
      </c>
      <c r="L2578" s="10">
        <f t="shared" ca="1" si="163"/>
        <v>45404.878290046297</v>
      </c>
    </row>
    <row r="2579" spans="6:12" x14ac:dyDescent="0.25">
      <c r="F2579" s="11" t="str">
        <f>IF(ISBLANK(D2579),"",(VLOOKUP(D2579,Cardápio!$A$2:$B$16,2,0))*E2579)</f>
        <v/>
      </c>
      <c r="H2579" s="7" t="str">
        <f t="shared" si="160"/>
        <v/>
      </c>
      <c r="I2579" s="7" t="str">
        <f>IF(AND(ISBLANK(D2579),ISBLANK(C2579)),"",((VLOOKUP(D2579,Cardápio!$A$2:$C$16,3,0))*E2579)+IF(B2579="iFood",F2579*0.27,(VLOOKUP(VENDAS!C2579,Bairros!$A$2:$B$90,2,0))))</f>
        <v/>
      </c>
      <c r="J2579" s="7" t="str">
        <f t="shared" si="161"/>
        <v/>
      </c>
      <c r="K2579" s="9">
        <f t="shared" ca="1" si="162"/>
        <v>45404.878290162036</v>
      </c>
      <c r="L2579" s="10">
        <f t="shared" ca="1" si="163"/>
        <v>45404.878290046297</v>
      </c>
    </row>
    <row r="2580" spans="6:12" x14ac:dyDescent="0.25">
      <c r="F2580" s="11" t="str">
        <f>IF(ISBLANK(D2580),"",(VLOOKUP(D2580,Cardápio!$A$2:$B$16,2,0))*E2580)</f>
        <v/>
      </c>
      <c r="H2580" s="7" t="str">
        <f t="shared" si="160"/>
        <v/>
      </c>
      <c r="I2580" s="7" t="str">
        <f>IF(AND(ISBLANK(D2580),ISBLANK(C2580)),"",((VLOOKUP(D2580,Cardápio!$A$2:$C$16,3,0))*E2580)+IF(B2580="iFood",F2580*0.27,(VLOOKUP(VENDAS!C2580,Bairros!$A$2:$B$90,2,0))))</f>
        <v/>
      </c>
      <c r="J2580" s="7" t="str">
        <f t="shared" si="161"/>
        <v/>
      </c>
      <c r="K2580" s="9">
        <f t="shared" ca="1" si="162"/>
        <v>45404.878290162036</v>
      </c>
      <c r="L2580" s="10">
        <f t="shared" ca="1" si="163"/>
        <v>45404.878290046297</v>
      </c>
    </row>
    <row r="2581" spans="6:12" x14ac:dyDescent="0.25">
      <c r="F2581" s="11" t="str">
        <f>IF(ISBLANK(D2581),"",(VLOOKUP(D2581,Cardápio!$A$2:$B$16,2,0))*E2581)</f>
        <v/>
      </c>
      <c r="H2581" s="7" t="str">
        <f t="shared" si="160"/>
        <v/>
      </c>
      <c r="I2581" s="7" t="str">
        <f>IF(AND(ISBLANK(D2581),ISBLANK(C2581)),"",((VLOOKUP(D2581,Cardápio!$A$2:$C$16,3,0))*E2581)+IF(B2581="iFood",F2581*0.27,(VLOOKUP(VENDAS!C2581,Bairros!$A$2:$B$90,2,0))))</f>
        <v/>
      </c>
      <c r="J2581" s="7" t="str">
        <f t="shared" si="161"/>
        <v/>
      </c>
      <c r="K2581" s="9">
        <f t="shared" ca="1" si="162"/>
        <v>45404.878290277775</v>
      </c>
      <c r="L2581" s="10">
        <f t="shared" ca="1" si="163"/>
        <v>45404.878290046297</v>
      </c>
    </row>
    <row r="2582" spans="6:12" x14ac:dyDescent="0.25">
      <c r="F2582" s="11" t="str">
        <f>IF(ISBLANK(D2582),"",(VLOOKUP(D2582,Cardápio!$A$2:$B$16,2,0))*E2582)</f>
        <v/>
      </c>
      <c r="H2582" s="7" t="str">
        <f t="shared" si="160"/>
        <v/>
      </c>
      <c r="I2582" s="7" t="str">
        <f>IF(AND(ISBLANK(D2582),ISBLANK(C2582)),"",((VLOOKUP(D2582,Cardápio!$A$2:$C$16,3,0))*E2582)+IF(B2582="iFood",F2582*0.27,(VLOOKUP(VENDAS!C2582,Bairros!$A$2:$B$90,2,0))))</f>
        <v/>
      </c>
      <c r="J2582" s="7" t="str">
        <f t="shared" si="161"/>
        <v/>
      </c>
      <c r="K2582" s="9">
        <f t="shared" ca="1" si="162"/>
        <v>45404.878290162036</v>
      </c>
      <c r="L2582" s="10">
        <f t="shared" ca="1" si="163"/>
        <v>45404.878290046297</v>
      </c>
    </row>
    <row r="2583" spans="6:12" x14ac:dyDescent="0.25">
      <c r="F2583" s="11" t="str">
        <f>IF(ISBLANK(D2583),"",(VLOOKUP(D2583,Cardápio!$A$2:$B$16,2,0))*E2583)</f>
        <v/>
      </c>
      <c r="H2583" s="7" t="str">
        <f t="shared" si="160"/>
        <v/>
      </c>
      <c r="I2583" s="7" t="str">
        <f>IF(AND(ISBLANK(D2583),ISBLANK(C2583)),"",((VLOOKUP(D2583,Cardápio!$A$2:$C$16,3,0))*E2583)+IF(B2583="iFood",F2583*0.27,(VLOOKUP(VENDAS!C2583,Bairros!$A$2:$B$90,2,0))))</f>
        <v/>
      </c>
      <c r="J2583" s="7" t="str">
        <f t="shared" si="161"/>
        <v/>
      </c>
      <c r="K2583" s="9">
        <f t="shared" ca="1" si="162"/>
        <v>45404.878290162036</v>
      </c>
      <c r="L2583" s="10">
        <f t="shared" ca="1" si="163"/>
        <v>45404.878290046297</v>
      </c>
    </row>
    <row r="2584" spans="6:12" x14ac:dyDescent="0.25">
      <c r="F2584" s="11" t="str">
        <f>IF(ISBLANK(D2584),"",(VLOOKUP(D2584,Cardápio!$A$2:$B$16,2,0))*E2584)</f>
        <v/>
      </c>
      <c r="H2584" s="7" t="str">
        <f t="shared" si="160"/>
        <v/>
      </c>
      <c r="I2584" s="7" t="str">
        <f>IF(AND(ISBLANK(D2584),ISBLANK(C2584)),"",((VLOOKUP(D2584,Cardápio!$A$2:$C$16,3,0))*E2584)+IF(B2584="iFood",F2584*0.27,(VLOOKUP(VENDAS!C2584,Bairros!$A$2:$B$90,2,0))))</f>
        <v/>
      </c>
      <c r="J2584" s="7" t="str">
        <f t="shared" si="161"/>
        <v/>
      </c>
      <c r="K2584" s="9">
        <f t="shared" ca="1" si="162"/>
        <v>45404.878290162036</v>
      </c>
      <c r="L2584" s="10">
        <f t="shared" ca="1" si="163"/>
        <v>45404.878290046297</v>
      </c>
    </row>
    <row r="2585" spans="6:12" x14ac:dyDescent="0.25">
      <c r="F2585" s="11" t="str">
        <f>IF(ISBLANK(D2585),"",(VLOOKUP(D2585,Cardápio!$A$2:$B$16,2,0))*E2585)</f>
        <v/>
      </c>
      <c r="H2585" s="7" t="str">
        <f t="shared" si="160"/>
        <v/>
      </c>
      <c r="I2585" s="7" t="str">
        <f>IF(AND(ISBLANK(D2585),ISBLANK(C2585)),"",((VLOOKUP(D2585,Cardápio!$A$2:$C$16,3,0))*E2585)+IF(B2585="iFood",F2585*0.27,(VLOOKUP(VENDAS!C2585,Bairros!$A$2:$B$90,2,0))))</f>
        <v/>
      </c>
      <c r="J2585" s="7" t="str">
        <f t="shared" si="161"/>
        <v/>
      </c>
      <c r="K2585" s="9">
        <f t="shared" ca="1" si="162"/>
        <v>45404.878290277775</v>
      </c>
      <c r="L2585" s="10">
        <f t="shared" ca="1" si="163"/>
        <v>45404.878290046297</v>
      </c>
    </row>
    <row r="2586" spans="6:12" x14ac:dyDescent="0.25">
      <c r="F2586" s="11" t="str">
        <f>IF(ISBLANK(D2586),"",(VLOOKUP(D2586,Cardápio!$A$2:$B$16,2,0))*E2586)</f>
        <v/>
      </c>
      <c r="H2586" s="7" t="str">
        <f t="shared" si="160"/>
        <v/>
      </c>
      <c r="I2586" s="7" t="str">
        <f>IF(AND(ISBLANK(D2586),ISBLANK(C2586)),"",((VLOOKUP(D2586,Cardápio!$A$2:$C$16,3,0))*E2586)+IF(B2586="iFood",F2586*0.27,(VLOOKUP(VENDAS!C2586,Bairros!$A$2:$B$90,2,0))))</f>
        <v/>
      </c>
      <c r="J2586" s="7" t="str">
        <f t="shared" si="161"/>
        <v/>
      </c>
      <c r="K2586" s="9">
        <f t="shared" ca="1" si="162"/>
        <v>45404.878290162036</v>
      </c>
      <c r="L2586" s="10">
        <f t="shared" ca="1" si="163"/>
        <v>45404.878290046297</v>
      </c>
    </row>
    <row r="2587" spans="6:12" x14ac:dyDescent="0.25">
      <c r="F2587" s="11" t="str">
        <f>IF(ISBLANK(D2587),"",(VLOOKUP(D2587,Cardápio!$A$2:$B$16,2,0))*E2587)</f>
        <v/>
      </c>
      <c r="H2587" s="7" t="str">
        <f t="shared" si="160"/>
        <v/>
      </c>
      <c r="I2587" s="7" t="str">
        <f>IF(AND(ISBLANK(D2587),ISBLANK(C2587)),"",((VLOOKUP(D2587,Cardápio!$A$2:$C$16,3,0))*E2587)+IF(B2587="iFood",F2587*0.27,(VLOOKUP(VENDAS!C2587,Bairros!$A$2:$B$90,2,0))))</f>
        <v/>
      </c>
      <c r="J2587" s="7" t="str">
        <f t="shared" si="161"/>
        <v/>
      </c>
      <c r="K2587" s="9">
        <f t="shared" ca="1" si="162"/>
        <v>45404.878290162036</v>
      </c>
      <c r="L2587" s="10">
        <f t="shared" ca="1" si="163"/>
        <v>45404.878290046297</v>
      </c>
    </row>
    <row r="2588" spans="6:12" x14ac:dyDescent="0.25">
      <c r="F2588" s="11" t="str">
        <f>IF(ISBLANK(D2588),"",(VLOOKUP(D2588,Cardápio!$A$2:$B$16,2,0))*E2588)</f>
        <v/>
      </c>
      <c r="H2588" s="7" t="str">
        <f t="shared" si="160"/>
        <v/>
      </c>
      <c r="I2588" s="7" t="str">
        <f>IF(AND(ISBLANK(D2588),ISBLANK(C2588)),"",((VLOOKUP(D2588,Cardápio!$A$2:$C$16,3,0))*E2588)+IF(B2588="iFood",F2588*0.27,(VLOOKUP(VENDAS!C2588,Bairros!$A$2:$B$90,2,0))))</f>
        <v/>
      </c>
      <c r="J2588" s="7" t="str">
        <f t="shared" si="161"/>
        <v/>
      </c>
      <c r="K2588" s="9">
        <f t="shared" ca="1" si="162"/>
        <v>45404.878290162036</v>
      </c>
      <c r="L2588" s="10">
        <f t="shared" ca="1" si="163"/>
        <v>45404.878290046297</v>
      </c>
    </row>
    <row r="2589" spans="6:12" x14ac:dyDescent="0.25">
      <c r="F2589" s="11" t="str">
        <f>IF(ISBLANK(D2589),"",(VLOOKUP(D2589,Cardápio!$A$2:$B$16,2,0))*E2589)</f>
        <v/>
      </c>
      <c r="H2589" s="7" t="str">
        <f t="shared" si="160"/>
        <v/>
      </c>
      <c r="I2589" s="7" t="str">
        <f>IF(AND(ISBLANK(D2589),ISBLANK(C2589)),"",((VLOOKUP(D2589,Cardápio!$A$2:$C$16,3,0))*E2589)+IF(B2589="iFood",F2589*0.27,(VLOOKUP(VENDAS!C2589,Bairros!$A$2:$B$90,2,0))))</f>
        <v/>
      </c>
      <c r="J2589" s="7" t="str">
        <f t="shared" si="161"/>
        <v/>
      </c>
      <c r="K2589" s="9">
        <f t="shared" ca="1" si="162"/>
        <v>45404.878290277775</v>
      </c>
      <c r="L2589" s="10">
        <f t="shared" ca="1" si="163"/>
        <v>45404.878290046297</v>
      </c>
    </row>
    <row r="2590" spans="6:12" x14ac:dyDescent="0.25">
      <c r="F2590" s="11" t="str">
        <f>IF(ISBLANK(D2590),"",(VLOOKUP(D2590,Cardápio!$A$2:$B$16,2,0))*E2590)</f>
        <v/>
      </c>
      <c r="H2590" s="7" t="str">
        <f t="shared" si="160"/>
        <v/>
      </c>
      <c r="I2590" s="7" t="str">
        <f>IF(AND(ISBLANK(D2590),ISBLANK(C2590)),"",((VLOOKUP(D2590,Cardápio!$A$2:$C$16,3,0))*E2590)+IF(B2590="iFood",F2590*0.27,(VLOOKUP(VENDAS!C2590,Bairros!$A$2:$B$90,2,0))))</f>
        <v/>
      </c>
      <c r="J2590" s="7" t="str">
        <f t="shared" si="161"/>
        <v/>
      </c>
      <c r="K2590" s="9">
        <f t="shared" ca="1" si="162"/>
        <v>45404.878290162036</v>
      </c>
      <c r="L2590" s="10">
        <f t="shared" ca="1" si="163"/>
        <v>45404.878290046297</v>
      </c>
    </row>
    <row r="2591" spans="6:12" x14ac:dyDescent="0.25">
      <c r="F2591" s="11" t="str">
        <f>IF(ISBLANK(D2591),"",(VLOOKUP(D2591,Cardápio!$A$2:$B$16,2,0))*E2591)</f>
        <v/>
      </c>
      <c r="H2591" s="7" t="str">
        <f t="shared" si="160"/>
        <v/>
      </c>
      <c r="I2591" s="7" t="str">
        <f>IF(AND(ISBLANK(D2591),ISBLANK(C2591)),"",((VLOOKUP(D2591,Cardápio!$A$2:$C$16,3,0))*E2591)+IF(B2591="iFood",F2591*0.27,(VLOOKUP(VENDAS!C2591,Bairros!$A$2:$B$90,2,0))))</f>
        <v/>
      </c>
      <c r="J2591" s="7" t="str">
        <f t="shared" si="161"/>
        <v/>
      </c>
      <c r="K2591" s="9">
        <f t="shared" ca="1" si="162"/>
        <v>45404.878290162036</v>
      </c>
      <c r="L2591" s="10">
        <f t="shared" ca="1" si="163"/>
        <v>45404.878290046297</v>
      </c>
    </row>
    <row r="2592" spans="6:12" x14ac:dyDescent="0.25">
      <c r="F2592" s="11" t="str">
        <f>IF(ISBLANK(D2592),"",(VLOOKUP(D2592,Cardápio!$A$2:$B$16,2,0))*E2592)</f>
        <v/>
      </c>
      <c r="H2592" s="7" t="str">
        <f t="shared" si="160"/>
        <v/>
      </c>
      <c r="I2592" s="7" t="str">
        <f>IF(AND(ISBLANK(D2592),ISBLANK(C2592)),"",((VLOOKUP(D2592,Cardápio!$A$2:$C$16,3,0))*E2592)+IF(B2592="iFood",F2592*0.27,(VLOOKUP(VENDAS!C2592,Bairros!$A$2:$B$90,2,0))))</f>
        <v/>
      </c>
      <c r="J2592" s="7" t="str">
        <f t="shared" si="161"/>
        <v/>
      </c>
      <c r="K2592" s="9">
        <f t="shared" ca="1" si="162"/>
        <v>45404.878290162036</v>
      </c>
      <c r="L2592" s="10">
        <f t="shared" ca="1" si="163"/>
        <v>45404.878290046297</v>
      </c>
    </row>
    <row r="2593" spans="6:12" x14ac:dyDescent="0.25">
      <c r="F2593" s="11" t="str">
        <f>IF(ISBLANK(D2593),"",(VLOOKUP(D2593,Cardápio!$A$2:$B$16,2,0))*E2593)</f>
        <v/>
      </c>
      <c r="H2593" s="7" t="str">
        <f t="shared" si="160"/>
        <v/>
      </c>
      <c r="I2593" s="7" t="str">
        <f>IF(AND(ISBLANK(D2593),ISBLANK(C2593)),"",((VLOOKUP(D2593,Cardápio!$A$2:$C$16,3,0))*E2593)+IF(B2593="iFood",F2593*0.27,(VLOOKUP(VENDAS!C2593,Bairros!$A$2:$B$90,2,0))))</f>
        <v/>
      </c>
      <c r="J2593" s="7" t="str">
        <f t="shared" si="161"/>
        <v/>
      </c>
      <c r="K2593" s="9">
        <f t="shared" ca="1" si="162"/>
        <v>45404.878290277775</v>
      </c>
      <c r="L2593" s="10">
        <f t="shared" ca="1" si="163"/>
        <v>45404.878290046297</v>
      </c>
    </row>
    <row r="2594" spans="6:12" x14ac:dyDescent="0.25">
      <c r="F2594" s="11" t="str">
        <f>IF(ISBLANK(D2594),"",(VLOOKUP(D2594,Cardápio!$A$2:$B$16,2,0))*E2594)</f>
        <v/>
      </c>
      <c r="H2594" s="7" t="str">
        <f t="shared" si="160"/>
        <v/>
      </c>
      <c r="I2594" s="7" t="str">
        <f>IF(AND(ISBLANK(D2594),ISBLANK(C2594)),"",((VLOOKUP(D2594,Cardápio!$A$2:$C$16,3,0))*E2594)+IF(B2594="iFood",F2594*0.27,(VLOOKUP(VENDAS!C2594,Bairros!$A$2:$B$90,2,0))))</f>
        <v/>
      </c>
      <c r="J2594" s="7" t="str">
        <f t="shared" si="161"/>
        <v/>
      </c>
      <c r="K2594" s="9">
        <f t="shared" ca="1" si="162"/>
        <v>45404.878290162036</v>
      </c>
      <c r="L2594" s="10">
        <f t="shared" ca="1" si="163"/>
        <v>45404.878290046297</v>
      </c>
    </row>
    <row r="2595" spans="6:12" x14ac:dyDescent="0.25">
      <c r="F2595" s="11" t="str">
        <f>IF(ISBLANK(D2595),"",(VLOOKUP(D2595,Cardápio!$A$2:$B$16,2,0))*E2595)</f>
        <v/>
      </c>
      <c r="H2595" s="7" t="str">
        <f t="shared" si="160"/>
        <v/>
      </c>
      <c r="I2595" s="7" t="str">
        <f>IF(AND(ISBLANK(D2595),ISBLANK(C2595)),"",((VLOOKUP(D2595,Cardápio!$A$2:$C$16,3,0))*E2595)+IF(B2595="iFood",F2595*0.27,(VLOOKUP(VENDAS!C2595,Bairros!$A$2:$B$90,2,0))))</f>
        <v/>
      </c>
      <c r="J2595" s="7" t="str">
        <f t="shared" si="161"/>
        <v/>
      </c>
      <c r="K2595" s="9">
        <f t="shared" ca="1" si="162"/>
        <v>45404.878290162036</v>
      </c>
      <c r="L2595" s="10">
        <f t="shared" ca="1" si="163"/>
        <v>45404.878290046297</v>
      </c>
    </row>
    <row r="2596" spans="6:12" x14ac:dyDescent="0.25">
      <c r="F2596" s="11" t="str">
        <f>IF(ISBLANK(D2596),"",(VLOOKUP(D2596,Cardápio!$A$2:$B$16,2,0))*E2596)</f>
        <v/>
      </c>
      <c r="H2596" s="7" t="str">
        <f t="shared" si="160"/>
        <v/>
      </c>
      <c r="I2596" s="7" t="str">
        <f>IF(AND(ISBLANK(D2596),ISBLANK(C2596)),"",((VLOOKUP(D2596,Cardápio!$A$2:$C$16,3,0))*E2596)+IF(B2596="iFood",F2596*0.27,(VLOOKUP(VENDAS!C2596,Bairros!$A$2:$B$90,2,0))))</f>
        <v/>
      </c>
      <c r="J2596" s="7" t="str">
        <f t="shared" si="161"/>
        <v/>
      </c>
      <c r="K2596" s="9">
        <f t="shared" ca="1" si="162"/>
        <v>45404.878290162036</v>
      </c>
      <c r="L2596" s="10">
        <f t="shared" ca="1" si="163"/>
        <v>45404.878290046297</v>
      </c>
    </row>
    <row r="2597" spans="6:12" x14ac:dyDescent="0.25">
      <c r="F2597" s="11" t="str">
        <f>IF(ISBLANK(D2597),"",(VLOOKUP(D2597,Cardápio!$A$2:$B$16,2,0))*E2597)</f>
        <v/>
      </c>
      <c r="H2597" s="7" t="str">
        <f t="shared" si="160"/>
        <v/>
      </c>
      <c r="I2597" s="7" t="str">
        <f>IF(AND(ISBLANK(D2597),ISBLANK(C2597)),"",((VLOOKUP(D2597,Cardápio!$A$2:$C$16,3,0))*E2597)+IF(B2597="iFood",F2597*0.27,(VLOOKUP(VENDAS!C2597,Bairros!$A$2:$B$90,2,0))))</f>
        <v/>
      </c>
      <c r="J2597" s="7" t="str">
        <f t="shared" si="161"/>
        <v/>
      </c>
      <c r="K2597" s="9">
        <f t="shared" ca="1" si="162"/>
        <v>45404.878290277775</v>
      </c>
      <c r="L2597" s="10">
        <f t="shared" ca="1" si="163"/>
        <v>45404.878290046297</v>
      </c>
    </row>
    <row r="2598" spans="6:12" x14ac:dyDescent="0.25">
      <c r="F2598" s="11" t="str">
        <f>IF(ISBLANK(D2598),"",(VLOOKUP(D2598,Cardápio!$A$2:$B$16,2,0))*E2598)</f>
        <v/>
      </c>
      <c r="H2598" s="7" t="str">
        <f t="shared" si="160"/>
        <v/>
      </c>
      <c r="I2598" s="7" t="str">
        <f>IF(AND(ISBLANK(D2598),ISBLANK(C2598)),"",((VLOOKUP(D2598,Cardápio!$A$2:$C$16,3,0))*E2598)+IF(B2598="iFood",F2598*0.27,(VLOOKUP(VENDAS!C2598,Bairros!$A$2:$B$90,2,0))))</f>
        <v/>
      </c>
      <c r="J2598" s="7" t="str">
        <f t="shared" si="161"/>
        <v/>
      </c>
      <c r="K2598" s="9">
        <f t="shared" ca="1" si="162"/>
        <v>45404.878290162036</v>
      </c>
      <c r="L2598" s="10">
        <f t="shared" ca="1" si="163"/>
        <v>45404.878290046297</v>
      </c>
    </row>
    <row r="2599" spans="6:12" x14ac:dyDescent="0.25">
      <c r="F2599" s="11" t="str">
        <f>IF(ISBLANK(D2599),"",(VLOOKUP(D2599,Cardápio!$A$2:$B$16,2,0))*E2599)</f>
        <v/>
      </c>
      <c r="H2599" s="7" t="str">
        <f t="shared" si="160"/>
        <v/>
      </c>
      <c r="I2599" s="7" t="str">
        <f>IF(AND(ISBLANK(D2599),ISBLANK(C2599)),"",((VLOOKUP(D2599,Cardápio!$A$2:$C$16,3,0))*E2599)+IF(B2599="iFood",F2599*0.27,(VLOOKUP(VENDAS!C2599,Bairros!$A$2:$B$90,2,0))))</f>
        <v/>
      </c>
      <c r="J2599" s="7" t="str">
        <f t="shared" si="161"/>
        <v/>
      </c>
      <c r="K2599" s="9">
        <f t="shared" ca="1" si="162"/>
        <v>45404.878290162036</v>
      </c>
      <c r="L2599" s="10">
        <f t="shared" ca="1" si="163"/>
        <v>45404.878290046297</v>
      </c>
    </row>
    <row r="2600" spans="6:12" x14ac:dyDescent="0.25">
      <c r="F2600" s="11" t="str">
        <f>IF(ISBLANK(D2600),"",(VLOOKUP(D2600,Cardápio!$A$2:$B$16,2,0))*E2600)</f>
        <v/>
      </c>
      <c r="H2600" s="7" t="str">
        <f t="shared" si="160"/>
        <v/>
      </c>
      <c r="I2600" s="7" t="str">
        <f>IF(AND(ISBLANK(D2600),ISBLANK(C2600)),"",((VLOOKUP(D2600,Cardápio!$A$2:$C$16,3,0))*E2600)+IF(B2600="iFood",F2600*0.27,(VLOOKUP(VENDAS!C2600,Bairros!$A$2:$B$90,2,0))))</f>
        <v/>
      </c>
      <c r="J2600" s="7" t="str">
        <f t="shared" si="161"/>
        <v/>
      </c>
      <c r="K2600" s="9">
        <f t="shared" ca="1" si="162"/>
        <v>45404.878290162036</v>
      </c>
      <c r="L2600" s="10">
        <f t="shared" ca="1" si="163"/>
        <v>45404.878290046297</v>
      </c>
    </row>
    <row r="2601" spans="6:12" x14ac:dyDescent="0.25">
      <c r="F2601" s="11" t="str">
        <f>IF(ISBLANK(D2601),"",(VLOOKUP(D2601,Cardápio!$A$2:$B$16,2,0))*E2601)</f>
        <v/>
      </c>
      <c r="H2601" s="7" t="str">
        <f t="shared" si="160"/>
        <v/>
      </c>
      <c r="I2601" s="7" t="str">
        <f>IF(AND(ISBLANK(D2601),ISBLANK(C2601)),"",((VLOOKUP(D2601,Cardápio!$A$2:$C$16,3,0))*E2601)+IF(B2601="iFood",F2601*0.27,(VLOOKUP(VENDAS!C2601,Bairros!$A$2:$B$90,2,0))))</f>
        <v/>
      </c>
      <c r="J2601" s="7" t="str">
        <f t="shared" si="161"/>
        <v/>
      </c>
      <c r="K2601" s="9">
        <f t="shared" ca="1" si="162"/>
        <v>45404.878290277775</v>
      </c>
      <c r="L2601" s="10">
        <f t="shared" ca="1" si="163"/>
        <v>45404.878290046297</v>
      </c>
    </row>
    <row r="2602" spans="6:12" x14ac:dyDescent="0.25">
      <c r="F2602" s="11" t="str">
        <f>IF(ISBLANK(D2602),"",(VLOOKUP(D2602,Cardápio!$A$2:$B$16,2,0))*E2602)</f>
        <v/>
      </c>
      <c r="H2602" s="7" t="str">
        <f t="shared" si="160"/>
        <v/>
      </c>
      <c r="I2602" s="7" t="str">
        <f>IF(AND(ISBLANK(D2602),ISBLANK(C2602)),"",((VLOOKUP(D2602,Cardápio!$A$2:$C$16,3,0))*E2602)+IF(B2602="iFood",F2602*0.27,(VLOOKUP(VENDAS!C2602,Bairros!$A$2:$B$90,2,0))))</f>
        <v/>
      </c>
      <c r="J2602" s="7" t="str">
        <f t="shared" si="161"/>
        <v/>
      </c>
      <c r="K2602" s="9">
        <f t="shared" ca="1" si="162"/>
        <v>45404.878290162036</v>
      </c>
      <c r="L2602" s="10">
        <f t="shared" ca="1" si="163"/>
        <v>45404.878290046297</v>
      </c>
    </row>
    <row r="2603" spans="6:12" x14ac:dyDescent="0.25">
      <c r="F2603" s="11" t="str">
        <f>IF(ISBLANK(D2603),"",(VLOOKUP(D2603,Cardápio!$A$2:$B$16,2,0))*E2603)</f>
        <v/>
      </c>
      <c r="H2603" s="7" t="str">
        <f t="shared" si="160"/>
        <v/>
      </c>
      <c r="I2603" s="7" t="str">
        <f>IF(AND(ISBLANK(D2603),ISBLANK(C2603)),"",((VLOOKUP(D2603,Cardápio!$A$2:$C$16,3,0))*E2603)+IF(B2603="iFood",F2603*0.27,(VLOOKUP(VENDAS!C2603,Bairros!$A$2:$B$90,2,0))))</f>
        <v/>
      </c>
      <c r="J2603" s="7" t="str">
        <f t="shared" si="161"/>
        <v/>
      </c>
      <c r="K2603" s="9">
        <f t="shared" ca="1" si="162"/>
        <v>45404.878290162036</v>
      </c>
      <c r="L2603" s="10">
        <f t="shared" ca="1" si="163"/>
        <v>45404.878290046297</v>
      </c>
    </row>
    <row r="2604" spans="6:12" x14ac:dyDescent="0.25">
      <c r="F2604" s="11" t="str">
        <f>IF(ISBLANK(D2604),"",(VLOOKUP(D2604,Cardápio!$A$2:$B$16,2,0))*E2604)</f>
        <v/>
      </c>
      <c r="H2604" s="7" t="str">
        <f t="shared" si="160"/>
        <v/>
      </c>
      <c r="I2604" s="7" t="str">
        <f>IF(AND(ISBLANK(D2604),ISBLANK(C2604)),"",((VLOOKUP(D2604,Cardápio!$A$2:$C$16,3,0))*E2604)+IF(B2604="iFood",F2604*0.27,(VLOOKUP(VENDAS!C2604,Bairros!$A$2:$B$90,2,0))))</f>
        <v/>
      </c>
      <c r="J2604" s="7" t="str">
        <f t="shared" si="161"/>
        <v/>
      </c>
      <c r="K2604" s="9">
        <f t="shared" ca="1" si="162"/>
        <v>45404.878290162036</v>
      </c>
      <c r="L2604" s="10">
        <f t="shared" ca="1" si="163"/>
        <v>45404.878290046297</v>
      </c>
    </row>
    <row r="2605" spans="6:12" x14ac:dyDescent="0.25">
      <c r="F2605" s="11" t="str">
        <f>IF(ISBLANK(D2605),"",(VLOOKUP(D2605,Cardápio!$A$2:$B$16,2,0))*E2605)</f>
        <v/>
      </c>
      <c r="H2605" s="7" t="str">
        <f t="shared" si="160"/>
        <v/>
      </c>
      <c r="I2605" s="7" t="str">
        <f>IF(AND(ISBLANK(D2605),ISBLANK(C2605)),"",((VLOOKUP(D2605,Cardápio!$A$2:$C$16,3,0))*E2605)+IF(B2605="iFood",F2605*0.27,(VLOOKUP(VENDAS!C2605,Bairros!$A$2:$B$90,2,0))))</f>
        <v/>
      </c>
      <c r="J2605" s="7" t="str">
        <f t="shared" si="161"/>
        <v/>
      </c>
      <c r="K2605" s="9">
        <f t="shared" ca="1" si="162"/>
        <v>45404.878290277775</v>
      </c>
      <c r="L2605" s="10">
        <f t="shared" ca="1" si="163"/>
        <v>45404.878290046297</v>
      </c>
    </row>
    <row r="2606" spans="6:12" x14ac:dyDescent="0.25">
      <c r="F2606" s="11" t="str">
        <f>IF(ISBLANK(D2606),"",(VLOOKUP(D2606,Cardápio!$A$2:$B$16,2,0))*E2606)</f>
        <v/>
      </c>
      <c r="H2606" s="7" t="str">
        <f t="shared" si="160"/>
        <v/>
      </c>
      <c r="I2606" s="7" t="str">
        <f>IF(AND(ISBLANK(D2606),ISBLANK(C2606)),"",((VLOOKUP(D2606,Cardápio!$A$2:$C$16,3,0))*E2606)+IF(B2606="iFood",F2606*0.27,(VLOOKUP(VENDAS!C2606,Bairros!$A$2:$B$90,2,0))))</f>
        <v/>
      </c>
      <c r="J2606" s="7" t="str">
        <f t="shared" si="161"/>
        <v/>
      </c>
      <c r="K2606" s="9">
        <f t="shared" ca="1" si="162"/>
        <v>45404.878290162036</v>
      </c>
      <c r="L2606" s="10">
        <f t="shared" ca="1" si="163"/>
        <v>45404.878290046297</v>
      </c>
    </row>
    <row r="2607" spans="6:12" x14ac:dyDescent="0.25">
      <c r="F2607" s="11" t="str">
        <f>IF(ISBLANK(D2607),"",(VLOOKUP(D2607,Cardápio!$A$2:$B$16,2,0))*E2607)</f>
        <v/>
      </c>
      <c r="H2607" s="7" t="str">
        <f t="shared" si="160"/>
        <v/>
      </c>
      <c r="I2607" s="7" t="str">
        <f>IF(AND(ISBLANK(D2607),ISBLANK(C2607)),"",((VLOOKUP(D2607,Cardápio!$A$2:$C$16,3,0))*E2607)+IF(B2607="iFood",F2607*0.27,(VLOOKUP(VENDAS!C2607,Bairros!$A$2:$B$90,2,0))))</f>
        <v/>
      </c>
      <c r="J2607" s="7" t="str">
        <f t="shared" si="161"/>
        <v/>
      </c>
      <c r="K2607" s="9">
        <f t="shared" ca="1" si="162"/>
        <v>45404.878290162036</v>
      </c>
      <c r="L2607" s="10">
        <f t="shared" ca="1" si="163"/>
        <v>45404.878290046297</v>
      </c>
    </row>
    <row r="2608" spans="6:12" x14ac:dyDescent="0.25">
      <c r="F2608" s="11" t="str">
        <f>IF(ISBLANK(D2608),"",(VLOOKUP(D2608,Cardápio!$A$2:$B$16,2,0))*E2608)</f>
        <v/>
      </c>
      <c r="H2608" s="7" t="str">
        <f t="shared" si="160"/>
        <v/>
      </c>
      <c r="I2608" s="7" t="str">
        <f>IF(AND(ISBLANK(D2608),ISBLANK(C2608)),"",((VLOOKUP(D2608,Cardápio!$A$2:$C$16,3,0))*E2608)+IF(B2608="iFood",F2608*0.27,(VLOOKUP(VENDAS!C2608,Bairros!$A$2:$B$90,2,0))))</f>
        <v/>
      </c>
      <c r="J2608" s="7" t="str">
        <f t="shared" si="161"/>
        <v/>
      </c>
      <c r="K2608" s="9">
        <f t="shared" ca="1" si="162"/>
        <v>45404.878290162036</v>
      </c>
      <c r="L2608" s="10">
        <f t="shared" ca="1" si="163"/>
        <v>45404.878290046297</v>
      </c>
    </row>
    <row r="2609" spans="6:12" x14ac:dyDescent="0.25">
      <c r="F2609" s="11" t="str">
        <f>IF(ISBLANK(D2609),"",(VLOOKUP(D2609,Cardápio!$A$2:$B$16,2,0))*E2609)</f>
        <v/>
      </c>
      <c r="H2609" s="7" t="str">
        <f t="shared" si="160"/>
        <v/>
      </c>
      <c r="I2609" s="7" t="str">
        <f>IF(AND(ISBLANK(D2609),ISBLANK(C2609)),"",((VLOOKUP(D2609,Cardápio!$A$2:$C$16,3,0))*E2609)+IF(B2609="iFood",F2609*0.27,(VLOOKUP(VENDAS!C2609,Bairros!$A$2:$B$90,2,0))))</f>
        <v/>
      </c>
      <c r="J2609" s="7" t="str">
        <f t="shared" si="161"/>
        <v/>
      </c>
      <c r="K2609" s="9">
        <f t="shared" ca="1" si="162"/>
        <v>45404.878290277775</v>
      </c>
      <c r="L2609" s="10">
        <f t="shared" ca="1" si="163"/>
        <v>45404.878290046297</v>
      </c>
    </row>
    <row r="2610" spans="6:12" x14ac:dyDescent="0.25">
      <c r="F2610" s="11" t="str">
        <f>IF(ISBLANK(D2610),"",(VLOOKUP(D2610,Cardápio!$A$2:$B$16,2,0))*E2610)</f>
        <v/>
      </c>
      <c r="H2610" s="7" t="str">
        <f t="shared" si="160"/>
        <v/>
      </c>
      <c r="I2610" s="7" t="str">
        <f>IF(AND(ISBLANK(D2610),ISBLANK(C2610)),"",((VLOOKUP(D2610,Cardápio!$A$2:$C$16,3,0))*E2610)+IF(B2610="iFood",F2610*0.27,(VLOOKUP(VENDAS!C2610,Bairros!$A$2:$B$90,2,0))))</f>
        <v/>
      </c>
      <c r="J2610" s="7" t="str">
        <f t="shared" si="161"/>
        <v/>
      </c>
      <c r="K2610" s="9">
        <f t="shared" ca="1" si="162"/>
        <v>45404.878290162036</v>
      </c>
      <c r="L2610" s="10">
        <f t="shared" ca="1" si="163"/>
        <v>45404.878290046297</v>
      </c>
    </row>
    <row r="2611" spans="6:12" x14ac:dyDescent="0.25">
      <c r="F2611" s="11" t="str">
        <f>IF(ISBLANK(D2611),"",(VLOOKUP(D2611,Cardápio!$A$2:$B$16,2,0))*E2611)</f>
        <v/>
      </c>
      <c r="H2611" s="7" t="str">
        <f t="shared" si="160"/>
        <v/>
      </c>
      <c r="I2611" s="7" t="str">
        <f>IF(AND(ISBLANK(D2611),ISBLANK(C2611)),"",((VLOOKUP(D2611,Cardápio!$A$2:$C$16,3,0))*E2611)+IF(B2611="iFood",F2611*0.27,(VLOOKUP(VENDAS!C2611,Bairros!$A$2:$B$90,2,0))))</f>
        <v/>
      </c>
      <c r="J2611" s="7" t="str">
        <f t="shared" si="161"/>
        <v/>
      </c>
      <c r="K2611" s="9">
        <f t="shared" ca="1" si="162"/>
        <v>45404.878290162036</v>
      </c>
      <c r="L2611" s="10">
        <f t="shared" ca="1" si="163"/>
        <v>45404.878290046297</v>
      </c>
    </row>
    <row r="2612" spans="6:12" x14ac:dyDescent="0.25">
      <c r="F2612" s="11" t="str">
        <f>IF(ISBLANK(D2612),"",(VLOOKUP(D2612,Cardápio!$A$2:$B$16,2,0))*E2612)</f>
        <v/>
      </c>
      <c r="H2612" s="7" t="str">
        <f t="shared" si="160"/>
        <v/>
      </c>
      <c r="I2612" s="7" t="str">
        <f>IF(AND(ISBLANK(D2612),ISBLANK(C2612)),"",((VLOOKUP(D2612,Cardápio!$A$2:$C$16,3,0))*E2612)+IF(B2612="iFood",F2612*0.27,(VLOOKUP(VENDAS!C2612,Bairros!$A$2:$B$90,2,0))))</f>
        <v/>
      </c>
      <c r="J2612" s="7" t="str">
        <f t="shared" si="161"/>
        <v/>
      </c>
      <c r="K2612" s="9">
        <f t="shared" ca="1" si="162"/>
        <v>45404.878290162036</v>
      </c>
      <c r="L2612" s="10">
        <f t="shared" ca="1" si="163"/>
        <v>45404.878290046297</v>
      </c>
    </row>
    <row r="2613" spans="6:12" x14ac:dyDescent="0.25">
      <c r="F2613" s="11" t="str">
        <f>IF(ISBLANK(D2613),"",(VLOOKUP(D2613,Cardápio!$A$2:$B$16,2,0))*E2613)</f>
        <v/>
      </c>
      <c r="H2613" s="7" t="str">
        <f t="shared" ref="H2613:H2676" si="164">IF(ISBLANK(D2613),"",F2613-G2613)</f>
        <v/>
      </c>
      <c r="I2613" s="7" t="str">
        <f>IF(AND(ISBLANK(D2613),ISBLANK(C2613)),"",((VLOOKUP(D2613,Cardápio!$A$2:$C$16,3,0))*E2613)+IF(B2613="iFood",F2613*0.27,(VLOOKUP(VENDAS!C2613,Bairros!$A$2:$B$90,2,0))))</f>
        <v/>
      </c>
      <c r="J2613" s="7" t="str">
        <f t="shared" ref="J2613:J2676" si="165">IF(OR(AND(ISBLANK(H2613),ISBLANK(I2613)),(AND(H2613="",I2613=""))),"",H2613-I2613)</f>
        <v/>
      </c>
      <c r="K2613" s="9">
        <f t="shared" ref="K2613:K2676" ca="1" si="166">IF(D2613&lt;&gt;"",K2613,NOW())</f>
        <v>45404.878290277775</v>
      </c>
      <c r="L2613" s="10">
        <f t="shared" ref="L2613:L2676" ca="1" si="167">IF(D2613&lt;&gt;"",L2613,NOW())</f>
        <v>45404.878290046297</v>
      </c>
    </row>
    <row r="2614" spans="6:12" x14ac:dyDescent="0.25">
      <c r="F2614" s="11" t="str">
        <f>IF(ISBLANK(D2614),"",(VLOOKUP(D2614,Cardápio!$A$2:$B$16,2,0))*E2614)</f>
        <v/>
      </c>
      <c r="H2614" s="7" t="str">
        <f t="shared" si="164"/>
        <v/>
      </c>
      <c r="I2614" s="7" t="str">
        <f>IF(AND(ISBLANK(D2614),ISBLANK(C2614)),"",((VLOOKUP(D2614,Cardápio!$A$2:$C$16,3,0))*E2614)+IF(B2614="iFood",F2614*0.27,(VLOOKUP(VENDAS!C2614,Bairros!$A$2:$B$90,2,0))))</f>
        <v/>
      </c>
      <c r="J2614" s="7" t="str">
        <f t="shared" si="165"/>
        <v/>
      </c>
      <c r="K2614" s="9">
        <f t="shared" ca="1" si="166"/>
        <v>45404.878290162036</v>
      </c>
      <c r="L2614" s="10">
        <f t="shared" ca="1" si="167"/>
        <v>45404.878290046297</v>
      </c>
    </row>
    <row r="2615" spans="6:12" x14ac:dyDescent="0.25">
      <c r="F2615" s="11" t="str">
        <f>IF(ISBLANK(D2615),"",(VLOOKUP(D2615,Cardápio!$A$2:$B$16,2,0))*E2615)</f>
        <v/>
      </c>
      <c r="H2615" s="7" t="str">
        <f t="shared" si="164"/>
        <v/>
      </c>
      <c r="I2615" s="7" t="str">
        <f>IF(AND(ISBLANK(D2615),ISBLANK(C2615)),"",((VLOOKUP(D2615,Cardápio!$A$2:$C$16,3,0))*E2615)+IF(B2615="iFood",F2615*0.27,(VLOOKUP(VENDAS!C2615,Bairros!$A$2:$B$90,2,0))))</f>
        <v/>
      </c>
      <c r="J2615" s="7" t="str">
        <f t="shared" si="165"/>
        <v/>
      </c>
      <c r="K2615" s="9">
        <f t="shared" ca="1" si="166"/>
        <v>45404.878290162036</v>
      </c>
      <c r="L2615" s="10">
        <f t="shared" ca="1" si="167"/>
        <v>45404.878290046297</v>
      </c>
    </row>
    <row r="2616" spans="6:12" x14ac:dyDescent="0.25">
      <c r="F2616" s="11" t="str">
        <f>IF(ISBLANK(D2616),"",(VLOOKUP(D2616,Cardápio!$A$2:$B$16,2,0))*E2616)</f>
        <v/>
      </c>
      <c r="H2616" s="7" t="str">
        <f t="shared" si="164"/>
        <v/>
      </c>
      <c r="I2616" s="7" t="str">
        <f>IF(AND(ISBLANK(D2616),ISBLANK(C2616)),"",((VLOOKUP(D2616,Cardápio!$A$2:$C$16,3,0))*E2616)+IF(B2616="iFood",F2616*0.27,(VLOOKUP(VENDAS!C2616,Bairros!$A$2:$B$90,2,0))))</f>
        <v/>
      </c>
      <c r="J2616" s="7" t="str">
        <f t="shared" si="165"/>
        <v/>
      </c>
      <c r="K2616" s="9">
        <f t="shared" ca="1" si="166"/>
        <v>45404.878290162036</v>
      </c>
      <c r="L2616" s="10">
        <f t="shared" ca="1" si="167"/>
        <v>45404.878290046297</v>
      </c>
    </row>
    <row r="2617" spans="6:12" x14ac:dyDescent="0.25">
      <c r="F2617" s="11" t="str">
        <f>IF(ISBLANK(D2617),"",(VLOOKUP(D2617,Cardápio!$A$2:$B$16,2,0))*E2617)</f>
        <v/>
      </c>
      <c r="H2617" s="7" t="str">
        <f t="shared" si="164"/>
        <v/>
      </c>
      <c r="I2617" s="7" t="str">
        <f>IF(AND(ISBLANK(D2617),ISBLANK(C2617)),"",((VLOOKUP(D2617,Cardápio!$A$2:$C$16,3,0))*E2617)+IF(B2617="iFood",F2617*0.27,(VLOOKUP(VENDAS!C2617,Bairros!$A$2:$B$90,2,0))))</f>
        <v/>
      </c>
      <c r="J2617" s="7" t="str">
        <f t="shared" si="165"/>
        <v/>
      </c>
      <c r="K2617" s="9">
        <f t="shared" ca="1" si="166"/>
        <v>45404.878290277775</v>
      </c>
      <c r="L2617" s="10">
        <f t="shared" ca="1" si="167"/>
        <v>45404.878290046297</v>
      </c>
    </row>
    <row r="2618" spans="6:12" x14ac:dyDescent="0.25">
      <c r="F2618" s="11" t="str">
        <f>IF(ISBLANK(D2618),"",(VLOOKUP(D2618,Cardápio!$A$2:$B$16,2,0))*E2618)</f>
        <v/>
      </c>
      <c r="H2618" s="7" t="str">
        <f t="shared" si="164"/>
        <v/>
      </c>
      <c r="I2618" s="7" t="str">
        <f>IF(AND(ISBLANK(D2618),ISBLANK(C2618)),"",((VLOOKUP(D2618,Cardápio!$A$2:$C$16,3,0))*E2618)+IF(B2618="iFood",F2618*0.27,(VLOOKUP(VENDAS!C2618,Bairros!$A$2:$B$90,2,0))))</f>
        <v/>
      </c>
      <c r="J2618" s="7" t="str">
        <f t="shared" si="165"/>
        <v/>
      </c>
      <c r="K2618" s="9">
        <f t="shared" ca="1" si="166"/>
        <v>45404.878290162036</v>
      </c>
      <c r="L2618" s="10">
        <f t="shared" ca="1" si="167"/>
        <v>45404.878290046297</v>
      </c>
    </row>
    <row r="2619" spans="6:12" x14ac:dyDescent="0.25">
      <c r="F2619" s="11" t="str">
        <f>IF(ISBLANK(D2619),"",(VLOOKUP(D2619,Cardápio!$A$2:$B$16,2,0))*E2619)</f>
        <v/>
      </c>
      <c r="H2619" s="7" t="str">
        <f t="shared" si="164"/>
        <v/>
      </c>
      <c r="I2619" s="7" t="str">
        <f>IF(AND(ISBLANK(D2619),ISBLANK(C2619)),"",((VLOOKUP(D2619,Cardápio!$A$2:$C$16,3,0))*E2619)+IF(B2619="iFood",F2619*0.27,(VLOOKUP(VENDAS!C2619,Bairros!$A$2:$B$90,2,0))))</f>
        <v/>
      </c>
      <c r="J2619" s="7" t="str">
        <f t="shared" si="165"/>
        <v/>
      </c>
      <c r="K2619" s="9">
        <f t="shared" ca="1" si="166"/>
        <v>45404.878290162036</v>
      </c>
      <c r="L2619" s="10">
        <f t="shared" ca="1" si="167"/>
        <v>45404.878290046297</v>
      </c>
    </row>
    <row r="2620" spans="6:12" x14ac:dyDescent="0.25">
      <c r="F2620" s="11" t="str">
        <f>IF(ISBLANK(D2620),"",(VLOOKUP(D2620,Cardápio!$A$2:$B$16,2,0))*E2620)</f>
        <v/>
      </c>
      <c r="H2620" s="7" t="str">
        <f t="shared" si="164"/>
        <v/>
      </c>
      <c r="I2620" s="7" t="str">
        <f>IF(AND(ISBLANK(D2620),ISBLANK(C2620)),"",((VLOOKUP(D2620,Cardápio!$A$2:$C$16,3,0))*E2620)+IF(B2620="iFood",F2620*0.27,(VLOOKUP(VENDAS!C2620,Bairros!$A$2:$B$90,2,0))))</f>
        <v/>
      </c>
      <c r="J2620" s="7" t="str">
        <f t="shared" si="165"/>
        <v/>
      </c>
      <c r="K2620" s="9">
        <f t="shared" ca="1" si="166"/>
        <v>45404.878290162036</v>
      </c>
      <c r="L2620" s="10">
        <f t="shared" ca="1" si="167"/>
        <v>45404.878290046297</v>
      </c>
    </row>
    <row r="2621" spans="6:12" x14ac:dyDescent="0.25">
      <c r="F2621" s="11" t="str">
        <f>IF(ISBLANK(D2621),"",(VLOOKUP(D2621,Cardápio!$A$2:$B$16,2,0))*E2621)</f>
        <v/>
      </c>
      <c r="H2621" s="7" t="str">
        <f t="shared" si="164"/>
        <v/>
      </c>
      <c r="I2621" s="7" t="str">
        <f>IF(AND(ISBLANK(D2621),ISBLANK(C2621)),"",((VLOOKUP(D2621,Cardápio!$A$2:$C$16,3,0))*E2621)+IF(B2621="iFood",F2621*0.27,(VLOOKUP(VENDAS!C2621,Bairros!$A$2:$B$90,2,0))))</f>
        <v/>
      </c>
      <c r="J2621" s="7" t="str">
        <f t="shared" si="165"/>
        <v/>
      </c>
      <c r="K2621" s="9">
        <f t="shared" ca="1" si="166"/>
        <v>45404.878290277775</v>
      </c>
      <c r="L2621" s="10">
        <f t="shared" ca="1" si="167"/>
        <v>45404.878290046297</v>
      </c>
    </row>
    <row r="2622" spans="6:12" x14ac:dyDescent="0.25">
      <c r="F2622" s="11" t="str">
        <f>IF(ISBLANK(D2622),"",(VLOOKUP(D2622,Cardápio!$A$2:$B$16,2,0))*E2622)</f>
        <v/>
      </c>
      <c r="H2622" s="7" t="str">
        <f t="shared" si="164"/>
        <v/>
      </c>
      <c r="I2622" s="7" t="str">
        <f>IF(AND(ISBLANK(D2622),ISBLANK(C2622)),"",((VLOOKUP(D2622,Cardápio!$A$2:$C$16,3,0))*E2622)+IF(B2622="iFood",F2622*0.27,(VLOOKUP(VENDAS!C2622,Bairros!$A$2:$B$90,2,0))))</f>
        <v/>
      </c>
      <c r="J2622" s="7" t="str">
        <f t="shared" si="165"/>
        <v/>
      </c>
      <c r="K2622" s="9">
        <f t="shared" ca="1" si="166"/>
        <v>45404.878290162036</v>
      </c>
      <c r="L2622" s="10">
        <f t="shared" ca="1" si="167"/>
        <v>45404.878290046297</v>
      </c>
    </row>
    <row r="2623" spans="6:12" x14ac:dyDescent="0.25">
      <c r="F2623" s="11" t="str">
        <f>IF(ISBLANK(D2623),"",(VLOOKUP(D2623,Cardápio!$A$2:$B$16,2,0))*E2623)</f>
        <v/>
      </c>
      <c r="H2623" s="7" t="str">
        <f t="shared" si="164"/>
        <v/>
      </c>
      <c r="I2623" s="7" t="str">
        <f>IF(AND(ISBLANK(D2623),ISBLANK(C2623)),"",((VLOOKUP(D2623,Cardápio!$A$2:$C$16,3,0))*E2623)+IF(B2623="iFood",F2623*0.27,(VLOOKUP(VENDAS!C2623,Bairros!$A$2:$B$90,2,0))))</f>
        <v/>
      </c>
      <c r="J2623" s="7" t="str">
        <f t="shared" si="165"/>
        <v/>
      </c>
      <c r="K2623" s="9">
        <f t="shared" ca="1" si="166"/>
        <v>45404.878290162036</v>
      </c>
      <c r="L2623" s="10">
        <f t="shared" ca="1" si="167"/>
        <v>45404.878290046297</v>
      </c>
    </row>
    <row r="2624" spans="6:12" x14ac:dyDescent="0.25">
      <c r="F2624" s="11" t="str">
        <f>IF(ISBLANK(D2624),"",(VLOOKUP(D2624,Cardápio!$A$2:$B$16,2,0))*E2624)</f>
        <v/>
      </c>
      <c r="H2624" s="7" t="str">
        <f t="shared" si="164"/>
        <v/>
      </c>
      <c r="I2624" s="7" t="str">
        <f>IF(AND(ISBLANK(D2624),ISBLANK(C2624)),"",((VLOOKUP(D2624,Cardápio!$A$2:$C$16,3,0))*E2624)+IF(B2624="iFood",F2624*0.27,(VLOOKUP(VENDAS!C2624,Bairros!$A$2:$B$90,2,0))))</f>
        <v/>
      </c>
      <c r="J2624" s="7" t="str">
        <f t="shared" si="165"/>
        <v/>
      </c>
      <c r="K2624" s="9">
        <f t="shared" ca="1" si="166"/>
        <v>45404.878290162036</v>
      </c>
      <c r="L2624" s="10">
        <f t="shared" ca="1" si="167"/>
        <v>45404.878290046297</v>
      </c>
    </row>
    <row r="2625" spans="6:12" x14ac:dyDescent="0.25">
      <c r="F2625" s="11" t="str">
        <f>IF(ISBLANK(D2625),"",(VLOOKUP(D2625,Cardápio!$A$2:$B$16,2,0))*E2625)</f>
        <v/>
      </c>
      <c r="H2625" s="7" t="str">
        <f t="shared" si="164"/>
        <v/>
      </c>
      <c r="I2625" s="7" t="str">
        <f>IF(AND(ISBLANK(D2625),ISBLANK(C2625)),"",((VLOOKUP(D2625,Cardápio!$A$2:$C$16,3,0))*E2625)+IF(B2625="iFood",F2625*0.27,(VLOOKUP(VENDAS!C2625,Bairros!$A$2:$B$90,2,0))))</f>
        <v/>
      </c>
      <c r="J2625" s="7" t="str">
        <f t="shared" si="165"/>
        <v/>
      </c>
      <c r="K2625" s="9">
        <f t="shared" ca="1" si="166"/>
        <v>45404.878290277775</v>
      </c>
      <c r="L2625" s="10">
        <f t="shared" ca="1" si="167"/>
        <v>45404.878290046297</v>
      </c>
    </row>
    <row r="2626" spans="6:12" x14ac:dyDescent="0.25">
      <c r="F2626" s="11" t="str">
        <f>IF(ISBLANK(D2626),"",(VLOOKUP(D2626,Cardápio!$A$2:$B$16,2,0))*E2626)</f>
        <v/>
      </c>
      <c r="H2626" s="7" t="str">
        <f t="shared" si="164"/>
        <v/>
      </c>
      <c r="I2626" s="7" t="str">
        <f>IF(AND(ISBLANK(D2626),ISBLANK(C2626)),"",((VLOOKUP(D2626,Cardápio!$A$2:$C$16,3,0))*E2626)+IF(B2626="iFood",F2626*0.27,(VLOOKUP(VENDAS!C2626,Bairros!$A$2:$B$90,2,0))))</f>
        <v/>
      </c>
      <c r="J2626" s="7" t="str">
        <f t="shared" si="165"/>
        <v/>
      </c>
      <c r="K2626" s="9">
        <f t="shared" ca="1" si="166"/>
        <v>45404.878290162036</v>
      </c>
      <c r="L2626" s="10">
        <f t="shared" ca="1" si="167"/>
        <v>45404.878290046297</v>
      </c>
    </row>
    <row r="2627" spans="6:12" x14ac:dyDescent="0.25">
      <c r="F2627" s="11" t="str">
        <f>IF(ISBLANK(D2627),"",(VLOOKUP(D2627,Cardápio!$A$2:$B$16,2,0))*E2627)</f>
        <v/>
      </c>
      <c r="H2627" s="7" t="str">
        <f t="shared" si="164"/>
        <v/>
      </c>
      <c r="I2627" s="7" t="str">
        <f>IF(AND(ISBLANK(D2627),ISBLANK(C2627)),"",((VLOOKUP(D2627,Cardápio!$A$2:$C$16,3,0))*E2627)+IF(B2627="iFood",F2627*0.27,(VLOOKUP(VENDAS!C2627,Bairros!$A$2:$B$90,2,0))))</f>
        <v/>
      </c>
      <c r="J2627" s="7" t="str">
        <f t="shared" si="165"/>
        <v/>
      </c>
      <c r="K2627" s="9">
        <f t="shared" ca="1" si="166"/>
        <v>45404.878290162036</v>
      </c>
      <c r="L2627" s="10">
        <f t="shared" ca="1" si="167"/>
        <v>45404.878290046297</v>
      </c>
    </row>
    <row r="2628" spans="6:12" x14ac:dyDescent="0.25">
      <c r="F2628" s="11" t="str">
        <f>IF(ISBLANK(D2628),"",(VLOOKUP(D2628,Cardápio!$A$2:$B$16,2,0))*E2628)</f>
        <v/>
      </c>
      <c r="H2628" s="7" t="str">
        <f t="shared" si="164"/>
        <v/>
      </c>
      <c r="I2628" s="7" t="str">
        <f>IF(AND(ISBLANK(D2628),ISBLANK(C2628)),"",((VLOOKUP(D2628,Cardápio!$A$2:$C$16,3,0))*E2628)+IF(B2628="iFood",F2628*0.27,(VLOOKUP(VENDAS!C2628,Bairros!$A$2:$B$90,2,0))))</f>
        <v/>
      </c>
      <c r="J2628" s="7" t="str">
        <f t="shared" si="165"/>
        <v/>
      </c>
      <c r="K2628" s="9">
        <f t="shared" ca="1" si="166"/>
        <v>45404.878290162036</v>
      </c>
      <c r="L2628" s="10">
        <f t="shared" ca="1" si="167"/>
        <v>45404.878290046297</v>
      </c>
    </row>
    <row r="2629" spans="6:12" x14ac:dyDescent="0.25">
      <c r="F2629" s="11" t="str">
        <f>IF(ISBLANK(D2629),"",(VLOOKUP(D2629,Cardápio!$A$2:$B$16,2,0))*E2629)</f>
        <v/>
      </c>
      <c r="H2629" s="7" t="str">
        <f t="shared" si="164"/>
        <v/>
      </c>
      <c r="I2629" s="7" t="str">
        <f>IF(AND(ISBLANK(D2629),ISBLANK(C2629)),"",((VLOOKUP(D2629,Cardápio!$A$2:$C$16,3,0))*E2629)+IF(B2629="iFood",F2629*0.27,(VLOOKUP(VENDAS!C2629,Bairros!$A$2:$B$90,2,0))))</f>
        <v/>
      </c>
      <c r="J2629" s="7" t="str">
        <f t="shared" si="165"/>
        <v/>
      </c>
      <c r="K2629" s="9">
        <f t="shared" ca="1" si="166"/>
        <v>45404.878290277775</v>
      </c>
      <c r="L2629" s="10">
        <f t="shared" ca="1" si="167"/>
        <v>45404.878290046297</v>
      </c>
    </row>
    <row r="2630" spans="6:12" x14ac:dyDescent="0.25">
      <c r="F2630" s="11" t="str">
        <f>IF(ISBLANK(D2630),"",(VLOOKUP(D2630,Cardápio!$A$2:$B$16,2,0))*E2630)</f>
        <v/>
      </c>
      <c r="H2630" s="7" t="str">
        <f t="shared" si="164"/>
        <v/>
      </c>
      <c r="I2630" s="7" t="str">
        <f>IF(AND(ISBLANK(D2630),ISBLANK(C2630)),"",((VLOOKUP(D2630,Cardápio!$A$2:$C$16,3,0))*E2630)+IF(B2630="iFood",F2630*0.27,(VLOOKUP(VENDAS!C2630,Bairros!$A$2:$B$90,2,0))))</f>
        <v/>
      </c>
      <c r="J2630" s="7" t="str">
        <f t="shared" si="165"/>
        <v/>
      </c>
      <c r="K2630" s="9">
        <f t="shared" ca="1" si="166"/>
        <v>45404.878290162036</v>
      </c>
      <c r="L2630" s="10">
        <f t="shared" ca="1" si="167"/>
        <v>45404.878290046297</v>
      </c>
    </row>
    <row r="2631" spans="6:12" x14ac:dyDescent="0.25">
      <c r="F2631" s="11" t="str">
        <f>IF(ISBLANK(D2631),"",(VLOOKUP(D2631,Cardápio!$A$2:$B$16,2,0))*E2631)</f>
        <v/>
      </c>
      <c r="H2631" s="7" t="str">
        <f t="shared" si="164"/>
        <v/>
      </c>
      <c r="I2631" s="7" t="str">
        <f>IF(AND(ISBLANK(D2631),ISBLANK(C2631)),"",((VLOOKUP(D2631,Cardápio!$A$2:$C$16,3,0))*E2631)+IF(B2631="iFood",F2631*0.27,(VLOOKUP(VENDAS!C2631,Bairros!$A$2:$B$90,2,0))))</f>
        <v/>
      </c>
      <c r="J2631" s="7" t="str">
        <f t="shared" si="165"/>
        <v/>
      </c>
      <c r="K2631" s="9">
        <f t="shared" ca="1" si="166"/>
        <v>45404.878290162036</v>
      </c>
      <c r="L2631" s="10">
        <f t="shared" ca="1" si="167"/>
        <v>45404.878290046297</v>
      </c>
    </row>
    <row r="2632" spans="6:12" x14ac:dyDescent="0.25">
      <c r="F2632" s="11" t="str">
        <f>IF(ISBLANK(D2632),"",(VLOOKUP(D2632,Cardápio!$A$2:$B$16,2,0))*E2632)</f>
        <v/>
      </c>
      <c r="H2632" s="7" t="str">
        <f t="shared" si="164"/>
        <v/>
      </c>
      <c r="I2632" s="7" t="str">
        <f>IF(AND(ISBLANK(D2632),ISBLANK(C2632)),"",((VLOOKUP(D2632,Cardápio!$A$2:$C$16,3,0))*E2632)+IF(B2632="iFood",F2632*0.27,(VLOOKUP(VENDAS!C2632,Bairros!$A$2:$B$90,2,0))))</f>
        <v/>
      </c>
      <c r="J2632" s="7" t="str">
        <f t="shared" si="165"/>
        <v/>
      </c>
      <c r="K2632" s="9">
        <f t="shared" ca="1" si="166"/>
        <v>45404.878290162036</v>
      </c>
      <c r="L2632" s="10">
        <f t="shared" ca="1" si="167"/>
        <v>45404.878290046297</v>
      </c>
    </row>
    <row r="2633" spans="6:12" x14ac:dyDescent="0.25">
      <c r="F2633" s="11" t="str">
        <f>IF(ISBLANK(D2633),"",(VLOOKUP(D2633,Cardápio!$A$2:$B$16,2,0))*E2633)</f>
        <v/>
      </c>
      <c r="H2633" s="7" t="str">
        <f t="shared" si="164"/>
        <v/>
      </c>
      <c r="I2633" s="7" t="str">
        <f>IF(AND(ISBLANK(D2633),ISBLANK(C2633)),"",((VLOOKUP(D2633,Cardápio!$A$2:$C$16,3,0))*E2633)+IF(B2633="iFood",F2633*0.27,(VLOOKUP(VENDAS!C2633,Bairros!$A$2:$B$90,2,0))))</f>
        <v/>
      </c>
      <c r="J2633" s="7" t="str">
        <f t="shared" si="165"/>
        <v/>
      </c>
      <c r="K2633" s="9">
        <f t="shared" ca="1" si="166"/>
        <v>45404.878290277775</v>
      </c>
      <c r="L2633" s="10">
        <f t="shared" ca="1" si="167"/>
        <v>45404.878290046297</v>
      </c>
    </row>
    <row r="2634" spans="6:12" x14ac:dyDescent="0.25">
      <c r="F2634" s="11" t="str">
        <f>IF(ISBLANK(D2634),"",(VLOOKUP(D2634,Cardápio!$A$2:$B$16,2,0))*E2634)</f>
        <v/>
      </c>
      <c r="H2634" s="7" t="str">
        <f t="shared" si="164"/>
        <v/>
      </c>
      <c r="I2634" s="7" t="str">
        <f>IF(AND(ISBLANK(D2634),ISBLANK(C2634)),"",((VLOOKUP(D2634,Cardápio!$A$2:$C$16,3,0))*E2634)+IF(B2634="iFood",F2634*0.27,(VLOOKUP(VENDAS!C2634,Bairros!$A$2:$B$90,2,0))))</f>
        <v/>
      </c>
      <c r="J2634" s="7" t="str">
        <f t="shared" si="165"/>
        <v/>
      </c>
      <c r="K2634" s="9">
        <f t="shared" ca="1" si="166"/>
        <v>45404.878290162036</v>
      </c>
      <c r="L2634" s="10">
        <f t="shared" ca="1" si="167"/>
        <v>45404.878290046297</v>
      </c>
    </row>
    <row r="2635" spans="6:12" x14ac:dyDescent="0.25">
      <c r="F2635" s="11" t="str">
        <f>IF(ISBLANK(D2635),"",(VLOOKUP(D2635,Cardápio!$A$2:$B$16,2,0))*E2635)</f>
        <v/>
      </c>
      <c r="H2635" s="7" t="str">
        <f t="shared" si="164"/>
        <v/>
      </c>
      <c r="I2635" s="7" t="str">
        <f>IF(AND(ISBLANK(D2635),ISBLANK(C2635)),"",((VLOOKUP(D2635,Cardápio!$A$2:$C$16,3,0))*E2635)+IF(B2635="iFood",F2635*0.27,(VLOOKUP(VENDAS!C2635,Bairros!$A$2:$B$90,2,0))))</f>
        <v/>
      </c>
      <c r="J2635" s="7" t="str">
        <f t="shared" si="165"/>
        <v/>
      </c>
      <c r="K2635" s="9">
        <f t="shared" ca="1" si="166"/>
        <v>45404.878290162036</v>
      </c>
      <c r="L2635" s="10">
        <f t="shared" ca="1" si="167"/>
        <v>45404.878290046297</v>
      </c>
    </row>
    <row r="2636" spans="6:12" x14ac:dyDescent="0.25">
      <c r="F2636" s="11" t="str">
        <f>IF(ISBLANK(D2636),"",(VLOOKUP(D2636,Cardápio!$A$2:$B$16,2,0))*E2636)</f>
        <v/>
      </c>
      <c r="H2636" s="7" t="str">
        <f t="shared" si="164"/>
        <v/>
      </c>
      <c r="I2636" s="7" t="str">
        <f>IF(AND(ISBLANK(D2636),ISBLANK(C2636)),"",((VLOOKUP(D2636,Cardápio!$A$2:$C$16,3,0))*E2636)+IF(B2636="iFood",F2636*0.27,(VLOOKUP(VENDAS!C2636,Bairros!$A$2:$B$90,2,0))))</f>
        <v/>
      </c>
      <c r="J2636" s="7" t="str">
        <f t="shared" si="165"/>
        <v/>
      </c>
      <c r="K2636" s="9">
        <f t="shared" ca="1" si="166"/>
        <v>45404.878290162036</v>
      </c>
      <c r="L2636" s="10">
        <f t="shared" ca="1" si="167"/>
        <v>45404.878290046297</v>
      </c>
    </row>
    <row r="2637" spans="6:12" x14ac:dyDescent="0.25">
      <c r="F2637" s="11" t="str">
        <f>IF(ISBLANK(D2637),"",(VLOOKUP(D2637,Cardápio!$A$2:$B$16,2,0))*E2637)</f>
        <v/>
      </c>
      <c r="H2637" s="7" t="str">
        <f t="shared" si="164"/>
        <v/>
      </c>
      <c r="I2637" s="7" t="str">
        <f>IF(AND(ISBLANK(D2637),ISBLANK(C2637)),"",((VLOOKUP(D2637,Cardápio!$A$2:$C$16,3,0))*E2637)+IF(B2637="iFood",F2637*0.27,(VLOOKUP(VENDAS!C2637,Bairros!$A$2:$B$90,2,0))))</f>
        <v/>
      </c>
      <c r="J2637" s="7" t="str">
        <f t="shared" si="165"/>
        <v/>
      </c>
      <c r="K2637" s="9">
        <f t="shared" ca="1" si="166"/>
        <v>45404.878290277775</v>
      </c>
      <c r="L2637" s="10">
        <f t="shared" ca="1" si="167"/>
        <v>45404.878290046297</v>
      </c>
    </row>
    <row r="2638" spans="6:12" x14ac:dyDescent="0.25">
      <c r="F2638" s="11" t="str">
        <f>IF(ISBLANK(D2638),"",(VLOOKUP(D2638,Cardápio!$A$2:$B$16,2,0))*E2638)</f>
        <v/>
      </c>
      <c r="H2638" s="7" t="str">
        <f t="shared" si="164"/>
        <v/>
      </c>
      <c r="I2638" s="7" t="str">
        <f>IF(AND(ISBLANK(D2638),ISBLANK(C2638)),"",((VLOOKUP(D2638,Cardápio!$A$2:$C$16,3,0))*E2638)+IF(B2638="iFood",F2638*0.27,(VLOOKUP(VENDAS!C2638,Bairros!$A$2:$B$90,2,0))))</f>
        <v/>
      </c>
      <c r="J2638" s="7" t="str">
        <f t="shared" si="165"/>
        <v/>
      </c>
      <c r="K2638" s="9">
        <f t="shared" ca="1" si="166"/>
        <v>45404.878290162036</v>
      </c>
      <c r="L2638" s="10">
        <f t="shared" ca="1" si="167"/>
        <v>45404.878290046297</v>
      </c>
    </row>
    <row r="2639" spans="6:12" x14ac:dyDescent="0.25">
      <c r="F2639" s="11" t="str">
        <f>IF(ISBLANK(D2639),"",(VLOOKUP(D2639,Cardápio!$A$2:$B$16,2,0))*E2639)</f>
        <v/>
      </c>
      <c r="H2639" s="7" t="str">
        <f t="shared" si="164"/>
        <v/>
      </c>
      <c r="I2639" s="7" t="str">
        <f>IF(AND(ISBLANK(D2639),ISBLANK(C2639)),"",((VLOOKUP(D2639,Cardápio!$A$2:$C$16,3,0))*E2639)+IF(B2639="iFood",F2639*0.27,(VLOOKUP(VENDAS!C2639,Bairros!$A$2:$B$90,2,0))))</f>
        <v/>
      </c>
      <c r="J2639" s="7" t="str">
        <f t="shared" si="165"/>
        <v/>
      </c>
      <c r="K2639" s="9">
        <f t="shared" ca="1" si="166"/>
        <v>45404.878290162036</v>
      </c>
      <c r="L2639" s="10">
        <f t="shared" ca="1" si="167"/>
        <v>45404.878290046297</v>
      </c>
    </row>
    <row r="2640" spans="6:12" x14ac:dyDescent="0.25">
      <c r="F2640" s="11" t="str">
        <f>IF(ISBLANK(D2640),"",(VLOOKUP(D2640,Cardápio!$A$2:$B$16,2,0))*E2640)</f>
        <v/>
      </c>
      <c r="H2640" s="7" t="str">
        <f t="shared" si="164"/>
        <v/>
      </c>
      <c r="I2640" s="7" t="str">
        <f>IF(AND(ISBLANK(D2640),ISBLANK(C2640)),"",((VLOOKUP(D2640,Cardápio!$A$2:$C$16,3,0))*E2640)+IF(B2640="iFood",F2640*0.27,(VLOOKUP(VENDAS!C2640,Bairros!$A$2:$B$90,2,0))))</f>
        <v/>
      </c>
      <c r="J2640" s="7" t="str">
        <f t="shared" si="165"/>
        <v/>
      </c>
      <c r="K2640" s="9">
        <f t="shared" ca="1" si="166"/>
        <v>45404.878290162036</v>
      </c>
      <c r="L2640" s="10">
        <f t="shared" ca="1" si="167"/>
        <v>45404.878290046297</v>
      </c>
    </row>
    <row r="2641" spans="6:12" x14ac:dyDescent="0.25">
      <c r="F2641" s="11" t="str">
        <f>IF(ISBLANK(D2641),"",(VLOOKUP(D2641,Cardápio!$A$2:$B$16,2,0))*E2641)</f>
        <v/>
      </c>
      <c r="H2641" s="7" t="str">
        <f t="shared" si="164"/>
        <v/>
      </c>
      <c r="I2641" s="7" t="str">
        <f>IF(AND(ISBLANK(D2641),ISBLANK(C2641)),"",((VLOOKUP(D2641,Cardápio!$A$2:$C$16,3,0))*E2641)+IF(B2641="iFood",F2641*0.27,(VLOOKUP(VENDAS!C2641,Bairros!$A$2:$B$90,2,0))))</f>
        <v/>
      </c>
      <c r="J2641" s="7" t="str">
        <f t="shared" si="165"/>
        <v/>
      </c>
      <c r="K2641" s="9">
        <f t="shared" ca="1" si="166"/>
        <v>45404.878290277775</v>
      </c>
      <c r="L2641" s="10">
        <f t="shared" ca="1" si="167"/>
        <v>45404.878290046297</v>
      </c>
    </row>
    <row r="2642" spans="6:12" x14ac:dyDescent="0.25">
      <c r="F2642" s="11" t="str">
        <f>IF(ISBLANK(D2642),"",(VLOOKUP(D2642,Cardápio!$A$2:$B$16,2,0))*E2642)</f>
        <v/>
      </c>
      <c r="H2642" s="7" t="str">
        <f t="shared" si="164"/>
        <v/>
      </c>
      <c r="I2642" s="7" t="str">
        <f>IF(AND(ISBLANK(D2642),ISBLANK(C2642)),"",((VLOOKUP(D2642,Cardápio!$A$2:$C$16,3,0))*E2642)+IF(B2642="iFood",F2642*0.27,(VLOOKUP(VENDAS!C2642,Bairros!$A$2:$B$90,2,0))))</f>
        <v/>
      </c>
      <c r="J2642" s="7" t="str">
        <f t="shared" si="165"/>
        <v/>
      </c>
      <c r="K2642" s="9">
        <f t="shared" ca="1" si="166"/>
        <v>45404.878290162036</v>
      </c>
      <c r="L2642" s="10">
        <f t="shared" ca="1" si="167"/>
        <v>45404.878290046297</v>
      </c>
    </row>
    <row r="2643" spans="6:12" x14ac:dyDescent="0.25">
      <c r="F2643" s="11" t="str">
        <f>IF(ISBLANK(D2643),"",(VLOOKUP(D2643,Cardápio!$A$2:$B$16,2,0))*E2643)</f>
        <v/>
      </c>
      <c r="H2643" s="7" t="str">
        <f t="shared" si="164"/>
        <v/>
      </c>
      <c r="I2643" s="7" t="str">
        <f>IF(AND(ISBLANK(D2643),ISBLANK(C2643)),"",((VLOOKUP(D2643,Cardápio!$A$2:$C$16,3,0))*E2643)+IF(B2643="iFood",F2643*0.27,(VLOOKUP(VENDAS!C2643,Bairros!$A$2:$B$90,2,0))))</f>
        <v/>
      </c>
      <c r="J2643" s="7" t="str">
        <f t="shared" si="165"/>
        <v/>
      </c>
      <c r="K2643" s="9">
        <f t="shared" ca="1" si="166"/>
        <v>45404.878290162036</v>
      </c>
      <c r="L2643" s="10">
        <f t="shared" ca="1" si="167"/>
        <v>45404.878290046297</v>
      </c>
    </row>
    <row r="2644" spans="6:12" x14ac:dyDescent="0.25">
      <c r="F2644" s="11" t="str">
        <f>IF(ISBLANK(D2644),"",(VLOOKUP(D2644,Cardápio!$A$2:$B$16,2,0))*E2644)</f>
        <v/>
      </c>
      <c r="H2644" s="7" t="str">
        <f t="shared" si="164"/>
        <v/>
      </c>
      <c r="I2644" s="7" t="str">
        <f>IF(AND(ISBLANK(D2644),ISBLANK(C2644)),"",((VLOOKUP(D2644,Cardápio!$A$2:$C$16,3,0))*E2644)+IF(B2644="iFood",F2644*0.27,(VLOOKUP(VENDAS!C2644,Bairros!$A$2:$B$90,2,0))))</f>
        <v/>
      </c>
      <c r="J2644" s="7" t="str">
        <f t="shared" si="165"/>
        <v/>
      </c>
      <c r="K2644" s="9">
        <f t="shared" ca="1" si="166"/>
        <v>45404.878290162036</v>
      </c>
      <c r="L2644" s="10">
        <f t="shared" ca="1" si="167"/>
        <v>45404.878290046297</v>
      </c>
    </row>
    <row r="2645" spans="6:12" x14ac:dyDescent="0.25">
      <c r="F2645" s="11" t="str">
        <f>IF(ISBLANK(D2645),"",(VLOOKUP(D2645,Cardápio!$A$2:$B$16,2,0))*E2645)</f>
        <v/>
      </c>
      <c r="H2645" s="7" t="str">
        <f t="shared" si="164"/>
        <v/>
      </c>
      <c r="I2645" s="7" t="str">
        <f>IF(AND(ISBLANK(D2645),ISBLANK(C2645)),"",((VLOOKUP(D2645,Cardápio!$A$2:$C$16,3,0))*E2645)+IF(B2645="iFood",F2645*0.27,(VLOOKUP(VENDAS!C2645,Bairros!$A$2:$B$90,2,0))))</f>
        <v/>
      </c>
      <c r="J2645" s="7" t="str">
        <f t="shared" si="165"/>
        <v/>
      </c>
      <c r="K2645" s="9">
        <f t="shared" ca="1" si="166"/>
        <v>45404.878290277775</v>
      </c>
      <c r="L2645" s="10">
        <f t="shared" ca="1" si="167"/>
        <v>45404.878290046297</v>
      </c>
    </row>
    <row r="2646" spans="6:12" x14ac:dyDescent="0.25">
      <c r="F2646" s="11" t="str">
        <f>IF(ISBLANK(D2646),"",(VLOOKUP(D2646,Cardápio!$A$2:$B$16,2,0))*E2646)</f>
        <v/>
      </c>
      <c r="H2646" s="7" t="str">
        <f t="shared" si="164"/>
        <v/>
      </c>
      <c r="I2646" s="7" t="str">
        <f>IF(AND(ISBLANK(D2646),ISBLANK(C2646)),"",((VLOOKUP(D2646,Cardápio!$A$2:$C$16,3,0))*E2646)+IF(B2646="iFood",F2646*0.27,(VLOOKUP(VENDAS!C2646,Bairros!$A$2:$B$90,2,0))))</f>
        <v/>
      </c>
      <c r="J2646" s="7" t="str">
        <f t="shared" si="165"/>
        <v/>
      </c>
      <c r="K2646" s="9">
        <f t="shared" ca="1" si="166"/>
        <v>45404.878290162036</v>
      </c>
      <c r="L2646" s="10">
        <f t="shared" ca="1" si="167"/>
        <v>45404.878290046297</v>
      </c>
    </row>
    <row r="2647" spans="6:12" x14ac:dyDescent="0.25">
      <c r="F2647" s="11" t="str">
        <f>IF(ISBLANK(D2647),"",(VLOOKUP(D2647,Cardápio!$A$2:$B$16,2,0))*E2647)</f>
        <v/>
      </c>
      <c r="H2647" s="7" t="str">
        <f t="shared" si="164"/>
        <v/>
      </c>
      <c r="I2647" s="7" t="str">
        <f>IF(AND(ISBLANK(D2647),ISBLANK(C2647)),"",((VLOOKUP(D2647,Cardápio!$A$2:$C$16,3,0))*E2647)+IF(B2647="iFood",F2647*0.27,(VLOOKUP(VENDAS!C2647,Bairros!$A$2:$B$90,2,0))))</f>
        <v/>
      </c>
      <c r="J2647" s="7" t="str">
        <f t="shared" si="165"/>
        <v/>
      </c>
      <c r="K2647" s="9">
        <f t="shared" ca="1" si="166"/>
        <v>45404.878290162036</v>
      </c>
      <c r="L2647" s="10">
        <f t="shared" ca="1" si="167"/>
        <v>45404.878290046297</v>
      </c>
    </row>
    <row r="2648" spans="6:12" x14ac:dyDescent="0.25">
      <c r="F2648" s="11" t="str">
        <f>IF(ISBLANK(D2648),"",(VLOOKUP(D2648,Cardápio!$A$2:$B$16,2,0))*E2648)</f>
        <v/>
      </c>
      <c r="H2648" s="7" t="str">
        <f t="shared" si="164"/>
        <v/>
      </c>
      <c r="I2648" s="7" t="str">
        <f>IF(AND(ISBLANK(D2648),ISBLANK(C2648)),"",((VLOOKUP(D2648,Cardápio!$A$2:$C$16,3,0))*E2648)+IF(B2648="iFood",F2648*0.27,(VLOOKUP(VENDAS!C2648,Bairros!$A$2:$B$90,2,0))))</f>
        <v/>
      </c>
      <c r="J2648" s="7" t="str">
        <f t="shared" si="165"/>
        <v/>
      </c>
      <c r="K2648" s="9">
        <f t="shared" ca="1" si="166"/>
        <v>45404.878290162036</v>
      </c>
      <c r="L2648" s="10">
        <f t="shared" ca="1" si="167"/>
        <v>45404.878290046297</v>
      </c>
    </row>
    <row r="2649" spans="6:12" x14ac:dyDescent="0.25">
      <c r="F2649" s="11" t="str">
        <f>IF(ISBLANK(D2649),"",(VLOOKUP(D2649,Cardápio!$A$2:$B$16,2,0))*E2649)</f>
        <v/>
      </c>
      <c r="H2649" s="7" t="str">
        <f t="shared" si="164"/>
        <v/>
      </c>
      <c r="I2649" s="7" t="str">
        <f>IF(AND(ISBLANK(D2649),ISBLANK(C2649)),"",((VLOOKUP(D2649,Cardápio!$A$2:$C$16,3,0))*E2649)+IF(B2649="iFood",F2649*0.27,(VLOOKUP(VENDAS!C2649,Bairros!$A$2:$B$90,2,0))))</f>
        <v/>
      </c>
      <c r="J2649" s="7" t="str">
        <f t="shared" si="165"/>
        <v/>
      </c>
      <c r="K2649" s="9">
        <f t="shared" ca="1" si="166"/>
        <v>45404.878290277775</v>
      </c>
      <c r="L2649" s="10">
        <f t="shared" ca="1" si="167"/>
        <v>45404.878290046297</v>
      </c>
    </row>
    <row r="2650" spans="6:12" x14ac:dyDescent="0.25">
      <c r="F2650" s="11" t="str">
        <f>IF(ISBLANK(D2650),"",(VLOOKUP(D2650,Cardápio!$A$2:$B$16,2,0))*E2650)</f>
        <v/>
      </c>
      <c r="H2650" s="7" t="str">
        <f t="shared" si="164"/>
        <v/>
      </c>
      <c r="I2650" s="7" t="str">
        <f>IF(AND(ISBLANK(D2650),ISBLANK(C2650)),"",((VLOOKUP(D2650,Cardápio!$A$2:$C$16,3,0))*E2650)+IF(B2650="iFood",F2650*0.27,(VLOOKUP(VENDAS!C2650,Bairros!$A$2:$B$90,2,0))))</f>
        <v/>
      </c>
      <c r="J2650" s="7" t="str">
        <f t="shared" si="165"/>
        <v/>
      </c>
      <c r="K2650" s="9">
        <f t="shared" ca="1" si="166"/>
        <v>45404.878290162036</v>
      </c>
      <c r="L2650" s="10">
        <f t="shared" ca="1" si="167"/>
        <v>45404.878290046297</v>
      </c>
    </row>
    <row r="2651" spans="6:12" x14ac:dyDescent="0.25">
      <c r="F2651" s="11" t="str">
        <f>IF(ISBLANK(D2651),"",(VLOOKUP(D2651,Cardápio!$A$2:$B$16,2,0))*E2651)</f>
        <v/>
      </c>
      <c r="H2651" s="7" t="str">
        <f t="shared" si="164"/>
        <v/>
      </c>
      <c r="I2651" s="7" t="str">
        <f>IF(AND(ISBLANK(D2651),ISBLANK(C2651)),"",((VLOOKUP(D2651,Cardápio!$A$2:$C$16,3,0))*E2651)+IF(B2651="iFood",F2651*0.27,(VLOOKUP(VENDAS!C2651,Bairros!$A$2:$B$90,2,0))))</f>
        <v/>
      </c>
      <c r="J2651" s="7" t="str">
        <f t="shared" si="165"/>
        <v/>
      </c>
      <c r="K2651" s="9">
        <f t="shared" ca="1" si="166"/>
        <v>45404.878290162036</v>
      </c>
      <c r="L2651" s="10">
        <f t="shared" ca="1" si="167"/>
        <v>45404.878290046297</v>
      </c>
    </row>
    <row r="2652" spans="6:12" x14ac:dyDescent="0.25">
      <c r="F2652" s="11" t="str">
        <f>IF(ISBLANK(D2652),"",(VLOOKUP(D2652,Cardápio!$A$2:$B$16,2,0))*E2652)</f>
        <v/>
      </c>
      <c r="H2652" s="7" t="str">
        <f t="shared" si="164"/>
        <v/>
      </c>
      <c r="I2652" s="7" t="str">
        <f>IF(AND(ISBLANK(D2652),ISBLANK(C2652)),"",((VLOOKUP(D2652,Cardápio!$A$2:$C$16,3,0))*E2652)+IF(B2652="iFood",F2652*0.27,(VLOOKUP(VENDAS!C2652,Bairros!$A$2:$B$90,2,0))))</f>
        <v/>
      </c>
      <c r="J2652" s="7" t="str">
        <f t="shared" si="165"/>
        <v/>
      </c>
      <c r="K2652" s="9">
        <f t="shared" ca="1" si="166"/>
        <v>45404.878290162036</v>
      </c>
      <c r="L2652" s="10">
        <f t="shared" ca="1" si="167"/>
        <v>45404.878290046297</v>
      </c>
    </row>
    <row r="2653" spans="6:12" x14ac:dyDescent="0.25">
      <c r="F2653" s="11" t="str">
        <f>IF(ISBLANK(D2653),"",(VLOOKUP(D2653,Cardápio!$A$2:$B$16,2,0))*E2653)</f>
        <v/>
      </c>
      <c r="H2653" s="7" t="str">
        <f t="shared" si="164"/>
        <v/>
      </c>
      <c r="I2653" s="7" t="str">
        <f>IF(AND(ISBLANK(D2653),ISBLANK(C2653)),"",((VLOOKUP(D2653,Cardápio!$A$2:$C$16,3,0))*E2653)+IF(B2653="iFood",F2653*0.27,(VLOOKUP(VENDAS!C2653,Bairros!$A$2:$B$90,2,0))))</f>
        <v/>
      </c>
      <c r="J2653" s="7" t="str">
        <f t="shared" si="165"/>
        <v/>
      </c>
      <c r="K2653" s="9">
        <f t="shared" ca="1" si="166"/>
        <v>45404.878290277775</v>
      </c>
      <c r="L2653" s="10">
        <f t="shared" ca="1" si="167"/>
        <v>45404.878290046297</v>
      </c>
    </row>
    <row r="2654" spans="6:12" x14ac:dyDescent="0.25">
      <c r="F2654" s="11" t="str">
        <f>IF(ISBLANK(D2654),"",(VLOOKUP(D2654,Cardápio!$A$2:$B$16,2,0))*E2654)</f>
        <v/>
      </c>
      <c r="H2654" s="7" t="str">
        <f t="shared" si="164"/>
        <v/>
      </c>
      <c r="I2654" s="7" t="str">
        <f>IF(AND(ISBLANK(D2654),ISBLANK(C2654)),"",((VLOOKUP(D2654,Cardápio!$A$2:$C$16,3,0))*E2654)+IF(B2654="iFood",F2654*0.27,(VLOOKUP(VENDAS!C2654,Bairros!$A$2:$B$90,2,0))))</f>
        <v/>
      </c>
      <c r="J2654" s="7" t="str">
        <f t="shared" si="165"/>
        <v/>
      </c>
      <c r="K2654" s="9">
        <f t="shared" ca="1" si="166"/>
        <v>45404.878290162036</v>
      </c>
      <c r="L2654" s="10">
        <f t="shared" ca="1" si="167"/>
        <v>45404.878290046297</v>
      </c>
    </row>
    <row r="2655" spans="6:12" x14ac:dyDescent="0.25">
      <c r="F2655" s="11" t="str">
        <f>IF(ISBLANK(D2655),"",(VLOOKUP(D2655,Cardápio!$A$2:$B$16,2,0))*E2655)</f>
        <v/>
      </c>
      <c r="H2655" s="7" t="str">
        <f t="shared" si="164"/>
        <v/>
      </c>
      <c r="I2655" s="7" t="str">
        <f>IF(AND(ISBLANK(D2655),ISBLANK(C2655)),"",((VLOOKUP(D2655,Cardápio!$A$2:$C$16,3,0))*E2655)+IF(B2655="iFood",F2655*0.27,(VLOOKUP(VENDAS!C2655,Bairros!$A$2:$B$90,2,0))))</f>
        <v/>
      </c>
      <c r="J2655" s="7" t="str">
        <f t="shared" si="165"/>
        <v/>
      </c>
      <c r="K2655" s="9">
        <f t="shared" ca="1" si="166"/>
        <v>45404.878290162036</v>
      </c>
      <c r="L2655" s="10">
        <f t="shared" ca="1" si="167"/>
        <v>45404.878290046297</v>
      </c>
    </row>
    <row r="2656" spans="6:12" x14ac:dyDescent="0.25">
      <c r="F2656" s="11" t="str">
        <f>IF(ISBLANK(D2656),"",(VLOOKUP(D2656,Cardápio!$A$2:$B$16,2,0))*E2656)</f>
        <v/>
      </c>
      <c r="H2656" s="7" t="str">
        <f t="shared" si="164"/>
        <v/>
      </c>
      <c r="I2656" s="7" t="str">
        <f>IF(AND(ISBLANK(D2656),ISBLANK(C2656)),"",((VLOOKUP(D2656,Cardápio!$A$2:$C$16,3,0))*E2656)+IF(B2656="iFood",F2656*0.27,(VLOOKUP(VENDAS!C2656,Bairros!$A$2:$B$90,2,0))))</f>
        <v/>
      </c>
      <c r="J2656" s="7" t="str">
        <f t="shared" si="165"/>
        <v/>
      </c>
      <c r="K2656" s="9">
        <f t="shared" ca="1" si="166"/>
        <v>45404.878290162036</v>
      </c>
      <c r="L2656" s="10">
        <f t="shared" ca="1" si="167"/>
        <v>45404.878290046297</v>
      </c>
    </row>
    <row r="2657" spans="6:12" x14ac:dyDescent="0.25">
      <c r="F2657" s="11" t="str">
        <f>IF(ISBLANK(D2657),"",(VLOOKUP(D2657,Cardápio!$A$2:$B$16,2,0))*E2657)</f>
        <v/>
      </c>
      <c r="H2657" s="7" t="str">
        <f t="shared" si="164"/>
        <v/>
      </c>
      <c r="I2657" s="7" t="str">
        <f>IF(AND(ISBLANK(D2657),ISBLANK(C2657)),"",((VLOOKUP(D2657,Cardápio!$A$2:$C$16,3,0))*E2657)+IF(B2657="iFood",F2657*0.27,(VLOOKUP(VENDAS!C2657,Bairros!$A$2:$B$90,2,0))))</f>
        <v/>
      </c>
      <c r="J2657" s="7" t="str">
        <f t="shared" si="165"/>
        <v/>
      </c>
      <c r="K2657" s="9">
        <f t="shared" ca="1" si="166"/>
        <v>45404.878290277775</v>
      </c>
      <c r="L2657" s="10">
        <f t="shared" ca="1" si="167"/>
        <v>45404.878290046297</v>
      </c>
    </row>
    <row r="2658" spans="6:12" x14ac:dyDescent="0.25">
      <c r="F2658" s="11" t="str">
        <f>IF(ISBLANK(D2658),"",(VLOOKUP(D2658,Cardápio!$A$2:$B$16,2,0))*E2658)</f>
        <v/>
      </c>
      <c r="H2658" s="7" t="str">
        <f t="shared" si="164"/>
        <v/>
      </c>
      <c r="I2658" s="7" t="str">
        <f>IF(AND(ISBLANK(D2658),ISBLANK(C2658)),"",((VLOOKUP(D2658,Cardápio!$A$2:$C$16,3,0))*E2658)+IF(B2658="iFood",F2658*0.27,(VLOOKUP(VENDAS!C2658,Bairros!$A$2:$B$90,2,0))))</f>
        <v/>
      </c>
      <c r="J2658" s="7" t="str">
        <f t="shared" si="165"/>
        <v/>
      </c>
      <c r="K2658" s="9">
        <f t="shared" ca="1" si="166"/>
        <v>45404.878290162036</v>
      </c>
      <c r="L2658" s="10">
        <f t="shared" ca="1" si="167"/>
        <v>45404.878290046297</v>
      </c>
    </row>
    <row r="2659" spans="6:12" x14ac:dyDescent="0.25">
      <c r="F2659" s="11" t="str">
        <f>IF(ISBLANK(D2659),"",(VLOOKUP(D2659,Cardápio!$A$2:$B$16,2,0))*E2659)</f>
        <v/>
      </c>
      <c r="H2659" s="7" t="str">
        <f t="shared" si="164"/>
        <v/>
      </c>
      <c r="I2659" s="7" t="str">
        <f>IF(AND(ISBLANK(D2659),ISBLANK(C2659)),"",((VLOOKUP(D2659,Cardápio!$A$2:$C$16,3,0))*E2659)+IF(B2659="iFood",F2659*0.27,(VLOOKUP(VENDAS!C2659,Bairros!$A$2:$B$90,2,0))))</f>
        <v/>
      </c>
      <c r="J2659" s="7" t="str">
        <f t="shared" si="165"/>
        <v/>
      </c>
      <c r="K2659" s="9">
        <f t="shared" ca="1" si="166"/>
        <v>45404.878290162036</v>
      </c>
      <c r="L2659" s="10">
        <f t="shared" ca="1" si="167"/>
        <v>45404.878290046297</v>
      </c>
    </row>
    <row r="2660" spans="6:12" x14ac:dyDescent="0.25">
      <c r="F2660" s="11" t="str">
        <f>IF(ISBLANK(D2660),"",(VLOOKUP(D2660,Cardápio!$A$2:$B$16,2,0))*E2660)</f>
        <v/>
      </c>
      <c r="H2660" s="7" t="str">
        <f t="shared" si="164"/>
        <v/>
      </c>
      <c r="I2660" s="7" t="str">
        <f>IF(AND(ISBLANK(D2660),ISBLANK(C2660)),"",((VLOOKUP(D2660,Cardápio!$A$2:$C$16,3,0))*E2660)+IF(B2660="iFood",F2660*0.27,(VLOOKUP(VENDAS!C2660,Bairros!$A$2:$B$90,2,0))))</f>
        <v/>
      </c>
      <c r="J2660" s="7" t="str">
        <f t="shared" si="165"/>
        <v/>
      </c>
      <c r="K2660" s="9">
        <f t="shared" ca="1" si="166"/>
        <v>45404.878290162036</v>
      </c>
      <c r="L2660" s="10">
        <f t="shared" ca="1" si="167"/>
        <v>45404.878290046297</v>
      </c>
    </row>
    <row r="2661" spans="6:12" x14ac:dyDescent="0.25">
      <c r="F2661" s="11" t="str">
        <f>IF(ISBLANK(D2661),"",(VLOOKUP(D2661,Cardápio!$A$2:$B$16,2,0))*E2661)</f>
        <v/>
      </c>
      <c r="H2661" s="7" t="str">
        <f t="shared" si="164"/>
        <v/>
      </c>
      <c r="I2661" s="7" t="str">
        <f>IF(AND(ISBLANK(D2661),ISBLANK(C2661)),"",((VLOOKUP(D2661,Cardápio!$A$2:$C$16,3,0))*E2661)+IF(B2661="iFood",F2661*0.27,(VLOOKUP(VENDAS!C2661,Bairros!$A$2:$B$90,2,0))))</f>
        <v/>
      </c>
      <c r="J2661" s="7" t="str">
        <f t="shared" si="165"/>
        <v/>
      </c>
      <c r="K2661" s="9">
        <f t="shared" ca="1" si="166"/>
        <v>45404.878290277775</v>
      </c>
      <c r="L2661" s="10">
        <f t="shared" ca="1" si="167"/>
        <v>45404.878290046297</v>
      </c>
    </row>
    <row r="2662" spans="6:12" x14ac:dyDescent="0.25">
      <c r="F2662" s="11" t="str">
        <f>IF(ISBLANK(D2662),"",(VLOOKUP(D2662,Cardápio!$A$2:$B$16,2,0))*E2662)</f>
        <v/>
      </c>
      <c r="H2662" s="7" t="str">
        <f t="shared" si="164"/>
        <v/>
      </c>
      <c r="I2662" s="7" t="str">
        <f>IF(AND(ISBLANK(D2662),ISBLANK(C2662)),"",((VLOOKUP(D2662,Cardápio!$A$2:$C$16,3,0))*E2662)+IF(B2662="iFood",F2662*0.27,(VLOOKUP(VENDAS!C2662,Bairros!$A$2:$B$90,2,0))))</f>
        <v/>
      </c>
      <c r="J2662" s="7" t="str">
        <f t="shared" si="165"/>
        <v/>
      </c>
      <c r="K2662" s="9">
        <f t="shared" ca="1" si="166"/>
        <v>45404.878290162036</v>
      </c>
      <c r="L2662" s="10">
        <f t="shared" ca="1" si="167"/>
        <v>45404.878290046297</v>
      </c>
    </row>
    <row r="2663" spans="6:12" x14ac:dyDescent="0.25">
      <c r="F2663" s="11" t="str">
        <f>IF(ISBLANK(D2663),"",(VLOOKUP(D2663,Cardápio!$A$2:$B$16,2,0))*E2663)</f>
        <v/>
      </c>
      <c r="H2663" s="7" t="str">
        <f t="shared" si="164"/>
        <v/>
      </c>
      <c r="I2663" s="7" t="str">
        <f>IF(AND(ISBLANK(D2663),ISBLANK(C2663)),"",((VLOOKUP(D2663,Cardápio!$A$2:$C$16,3,0))*E2663)+IF(B2663="iFood",F2663*0.27,(VLOOKUP(VENDAS!C2663,Bairros!$A$2:$B$90,2,0))))</f>
        <v/>
      </c>
      <c r="J2663" s="7" t="str">
        <f t="shared" si="165"/>
        <v/>
      </c>
      <c r="K2663" s="9">
        <f t="shared" ca="1" si="166"/>
        <v>45404.878290162036</v>
      </c>
      <c r="L2663" s="10">
        <f t="shared" ca="1" si="167"/>
        <v>45404.878290046297</v>
      </c>
    </row>
    <row r="2664" spans="6:12" x14ac:dyDescent="0.25">
      <c r="F2664" s="11" t="str">
        <f>IF(ISBLANK(D2664),"",(VLOOKUP(D2664,Cardápio!$A$2:$B$16,2,0))*E2664)</f>
        <v/>
      </c>
      <c r="H2664" s="7" t="str">
        <f t="shared" si="164"/>
        <v/>
      </c>
      <c r="I2664" s="7" t="str">
        <f>IF(AND(ISBLANK(D2664),ISBLANK(C2664)),"",((VLOOKUP(D2664,Cardápio!$A$2:$C$16,3,0))*E2664)+IF(B2664="iFood",F2664*0.27,(VLOOKUP(VENDAS!C2664,Bairros!$A$2:$B$90,2,0))))</f>
        <v/>
      </c>
      <c r="J2664" s="7" t="str">
        <f t="shared" si="165"/>
        <v/>
      </c>
      <c r="K2664" s="9">
        <f t="shared" ca="1" si="166"/>
        <v>45404.878290162036</v>
      </c>
      <c r="L2664" s="10">
        <f t="shared" ca="1" si="167"/>
        <v>45404.878290046297</v>
      </c>
    </row>
    <row r="2665" spans="6:12" x14ac:dyDescent="0.25">
      <c r="F2665" s="11" t="str">
        <f>IF(ISBLANK(D2665),"",(VLOOKUP(D2665,Cardápio!$A$2:$B$16,2,0))*E2665)</f>
        <v/>
      </c>
      <c r="H2665" s="7" t="str">
        <f t="shared" si="164"/>
        <v/>
      </c>
      <c r="I2665" s="7" t="str">
        <f>IF(AND(ISBLANK(D2665),ISBLANK(C2665)),"",((VLOOKUP(D2665,Cardápio!$A$2:$C$16,3,0))*E2665)+IF(B2665="iFood",F2665*0.27,(VLOOKUP(VENDAS!C2665,Bairros!$A$2:$B$90,2,0))))</f>
        <v/>
      </c>
      <c r="J2665" s="7" t="str">
        <f t="shared" si="165"/>
        <v/>
      </c>
      <c r="K2665" s="9">
        <f t="shared" ca="1" si="166"/>
        <v>45404.878290277775</v>
      </c>
      <c r="L2665" s="10">
        <f t="shared" ca="1" si="167"/>
        <v>45404.878290046297</v>
      </c>
    </row>
    <row r="2666" spans="6:12" x14ac:dyDescent="0.25">
      <c r="F2666" s="11" t="str">
        <f>IF(ISBLANK(D2666),"",(VLOOKUP(D2666,Cardápio!$A$2:$B$16,2,0))*E2666)</f>
        <v/>
      </c>
      <c r="H2666" s="7" t="str">
        <f t="shared" si="164"/>
        <v/>
      </c>
      <c r="I2666" s="7" t="str">
        <f>IF(AND(ISBLANK(D2666),ISBLANK(C2666)),"",((VLOOKUP(D2666,Cardápio!$A$2:$C$16,3,0))*E2666)+IF(B2666="iFood",F2666*0.27,(VLOOKUP(VENDAS!C2666,Bairros!$A$2:$B$90,2,0))))</f>
        <v/>
      </c>
      <c r="J2666" s="7" t="str">
        <f t="shared" si="165"/>
        <v/>
      </c>
      <c r="K2666" s="9">
        <f t="shared" ca="1" si="166"/>
        <v>45404.878290162036</v>
      </c>
      <c r="L2666" s="10">
        <f t="shared" ca="1" si="167"/>
        <v>45404.878290046297</v>
      </c>
    </row>
    <row r="2667" spans="6:12" x14ac:dyDescent="0.25">
      <c r="F2667" s="11" t="str">
        <f>IF(ISBLANK(D2667),"",(VLOOKUP(D2667,Cardápio!$A$2:$B$16,2,0))*E2667)</f>
        <v/>
      </c>
      <c r="H2667" s="7" t="str">
        <f t="shared" si="164"/>
        <v/>
      </c>
      <c r="I2667" s="7" t="str">
        <f>IF(AND(ISBLANK(D2667),ISBLANK(C2667)),"",((VLOOKUP(D2667,Cardápio!$A$2:$C$16,3,0))*E2667)+IF(B2667="iFood",F2667*0.27,(VLOOKUP(VENDAS!C2667,Bairros!$A$2:$B$90,2,0))))</f>
        <v/>
      </c>
      <c r="J2667" s="7" t="str">
        <f t="shared" si="165"/>
        <v/>
      </c>
      <c r="K2667" s="9">
        <f t="shared" ca="1" si="166"/>
        <v>45404.878290162036</v>
      </c>
      <c r="L2667" s="10">
        <f t="shared" ca="1" si="167"/>
        <v>45404.878290046297</v>
      </c>
    </row>
    <row r="2668" spans="6:12" x14ac:dyDescent="0.25">
      <c r="F2668" s="11" t="str">
        <f>IF(ISBLANK(D2668),"",(VLOOKUP(D2668,Cardápio!$A$2:$B$16,2,0))*E2668)</f>
        <v/>
      </c>
      <c r="H2668" s="7" t="str">
        <f t="shared" si="164"/>
        <v/>
      </c>
      <c r="I2668" s="7" t="str">
        <f>IF(AND(ISBLANK(D2668),ISBLANK(C2668)),"",((VLOOKUP(D2668,Cardápio!$A$2:$C$16,3,0))*E2668)+IF(B2668="iFood",F2668*0.27,(VLOOKUP(VENDAS!C2668,Bairros!$A$2:$B$90,2,0))))</f>
        <v/>
      </c>
      <c r="J2668" s="7" t="str">
        <f t="shared" si="165"/>
        <v/>
      </c>
      <c r="K2668" s="9">
        <f t="shared" ca="1" si="166"/>
        <v>45404.878290162036</v>
      </c>
      <c r="L2668" s="10">
        <f t="shared" ca="1" si="167"/>
        <v>45404.878290046297</v>
      </c>
    </row>
    <row r="2669" spans="6:12" x14ac:dyDescent="0.25">
      <c r="F2669" s="11" t="str">
        <f>IF(ISBLANK(D2669),"",(VLOOKUP(D2669,Cardápio!$A$2:$B$16,2,0))*E2669)</f>
        <v/>
      </c>
      <c r="H2669" s="7" t="str">
        <f t="shared" si="164"/>
        <v/>
      </c>
      <c r="I2669" s="7" t="str">
        <f>IF(AND(ISBLANK(D2669),ISBLANK(C2669)),"",((VLOOKUP(D2669,Cardápio!$A$2:$C$16,3,0))*E2669)+IF(B2669="iFood",F2669*0.27,(VLOOKUP(VENDAS!C2669,Bairros!$A$2:$B$90,2,0))))</f>
        <v/>
      </c>
      <c r="J2669" s="7" t="str">
        <f t="shared" si="165"/>
        <v/>
      </c>
      <c r="K2669" s="9">
        <f t="shared" ca="1" si="166"/>
        <v>45404.878290277775</v>
      </c>
      <c r="L2669" s="10">
        <f t="shared" ca="1" si="167"/>
        <v>45404.878290046297</v>
      </c>
    </row>
    <row r="2670" spans="6:12" x14ac:dyDescent="0.25">
      <c r="F2670" s="11" t="str">
        <f>IF(ISBLANK(D2670),"",(VLOOKUP(D2670,Cardápio!$A$2:$B$16,2,0))*E2670)</f>
        <v/>
      </c>
      <c r="H2670" s="7" t="str">
        <f t="shared" si="164"/>
        <v/>
      </c>
      <c r="I2670" s="7" t="str">
        <f>IF(AND(ISBLANK(D2670),ISBLANK(C2670)),"",((VLOOKUP(D2670,Cardápio!$A$2:$C$16,3,0))*E2670)+IF(B2670="iFood",F2670*0.27,(VLOOKUP(VENDAS!C2670,Bairros!$A$2:$B$90,2,0))))</f>
        <v/>
      </c>
      <c r="J2670" s="7" t="str">
        <f t="shared" si="165"/>
        <v/>
      </c>
      <c r="K2670" s="9">
        <f t="shared" ca="1" si="166"/>
        <v>45404.878290162036</v>
      </c>
      <c r="L2670" s="10">
        <f t="shared" ca="1" si="167"/>
        <v>45404.878290046297</v>
      </c>
    </row>
    <row r="2671" spans="6:12" x14ac:dyDescent="0.25">
      <c r="F2671" s="11" t="str">
        <f>IF(ISBLANK(D2671),"",(VLOOKUP(D2671,Cardápio!$A$2:$B$16,2,0))*E2671)</f>
        <v/>
      </c>
      <c r="H2671" s="7" t="str">
        <f t="shared" si="164"/>
        <v/>
      </c>
      <c r="I2671" s="7" t="str">
        <f>IF(AND(ISBLANK(D2671),ISBLANK(C2671)),"",((VLOOKUP(D2671,Cardápio!$A$2:$C$16,3,0))*E2671)+IF(B2671="iFood",F2671*0.27,(VLOOKUP(VENDAS!C2671,Bairros!$A$2:$B$90,2,0))))</f>
        <v/>
      </c>
      <c r="J2671" s="7" t="str">
        <f t="shared" si="165"/>
        <v/>
      </c>
      <c r="K2671" s="9">
        <f t="shared" ca="1" si="166"/>
        <v>45404.878290162036</v>
      </c>
      <c r="L2671" s="10">
        <f t="shared" ca="1" si="167"/>
        <v>45404.878290046297</v>
      </c>
    </row>
    <row r="2672" spans="6:12" x14ac:dyDescent="0.25">
      <c r="F2672" s="11" t="str">
        <f>IF(ISBLANK(D2672),"",(VLOOKUP(D2672,Cardápio!$A$2:$B$16,2,0))*E2672)</f>
        <v/>
      </c>
      <c r="H2672" s="7" t="str">
        <f t="shared" si="164"/>
        <v/>
      </c>
      <c r="I2672" s="7" t="str">
        <f>IF(AND(ISBLANK(D2672),ISBLANK(C2672)),"",((VLOOKUP(D2672,Cardápio!$A$2:$C$16,3,0))*E2672)+IF(B2672="iFood",F2672*0.27,(VLOOKUP(VENDAS!C2672,Bairros!$A$2:$B$90,2,0))))</f>
        <v/>
      </c>
      <c r="J2672" s="7" t="str">
        <f t="shared" si="165"/>
        <v/>
      </c>
      <c r="K2672" s="9">
        <f t="shared" ca="1" si="166"/>
        <v>45404.878290162036</v>
      </c>
      <c r="L2672" s="10">
        <f t="shared" ca="1" si="167"/>
        <v>45404.878290046297</v>
      </c>
    </row>
    <row r="2673" spans="6:12" x14ac:dyDescent="0.25">
      <c r="F2673" s="11" t="str">
        <f>IF(ISBLANK(D2673),"",(VLOOKUP(D2673,Cardápio!$A$2:$B$16,2,0))*E2673)</f>
        <v/>
      </c>
      <c r="H2673" s="7" t="str">
        <f t="shared" si="164"/>
        <v/>
      </c>
      <c r="I2673" s="7" t="str">
        <f>IF(AND(ISBLANK(D2673),ISBLANK(C2673)),"",((VLOOKUP(D2673,Cardápio!$A$2:$C$16,3,0))*E2673)+IF(B2673="iFood",F2673*0.27,(VLOOKUP(VENDAS!C2673,Bairros!$A$2:$B$90,2,0))))</f>
        <v/>
      </c>
      <c r="J2673" s="7" t="str">
        <f t="shared" si="165"/>
        <v/>
      </c>
      <c r="K2673" s="9">
        <f t="shared" ca="1" si="166"/>
        <v>45404.878290277775</v>
      </c>
      <c r="L2673" s="10">
        <f t="shared" ca="1" si="167"/>
        <v>45404.878290046297</v>
      </c>
    </row>
    <row r="2674" spans="6:12" x14ac:dyDescent="0.25">
      <c r="F2674" s="11" t="str">
        <f>IF(ISBLANK(D2674),"",(VLOOKUP(D2674,Cardápio!$A$2:$B$16,2,0))*E2674)</f>
        <v/>
      </c>
      <c r="H2674" s="7" t="str">
        <f t="shared" si="164"/>
        <v/>
      </c>
      <c r="I2674" s="7" t="str">
        <f>IF(AND(ISBLANK(D2674),ISBLANK(C2674)),"",((VLOOKUP(D2674,Cardápio!$A$2:$C$16,3,0))*E2674)+IF(B2674="iFood",F2674*0.27,(VLOOKUP(VENDAS!C2674,Bairros!$A$2:$B$90,2,0))))</f>
        <v/>
      </c>
      <c r="J2674" s="7" t="str">
        <f t="shared" si="165"/>
        <v/>
      </c>
      <c r="K2674" s="9">
        <f t="shared" ca="1" si="166"/>
        <v>45404.878290162036</v>
      </c>
      <c r="L2674" s="10">
        <f t="shared" ca="1" si="167"/>
        <v>45404.878290046297</v>
      </c>
    </row>
    <row r="2675" spans="6:12" x14ac:dyDescent="0.25">
      <c r="F2675" s="11" t="str">
        <f>IF(ISBLANK(D2675),"",(VLOOKUP(D2675,Cardápio!$A$2:$B$16,2,0))*E2675)</f>
        <v/>
      </c>
      <c r="H2675" s="7" t="str">
        <f t="shared" si="164"/>
        <v/>
      </c>
      <c r="I2675" s="7" t="str">
        <f>IF(AND(ISBLANK(D2675),ISBLANK(C2675)),"",((VLOOKUP(D2675,Cardápio!$A$2:$C$16,3,0))*E2675)+IF(B2675="iFood",F2675*0.27,(VLOOKUP(VENDAS!C2675,Bairros!$A$2:$B$90,2,0))))</f>
        <v/>
      </c>
      <c r="J2675" s="7" t="str">
        <f t="shared" si="165"/>
        <v/>
      </c>
      <c r="K2675" s="9">
        <f t="shared" ca="1" si="166"/>
        <v>45404.878290162036</v>
      </c>
      <c r="L2675" s="10">
        <f t="shared" ca="1" si="167"/>
        <v>45404.878290046297</v>
      </c>
    </row>
    <row r="2676" spans="6:12" x14ac:dyDescent="0.25">
      <c r="F2676" s="11" t="str">
        <f>IF(ISBLANK(D2676),"",(VLOOKUP(D2676,Cardápio!$A$2:$B$16,2,0))*E2676)</f>
        <v/>
      </c>
      <c r="H2676" s="7" t="str">
        <f t="shared" si="164"/>
        <v/>
      </c>
      <c r="I2676" s="7" t="str">
        <f>IF(AND(ISBLANK(D2676),ISBLANK(C2676)),"",((VLOOKUP(D2676,Cardápio!$A$2:$C$16,3,0))*E2676)+IF(B2676="iFood",F2676*0.27,(VLOOKUP(VENDAS!C2676,Bairros!$A$2:$B$90,2,0))))</f>
        <v/>
      </c>
      <c r="J2676" s="7" t="str">
        <f t="shared" si="165"/>
        <v/>
      </c>
      <c r="K2676" s="9">
        <f t="shared" ca="1" si="166"/>
        <v>45404.878290162036</v>
      </c>
      <c r="L2676" s="10">
        <f t="shared" ca="1" si="167"/>
        <v>45404.878290046297</v>
      </c>
    </row>
    <row r="2677" spans="6:12" x14ac:dyDescent="0.25">
      <c r="F2677" s="11" t="str">
        <f>IF(ISBLANK(D2677),"",(VLOOKUP(D2677,Cardápio!$A$2:$B$16,2,0))*E2677)</f>
        <v/>
      </c>
      <c r="H2677" s="7" t="str">
        <f t="shared" ref="H2677:H2740" si="168">IF(ISBLANK(D2677),"",F2677-G2677)</f>
        <v/>
      </c>
      <c r="I2677" s="7" t="str">
        <f>IF(AND(ISBLANK(D2677),ISBLANK(C2677)),"",((VLOOKUP(D2677,Cardápio!$A$2:$C$16,3,0))*E2677)+IF(B2677="iFood",F2677*0.27,(VLOOKUP(VENDAS!C2677,Bairros!$A$2:$B$90,2,0))))</f>
        <v/>
      </c>
      <c r="J2677" s="7" t="str">
        <f t="shared" ref="J2677:J2740" si="169">IF(OR(AND(ISBLANK(H2677),ISBLANK(I2677)),(AND(H2677="",I2677=""))),"",H2677-I2677)</f>
        <v/>
      </c>
      <c r="K2677" s="9">
        <f t="shared" ref="K2677:K2740" ca="1" si="170">IF(D2677&lt;&gt;"",K2677,NOW())</f>
        <v>45404.878290277775</v>
      </c>
      <c r="L2677" s="10">
        <f t="shared" ref="L2677:L2740" ca="1" si="171">IF(D2677&lt;&gt;"",L2677,NOW())</f>
        <v>45404.878290046297</v>
      </c>
    </row>
    <row r="2678" spans="6:12" x14ac:dyDescent="0.25">
      <c r="F2678" s="11" t="str">
        <f>IF(ISBLANK(D2678),"",(VLOOKUP(D2678,Cardápio!$A$2:$B$16,2,0))*E2678)</f>
        <v/>
      </c>
      <c r="H2678" s="7" t="str">
        <f t="shared" si="168"/>
        <v/>
      </c>
      <c r="I2678" s="7" t="str">
        <f>IF(AND(ISBLANK(D2678),ISBLANK(C2678)),"",((VLOOKUP(D2678,Cardápio!$A$2:$C$16,3,0))*E2678)+IF(B2678="iFood",F2678*0.27,(VLOOKUP(VENDAS!C2678,Bairros!$A$2:$B$90,2,0))))</f>
        <v/>
      </c>
      <c r="J2678" s="7" t="str">
        <f t="shared" si="169"/>
        <v/>
      </c>
      <c r="K2678" s="9">
        <f t="shared" ca="1" si="170"/>
        <v>45404.878290162036</v>
      </c>
      <c r="L2678" s="10">
        <f t="shared" ca="1" si="171"/>
        <v>45404.878290046297</v>
      </c>
    </row>
    <row r="2679" spans="6:12" x14ac:dyDescent="0.25">
      <c r="F2679" s="11" t="str">
        <f>IF(ISBLANK(D2679),"",(VLOOKUP(D2679,Cardápio!$A$2:$B$16,2,0))*E2679)</f>
        <v/>
      </c>
      <c r="H2679" s="7" t="str">
        <f t="shared" si="168"/>
        <v/>
      </c>
      <c r="I2679" s="7" t="str">
        <f>IF(AND(ISBLANK(D2679),ISBLANK(C2679)),"",((VLOOKUP(D2679,Cardápio!$A$2:$C$16,3,0))*E2679)+IF(B2679="iFood",F2679*0.27,(VLOOKUP(VENDAS!C2679,Bairros!$A$2:$B$90,2,0))))</f>
        <v/>
      </c>
      <c r="J2679" s="7" t="str">
        <f t="shared" si="169"/>
        <v/>
      </c>
      <c r="K2679" s="9">
        <f t="shared" ca="1" si="170"/>
        <v>45404.878290162036</v>
      </c>
      <c r="L2679" s="10">
        <f t="shared" ca="1" si="171"/>
        <v>45404.878290046297</v>
      </c>
    </row>
    <row r="2680" spans="6:12" x14ac:dyDescent="0.25">
      <c r="F2680" s="11" t="str">
        <f>IF(ISBLANK(D2680),"",(VLOOKUP(D2680,Cardápio!$A$2:$B$16,2,0))*E2680)</f>
        <v/>
      </c>
      <c r="H2680" s="7" t="str">
        <f t="shared" si="168"/>
        <v/>
      </c>
      <c r="I2680" s="7" t="str">
        <f>IF(AND(ISBLANK(D2680),ISBLANK(C2680)),"",((VLOOKUP(D2680,Cardápio!$A$2:$C$16,3,0))*E2680)+IF(B2680="iFood",F2680*0.27,(VLOOKUP(VENDAS!C2680,Bairros!$A$2:$B$90,2,0))))</f>
        <v/>
      </c>
      <c r="J2680" s="7" t="str">
        <f t="shared" si="169"/>
        <v/>
      </c>
      <c r="K2680" s="9">
        <f t="shared" ca="1" si="170"/>
        <v>45404.878290162036</v>
      </c>
      <c r="L2680" s="10">
        <f t="shared" ca="1" si="171"/>
        <v>45404.878290046297</v>
      </c>
    </row>
    <row r="2681" spans="6:12" x14ac:dyDescent="0.25">
      <c r="F2681" s="11" t="str">
        <f>IF(ISBLANK(D2681),"",(VLOOKUP(D2681,Cardápio!$A$2:$B$16,2,0))*E2681)</f>
        <v/>
      </c>
      <c r="H2681" s="7" t="str">
        <f t="shared" si="168"/>
        <v/>
      </c>
      <c r="I2681" s="7" t="str">
        <f>IF(AND(ISBLANK(D2681),ISBLANK(C2681)),"",((VLOOKUP(D2681,Cardápio!$A$2:$C$16,3,0))*E2681)+IF(B2681="iFood",F2681*0.27,(VLOOKUP(VENDAS!C2681,Bairros!$A$2:$B$90,2,0))))</f>
        <v/>
      </c>
      <c r="J2681" s="7" t="str">
        <f t="shared" si="169"/>
        <v/>
      </c>
      <c r="K2681" s="9">
        <f t="shared" ca="1" si="170"/>
        <v>45404.878290277775</v>
      </c>
      <c r="L2681" s="10">
        <f t="shared" ca="1" si="171"/>
        <v>45404.878290046297</v>
      </c>
    </row>
    <row r="2682" spans="6:12" x14ac:dyDescent="0.25">
      <c r="F2682" s="11" t="str">
        <f>IF(ISBLANK(D2682),"",(VLOOKUP(D2682,Cardápio!$A$2:$B$16,2,0))*E2682)</f>
        <v/>
      </c>
      <c r="H2682" s="7" t="str">
        <f t="shared" si="168"/>
        <v/>
      </c>
      <c r="I2682" s="7" t="str">
        <f>IF(AND(ISBLANK(D2682),ISBLANK(C2682)),"",((VLOOKUP(D2682,Cardápio!$A$2:$C$16,3,0))*E2682)+IF(B2682="iFood",F2682*0.27,(VLOOKUP(VENDAS!C2682,Bairros!$A$2:$B$90,2,0))))</f>
        <v/>
      </c>
      <c r="J2682" s="7" t="str">
        <f t="shared" si="169"/>
        <v/>
      </c>
      <c r="K2682" s="9">
        <f t="shared" ca="1" si="170"/>
        <v>45404.878290162036</v>
      </c>
      <c r="L2682" s="10">
        <f t="shared" ca="1" si="171"/>
        <v>45404.878290046297</v>
      </c>
    </row>
    <row r="2683" spans="6:12" x14ac:dyDescent="0.25">
      <c r="F2683" s="11" t="str">
        <f>IF(ISBLANK(D2683),"",(VLOOKUP(D2683,Cardápio!$A$2:$B$16,2,0))*E2683)</f>
        <v/>
      </c>
      <c r="H2683" s="7" t="str">
        <f t="shared" si="168"/>
        <v/>
      </c>
      <c r="I2683" s="7" t="str">
        <f>IF(AND(ISBLANK(D2683),ISBLANK(C2683)),"",((VLOOKUP(D2683,Cardápio!$A$2:$C$16,3,0))*E2683)+IF(B2683="iFood",F2683*0.27,(VLOOKUP(VENDAS!C2683,Bairros!$A$2:$B$90,2,0))))</f>
        <v/>
      </c>
      <c r="J2683" s="7" t="str">
        <f t="shared" si="169"/>
        <v/>
      </c>
      <c r="K2683" s="9">
        <f t="shared" ca="1" si="170"/>
        <v>45404.878290162036</v>
      </c>
      <c r="L2683" s="10">
        <f t="shared" ca="1" si="171"/>
        <v>45404.878290046297</v>
      </c>
    </row>
    <row r="2684" spans="6:12" x14ac:dyDescent="0.25">
      <c r="F2684" s="11" t="str">
        <f>IF(ISBLANK(D2684),"",(VLOOKUP(D2684,Cardápio!$A$2:$B$16,2,0))*E2684)</f>
        <v/>
      </c>
      <c r="H2684" s="7" t="str">
        <f t="shared" si="168"/>
        <v/>
      </c>
      <c r="I2684" s="7" t="str">
        <f>IF(AND(ISBLANK(D2684),ISBLANK(C2684)),"",((VLOOKUP(D2684,Cardápio!$A$2:$C$16,3,0))*E2684)+IF(B2684="iFood",F2684*0.27,(VLOOKUP(VENDAS!C2684,Bairros!$A$2:$B$90,2,0))))</f>
        <v/>
      </c>
      <c r="J2684" s="7" t="str">
        <f t="shared" si="169"/>
        <v/>
      </c>
      <c r="K2684" s="9">
        <f t="shared" ca="1" si="170"/>
        <v>45404.878290162036</v>
      </c>
      <c r="L2684" s="10">
        <f t="shared" ca="1" si="171"/>
        <v>45404.878290046297</v>
      </c>
    </row>
    <row r="2685" spans="6:12" x14ac:dyDescent="0.25">
      <c r="F2685" s="11" t="str">
        <f>IF(ISBLANK(D2685),"",(VLOOKUP(D2685,Cardápio!$A$2:$B$16,2,0))*E2685)</f>
        <v/>
      </c>
      <c r="H2685" s="7" t="str">
        <f t="shared" si="168"/>
        <v/>
      </c>
      <c r="I2685" s="7" t="str">
        <f>IF(AND(ISBLANK(D2685),ISBLANK(C2685)),"",((VLOOKUP(D2685,Cardápio!$A$2:$C$16,3,0))*E2685)+IF(B2685="iFood",F2685*0.27,(VLOOKUP(VENDAS!C2685,Bairros!$A$2:$B$90,2,0))))</f>
        <v/>
      </c>
      <c r="J2685" s="7" t="str">
        <f t="shared" si="169"/>
        <v/>
      </c>
      <c r="K2685" s="9">
        <f t="shared" ca="1" si="170"/>
        <v>45404.878290277775</v>
      </c>
      <c r="L2685" s="10">
        <f t="shared" ca="1" si="171"/>
        <v>45404.878290046297</v>
      </c>
    </row>
    <row r="2686" spans="6:12" x14ac:dyDescent="0.25">
      <c r="F2686" s="11" t="str">
        <f>IF(ISBLANK(D2686),"",(VLOOKUP(D2686,Cardápio!$A$2:$B$16,2,0))*E2686)</f>
        <v/>
      </c>
      <c r="H2686" s="7" t="str">
        <f t="shared" si="168"/>
        <v/>
      </c>
      <c r="I2686" s="7" t="str">
        <f>IF(AND(ISBLANK(D2686),ISBLANK(C2686)),"",((VLOOKUP(D2686,Cardápio!$A$2:$C$16,3,0))*E2686)+IF(B2686="iFood",F2686*0.27,(VLOOKUP(VENDAS!C2686,Bairros!$A$2:$B$90,2,0))))</f>
        <v/>
      </c>
      <c r="J2686" s="7" t="str">
        <f t="shared" si="169"/>
        <v/>
      </c>
      <c r="K2686" s="9">
        <f t="shared" ca="1" si="170"/>
        <v>45404.878290162036</v>
      </c>
      <c r="L2686" s="10">
        <f t="shared" ca="1" si="171"/>
        <v>45404.878290046297</v>
      </c>
    </row>
    <row r="2687" spans="6:12" x14ac:dyDescent="0.25">
      <c r="F2687" s="11" t="str">
        <f>IF(ISBLANK(D2687),"",(VLOOKUP(D2687,Cardápio!$A$2:$B$16,2,0))*E2687)</f>
        <v/>
      </c>
      <c r="H2687" s="7" t="str">
        <f t="shared" si="168"/>
        <v/>
      </c>
      <c r="I2687" s="7" t="str">
        <f>IF(AND(ISBLANK(D2687),ISBLANK(C2687)),"",((VLOOKUP(D2687,Cardápio!$A$2:$C$16,3,0))*E2687)+IF(B2687="iFood",F2687*0.27,(VLOOKUP(VENDAS!C2687,Bairros!$A$2:$B$90,2,0))))</f>
        <v/>
      </c>
      <c r="J2687" s="7" t="str">
        <f t="shared" si="169"/>
        <v/>
      </c>
      <c r="K2687" s="9">
        <f t="shared" ca="1" si="170"/>
        <v>45404.878290162036</v>
      </c>
      <c r="L2687" s="10">
        <f t="shared" ca="1" si="171"/>
        <v>45404.878290046297</v>
      </c>
    </row>
    <row r="2688" spans="6:12" x14ac:dyDescent="0.25">
      <c r="F2688" s="11" t="str">
        <f>IF(ISBLANK(D2688),"",(VLOOKUP(D2688,Cardápio!$A$2:$B$16,2,0))*E2688)</f>
        <v/>
      </c>
      <c r="H2688" s="7" t="str">
        <f t="shared" si="168"/>
        <v/>
      </c>
      <c r="I2688" s="7" t="str">
        <f>IF(AND(ISBLANK(D2688),ISBLANK(C2688)),"",((VLOOKUP(D2688,Cardápio!$A$2:$C$16,3,0))*E2688)+IF(B2688="iFood",F2688*0.27,(VLOOKUP(VENDAS!C2688,Bairros!$A$2:$B$90,2,0))))</f>
        <v/>
      </c>
      <c r="J2688" s="7" t="str">
        <f t="shared" si="169"/>
        <v/>
      </c>
      <c r="K2688" s="9">
        <f t="shared" ca="1" si="170"/>
        <v>45404.878290162036</v>
      </c>
      <c r="L2688" s="10">
        <f t="shared" ca="1" si="171"/>
        <v>45404.878290046297</v>
      </c>
    </row>
    <row r="2689" spans="6:12" x14ac:dyDescent="0.25">
      <c r="F2689" s="11" t="str">
        <f>IF(ISBLANK(D2689),"",(VLOOKUP(D2689,Cardápio!$A$2:$B$16,2,0))*E2689)</f>
        <v/>
      </c>
      <c r="H2689" s="7" t="str">
        <f t="shared" si="168"/>
        <v/>
      </c>
      <c r="I2689" s="7" t="str">
        <f>IF(AND(ISBLANK(D2689),ISBLANK(C2689)),"",((VLOOKUP(D2689,Cardápio!$A$2:$C$16,3,0))*E2689)+IF(B2689="iFood",F2689*0.27,(VLOOKUP(VENDAS!C2689,Bairros!$A$2:$B$90,2,0))))</f>
        <v/>
      </c>
      <c r="J2689" s="7" t="str">
        <f t="shared" si="169"/>
        <v/>
      </c>
      <c r="K2689" s="9">
        <f t="shared" ca="1" si="170"/>
        <v>45404.878290277775</v>
      </c>
      <c r="L2689" s="10">
        <f t="shared" ca="1" si="171"/>
        <v>45404.878290046297</v>
      </c>
    </row>
    <row r="2690" spans="6:12" x14ac:dyDescent="0.25">
      <c r="F2690" s="11" t="str">
        <f>IF(ISBLANK(D2690),"",(VLOOKUP(D2690,Cardápio!$A$2:$B$16,2,0))*E2690)</f>
        <v/>
      </c>
      <c r="H2690" s="7" t="str">
        <f t="shared" si="168"/>
        <v/>
      </c>
      <c r="I2690" s="7" t="str">
        <f>IF(AND(ISBLANK(D2690),ISBLANK(C2690)),"",((VLOOKUP(D2690,Cardápio!$A$2:$C$16,3,0))*E2690)+IF(B2690="iFood",F2690*0.27,(VLOOKUP(VENDAS!C2690,Bairros!$A$2:$B$90,2,0))))</f>
        <v/>
      </c>
      <c r="J2690" s="7" t="str">
        <f t="shared" si="169"/>
        <v/>
      </c>
      <c r="K2690" s="9">
        <f t="shared" ca="1" si="170"/>
        <v>45404.878290162036</v>
      </c>
      <c r="L2690" s="10">
        <f t="shared" ca="1" si="171"/>
        <v>45404.878290046297</v>
      </c>
    </row>
    <row r="2691" spans="6:12" x14ac:dyDescent="0.25">
      <c r="F2691" s="11" t="str">
        <f>IF(ISBLANK(D2691),"",(VLOOKUP(D2691,Cardápio!$A$2:$B$16,2,0))*E2691)</f>
        <v/>
      </c>
      <c r="H2691" s="7" t="str">
        <f t="shared" si="168"/>
        <v/>
      </c>
      <c r="I2691" s="7" t="str">
        <f>IF(AND(ISBLANK(D2691),ISBLANK(C2691)),"",((VLOOKUP(D2691,Cardápio!$A$2:$C$16,3,0))*E2691)+IF(B2691="iFood",F2691*0.27,(VLOOKUP(VENDAS!C2691,Bairros!$A$2:$B$90,2,0))))</f>
        <v/>
      </c>
      <c r="J2691" s="7" t="str">
        <f t="shared" si="169"/>
        <v/>
      </c>
      <c r="K2691" s="9">
        <f t="shared" ca="1" si="170"/>
        <v>45404.878290162036</v>
      </c>
      <c r="L2691" s="10">
        <f t="shared" ca="1" si="171"/>
        <v>45404.878290046297</v>
      </c>
    </row>
    <row r="2692" spans="6:12" x14ac:dyDescent="0.25">
      <c r="F2692" s="11" t="str">
        <f>IF(ISBLANK(D2692),"",(VLOOKUP(D2692,Cardápio!$A$2:$B$16,2,0))*E2692)</f>
        <v/>
      </c>
      <c r="H2692" s="7" t="str">
        <f t="shared" si="168"/>
        <v/>
      </c>
      <c r="I2692" s="7" t="str">
        <f>IF(AND(ISBLANK(D2692),ISBLANK(C2692)),"",((VLOOKUP(D2692,Cardápio!$A$2:$C$16,3,0))*E2692)+IF(B2692="iFood",F2692*0.27,(VLOOKUP(VENDAS!C2692,Bairros!$A$2:$B$90,2,0))))</f>
        <v/>
      </c>
      <c r="J2692" s="7" t="str">
        <f t="shared" si="169"/>
        <v/>
      </c>
      <c r="K2692" s="9">
        <f t="shared" ca="1" si="170"/>
        <v>45404.878290162036</v>
      </c>
      <c r="L2692" s="10">
        <f t="shared" ca="1" si="171"/>
        <v>45404.878290046297</v>
      </c>
    </row>
    <row r="2693" spans="6:12" x14ac:dyDescent="0.25">
      <c r="F2693" s="11" t="str">
        <f>IF(ISBLANK(D2693),"",(VLOOKUP(D2693,Cardápio!$A$2:$B$16,2,0))*E2693)</f>
        <v/>
      </c>
      <c r="H2693" s="7" t="str">
        <f t="shared" si="168"/>
        <v/>
      </c>
      <c r="I2693" s="7" t="str">
        <f>IF(AND(ISBLANK(D2693),ISBLANK(C2693)),"",((VLOOKUP(D2693,Cardápio!$A$2:$C$16,3,0))*E2693)+IF(B2693="iFood",F2693*0.27,(VLOOKUP(VENDAS!C2693,Bairros!$A$2:$B$90,2,0))))</f>
        <v/>
      </c>
      <c r="J2693" s="7" t="str">
        <f t="shared" si="169"/>
        <v/>
      </c>
      <c r="K2693" s="9">
        <f t="shared" ca="1" si="170"/>
        <v>45404.878290277775</v>
      </c>
      <c r="L2693" s="10">
        <f t="shared" ca="1" si="171"/>
        <v>45404.878290046297</v>
      </c>
    </row>
    <row r="2694" spans="6:12" x14ac:dyDescent="0.25">
      <c r="F2694" s="11" t="str">
        <f>IF(ISBLANK(D2694),"",(VLOOKUP(D2694,Cardápio!$A$2:$B$16,2,0))*E2694)</f>
        <v/>
      </c>
      <c r="H2694" s="7" t="str">
        <f t="shared" si="168"/>
        <v/>
      </c>
      <c r="I2694" s="7" t="str">
        <f>IF(AND(ISBLANK(D2694),ISBLANK(C2694)),"",((VLOOKUP(D2694,Cardápio!$A$2:$C$16,3,0))*E2694)+IF(B2694="iFood",F2694*0.27,(VLOOKUP(VENDAS!C2694,Bairros!$A$2:$B$90,2,0))))</f>
        <v/>
      </c>
      <c r="J2694" s="7" t="str">
        <f t="shared" si="169"/>
        <v/>
      </c>
      <c r="K2694" s="9">
        <f t="shared" ca="1" si="170"/>
        <v>45404.878290162036</v>
      </c>
      <c r="L2694" s="10">
        <f t="shared" ca="1" si="171"/>
        <v>45404.878290046297</v>
      </c>
    </row>
    <row r="2695" spans="6:12" x14ac:dyDescent="0.25">
      <c r="F2695" s="11" t="str">
        <f>IF(ISBLANK(D2695),"",(VLOOKUP(D2695,Cardápio!$A$2:$B$16,2,0))*E2695)</f>
        <v/>
      </c>
      <c r="H2695" s="7" t="str">
        <f t="shared" si="168"/>
        <v/>
      </c>
      <c r="I2695" s="7" t="str">
        <f>IF(AND(ISBLANK(D2695),ISBLANK(C2695)),"",((VLOOKUP(D2695,Cardápio!$A$2:$C$16,3,0))*E2695)+IF(B2695="iFood",F2695*0.27,(VLOOKUP(VENDAS!C2695,Bairros!$A$2:$B$90,2,0))))</f>
        <v/>
      </c>
      <c r="J2695" s="7" t="str">
        <f t="shared" si="169"/>
        <v/>
      </c>
      <c r="K2695" s="9">
        <f t="shared" ca="1" si="170"/>
        <v>45404.878290162036</v>
      </c>
      <c r="L2695" s="10">
        <f t="shared" ca="1" si="171"/>
        <v>45404.878290046297</v>
      </c>
    </row>
    <row r="2696" spans="6:12" x14ac:dyDescent="0.25">
      <c r="F2696" s="11" t="str">
        <f>IF(ISBLANK(D2696),"",(VLOOKUP(D2696,Cardápio!$A$2:$B$16,2,0))*E2696)</f>
        <v/>
      </c>
      <c r="H2696" s="7" t="str">
        <f t="shared" si="168"/>
        <v/>
      </c>
      <c r="I2696" s="7" t="str">
        <f>IF(AND(ISBLANK(D2696),ISBLANK(C2696)),"",((VLOOKUP(D2696,Cardápio!$A$2:$C$16,3,0))*E2696)+IF(B2696="iFood",F2696*0.27,(VLOOKUP(VENDAS!C2696,Bairros!$A$2:$B$90,2,0))))</f>
        <v/>
      </c>
      <c r="J2696" s="7" t="str">
        <f t="shared" si="169"/>
        <v/>
      </c>
      <c r="K2696" s="9">
        <f t="shared" ca="1" si="170"/>
        <v>45404.878290162036</v>
      </c>
      <c r="L2696" s="10">
        <f t="shared" ca="1" si="171"/>
        <v>45404.878290046297</v>
      </c>
    </row>
    <row r="2697" spans="6:12" x14ac:dyDescent="0.25">
      <c r="F2697" s="11" t="str">
        <f>IF(ISBLANK(D2697),"",(VLOOKUP(D2697,Cardápio!$A$2:$B$16,2,0))*E2697)</f>
        <v/>
      </c>
      <c r="H2697" s="7" t="str">
        <f t="shared" si="168"/>
        <v/>
      </c>
      <c r="I2697" s="7" t="str">
        <f>IF(AND(ISBLANK(D2697),ISBLANK(C2697)),"",((VLOOKUP(D2697,Cardápio!$A$2:$C$16,3,0))*E2697)+IF(B2697="iFood",F2697*0.27,(VLOOKUP(VENDAS!C2697,Bairros!$A$2:$B$90,2,0))))</f>
        <v/>
      </c>
      <c r="J2697" s="7" t="str">
        <f t="shared" si="169"/>
        <v/>
      </c>
      <c r="K2697" s="9">
        <f t="shared" ca="1" si="170"/>
        <v>45404.878290277775</v>
      </c>
      <c r="L2697" s="10">
        <f t="shared" ca="1" si="171"/>
        <v>45404.878290046297</v>
      </c>
    </row>
    <row r="2698" spans="6:12" x14ac:dyDescent="0.25">
      <c r="F2698" s="11" t="str">
        <f>IF(ISBLANK(D2698),"",(VLOOKUP(D2698,Cardápio!$A$2:$B$16,2,0))*E2698)</f>
        <v/>
      </c>
      <c r="H2698" s="7" t="str">
        <f t="shared" si="168"/>
        <v/>
      </c>
      <c r="I2698" s="7" t="str">
        <f>IF(AND(ISBLANK(D2698),ISBLANK(C2698)),"",((VLOOKUP(D2698,Cardápio!$A$2:$C$16,3,0))*E2698)+IF(B2698="iFood",F2698*0.27,(VLOOKUP(VENDAS!C2698,Bairros!$A$2:$B$90,2,0))))</f>
        <v/>
      </c>
      <c r="J2698" s="7" t="str">
        <f t="shared" si="169"/>
        <v/>
      </c>
      <c r="K2698" s="9">
        <f t="shared" ca="1" si="170"/>
        <v>45404.878290162036</v>
      </c>
      <c r="L2698" s="10">
        <f t="shared" ca="1" si="171"/>
        <v>45404.878290046297</v>
      </c>
    </row>
    <row r="2699" spans="6:12" x14ac:dyDescent="0.25">
      <c r="F2699" s="11" t="str">
        <f>IF(ISBLANK(D2699),"",(VLOOKUP(D2699,Cardápio!$A$2:$B$16,2,0))*E2699)</f>
        <v/>
      </c>
      <c r="H2699" s="7" t="str">
        <f t="shared" si="168"/>
        <v/>
      </c>
      <c r="I2699" s="7" t="str">
        <f>IF(AND(ISBLANK(D2699),ISBLANK(C2699)),"",((VLOOKUP(D2699,Cardápio!$A$2:$C$16,3,0))*E2699)+IF(B2699="iFood",F2699*0.27,(VLOOKUP(VENDAS!C2699,Bairros!$A$2:$B$90,2,0))))</f>
        <v/>
      </c>
      <c r="J2699" s="7" t="str">
        <f t="shared" si="169"/>
        <v/>
      </c>
      <c r="K2699" s="9">
        <f t="shared" ca="1" si="170"/>
        <v>45404.878290162036</v>
      </c>
      <c r="L2699" s="10">
        <f t="shared" ca="1" si="171"/>
        <v>45404.878290046297</v>
      </c>
    </row>
    <row r="2700" spans="6:12" x14ac:dyDescent="0.25">
      <c r="F2700" s="11" t="str">
        <f>IF(ISBLANK(D2700),"",(VLOOKUP(D2700,Cardápio!$A$2:$B$16,2,0))*E2700)</f>
        <v/>
      </c>
      <c r="H2700" s="7" t="str">
        <f t="shared" si="168"/>
        <v/>
      </c>
      <c r="I2700" s="7" t="str">
        <f>IF(AND(ISBLANK(D2700),ISBLANK(C2700)),"",((VLOOKUP(D2700,Cardápio!$A$2:$C$16,3,0))*E2700)+IF(B2700="iFood",F2700*0.27,(VLOOKUP(VENDAS!C2700,Bairros!$A$2:$B$90,2,0))))</f>
        <v/>
      </c>
      <c r="J2700" s="7" t="str">
        <f t="shared" si="169"/>
        <v/>
      </c>
      <c r="K2700" s="9">
        <f t="shared" ca="1" si="170"/>
        <v>45404.878290162036</v>
      </c>
      <c r="L2700" s="10">
        <f t="shared" ca="1" si="171"/>
        <v>45404.878290046297</v>
      </c>
    </row>
    <row r="2701" spans="6:12" x14ac:dyDescent="0.25">
      <c r="F2701" s="11" t="str">
        <f>IF(ISBLANK(D2701),"",(VLOOKUP(D2701,Cardápio!$A$2:$B$16,2,0))*E2701)</f>
        <v/>
      </c>
      <c r="H2701" s="7" t="str">
        <f t="shared" si="168"/>
        <v/>
      </c>
      <c r="I2701" s="7" t="str">
        <f>IF(AND(ISBLANK(D2701),ISBLANK(C2701)),"",((VLOOKUP(D2701,Cardápio!$A$2:$C$16,3,0))*E2701)+IF(B2701="iFood",F2701*0.27,(VLOOKUP(VENDAS!C2701,Bairros!$A$2:$B$90,2,0))))</f>
        <v/>
      </c>
      <c r="J2701" s="7" t="str">
        <f t="shared" si="169"/>
        <v/>
      </c>
      <c r="K2701" s="9">
        <f t="shared" ca="1" si="170"/>
        <v>45404.878290277775</v>
      </c>
      <c r="L2701" s="10">
        <f t="shared" ca="1" si="171"/>
        <v>45404.878290046297</v>
      </c>
    </row>
    <row r="2702" spans="6:12" x14ac:dyDescent="0.25">
      <c r="F2702" s="11" t="str">
        <f>IF(ISBLANK(D2702),"",(VLOOKUP(D2702,Cardápio!$A$2:$B$16,2,0))*E2702)</f>
        <v/>
      </c>
      <c r="H2702" s="7" t="str">
        <f t="shared" si="168"/>
        <v/>
      </c>
      <c r="I2702" s="7" t="str">
        <f>IF(AND(ISBLANK(D2702),ISBLANK(C2702)),"",((VLOOKUP(D2702,Cardápio!$A$2:$C$16,3,0))*E2702)+IF(B2702="iFood",F2702*0.27,(VLOOKUP(VENDAS!C2702,Bairros!$A$2:$B$90,2,0))))</f>
        <v/>
      </c>
      <c r="J2702" s="7" t="str">
        <f t="shared" si="169"/>
        <v/>
      </c>
      <c r="K2702" s="9">
        <f t="shared" ca="1" si="170"/>
        <v>45404.878290162036</v>
      </c>
      <c r="L2702" s="10">
        <f t="shared" ca="1" si="171"/>
        <v>45404.878290046297</v>
      </c>
    </row>
    <row r="2703" spans="6:12" x14ac:dyDescent="0.25">
      <c r="F2703" s="11" t="str">
        <f>IF(ISBLANK(D2703),"",(VLOOKUP(D2703,Cardápio!$A$2:$B$16,2,0))*E2703)</f>
        <v/>
      </c>
      <c r="H2703" s="7" t="str">
        <f t="shared" si="168"/>
        <v/>
      </c>
      <c r="I2703" s="7" t="str">
        <f>IF(AND(ISBLANK(D2703),ISBLANK(C2703)),"",((VLOOKUP(D2703,Cardápio!$A$2:$C$16,3,0))*E2703)+IF(B2703="iFood",F2703*0.27,(VLOOKUP(VENDAS!C2703,Bairros!$A$2:$B$90,2,0))))</f>
        <v/>
      </c>
      <c r="J2703" s="7" t="str">
        <f t="shared" si="169"/>
        <v/>
      </c>
      <c r="K2703" s="9">
        <f t="shared" ca="1" si="170"/>
        <v>45404.878290162036</v>
      </c>
      <c r="L2703" s="10">
        <f t="shared" ca="1" si="171"/>
        <v>45404.878290046297</v>
      </c>
    </row>
    <row r="2704" spans="6:12" x14ac:dyDescent="0.25">
      <c r="F2704" s="11" t="str">
        <f>IF(ISBLANK(D2704),"",(VLOOKUP(D2704,Cardápio!$A$2:$B$16,2,0))*E2704)</f>
        <v/>
      </c>
      <c r="H2704" s="7" t="str">
        <f t="shared" si="168"/>
        <v/>
      </c>
      <c r="I2704" s="7" t="str">
        <f>IF(AND(ISBLANK(D2704),ISBLANK(C2704)),"",((VLOOKUP(D2704,Cardápio!$A$2:$C$16,3,0))*E2704)+IF(B2704="iFood",F2704*0.27,(VLOOKUP(VENDAS!C2704,Bairros!$A$2:$B$90,2,0))))</f>
        <v/>
      </c>
      <c r="J2704" s="7" t="str">
        <f t="shared" si="169"/>
        <v/>
      </c>
      <c r="K2704" s="9">
        <f t="shared" ca="1" si="170"/>
        <v>45404.878290162036</v>
      </c>
      <c r="L2704" s="10">
        <f t="shared" ca="1" si="171"/>
        <v>45404.878290046297</v>
      </c>
    </row>
    <row r="2705" spans="6:12" x14ac:dyDescent="0.25">
      <c r="F2705" s="11" t="str">
        <f>IF(ISBLANK(D2705),"",(VLOOKUP(D2705,Cardápio!$A$2:$B$16,2,0))*E2705)</f>
        <v/>
      </c>
      <c r="H2705" s="7" t="str">
        <f t="shared" si="168"/>
        <v/>
      </c>
      <c r="I2705" s="7" t="str">
        <f>IF(AND(ISBLANK(D2705),ISBLANK(C2705)),"",((VLOOKUP(D2705,Cardápio!$A$2:$C$16,3,0))*E2705)+IF(B2705="iFood",F2705*0.27,(VLOOKUP(VENDAS!C2705,Bairros!$A$2:$B$90,2,0))))</f>
        <v/>
      </c>
      <c r="J2705" s="7" t="str">
        <f t="shared" si="169"/>
        <v/>
      </c>
      <c r="K2705" s="9">
        <f t="shared" ca="1" si="170"/>
        <v>45404.878290277775</v>
      </c>
      <c r="L2705" s="10">
        <f t="shared" ca="1" si="171"/>
        <v>45404.878290046297</v>
      </c>
    </row>
    <row r="2706" spans="6:12" x14ac:dyDescent="0.25">
      <c r="F2706" s="11" t="str">
        <f>IF(ISBLANK(D2706),"",(VLOOKUP(D2706,Cardápio!$A$2:$B$16,2,0))*E2706)</f>
        <v/>
      </c>
      <c r="H2706" s="7" t="str">
        <f t="shared" si="168"/>
        <v/>
      </c>
      <c r="I2706" s="7" t="str">
        <f>IF(AND(ISBLANK(D2706),ISBLANK(C2706)),"",((VLOOKUP(D2706,Cardápio!$A$2:$C$16,3,0))*E2706)+IF(B2706="iFood",F2706*0.27,(VLOOKUP(VENDAS!C2706,Bairros!$A$2:$B$90,2,0))))</f>
        <v/>
      </c>
      <c r="J2706" s="7" t="str">
        <f t="shared" si="169"/>
        <v/>
      </c>
      <c r="K2706" s="9">
        <f t="shared" ca="1" si="170"/>
        <v>45404.878290162036</v>
      </c>
      <c r="L2706" s="10">
        <f t="shared" ca="1" si="171"/>
        <v>45404.878290046297</v>
      </c>
    </row>
    <row r="2707" spans="6:12" x14ac:dyDescent="0.25">
      <c r="F2707" s="11" t="str">
        <f>IF(ISBLANK(D2707),"",(VLOOKUP(D2707,Cardápio!$A$2:$B$16,2,0))*E2707)</f>
        <v/>
      </c>
      <c r="H2707" s="7" t="str">
        <f t="shared" si="168"/>
        <v/>
      </c>
      <c r="I2707" s="7" t="str">
        <f>IF(AND(ISBLANK(D2707),ISBLANK(C2707)),"",((VLOOKUP(D2707,Cardápio!$A$2:$C$16,3,0))*E2707)+IF(B2707="iFood",F2707*0.27,(VLOOKUP(VENDAS!C2707,Bairros!$A$2:$B$90,2,0))))</f>
        <v/>
      </c>
      <c r="J2707" s="7" t="str">
        <f t="shared" si="169"/>
        <v/>
      </c>
      <c r="K2707" s="9">
        <f t="shared" ca="1" si="170"/>
        <v>45404.878290162036</v>
      </c>
      <c r="L2707" s="10">
        <f t="shared" ca="1" si="171"/>
        <v>45404.878290046297</v>
      </c>
    </row>
    <row r="2708" spans="6:12" x14ac:dyDescent="0.25">
      <c r="F2708" s="11" t="str">
        <f>IF(ISBLANK(D2708),"",(VLOOKUP(D2708,Cardápio!$A$2:$B$16,2,0))*E2708)</f>
        <v/>
      </c>
      <c r="H2708" s="7" t="str">
        <f t="shared" si="168"/>
        <v/>
      </c>
      <c r="I2708" s="7" t="str">
        <f>IF(AND(ISBLANK(D2708),ISBLANK(C2708)),"",((VLOOKUP(D2708,Cardápio!$A$2:$C$16,3,0))*E2708)+IF(B2708="iFood",F2708*0.27,(VLOOKUP(VENDAS!C2708,Bairros!$A$2:$B$90,2,0))))</f>
        <v/>
      </c>
      <c r="J2708" s="7" t="str">
        <f t="shared" si="169"/>
        <v/>
      </c>
      <c r="K2708" s="9">
        <f t="shared" ca="1" si="170"/>
        <v>45404.878290162036</v>
      </c>
      <c r="L2708" s="10">
        <f t="shared" ca="1" si="171"/>
        <v>45404.878290046297</v>
      </c>
    </row>
    <row r="2709" spans="6:12" x14ac:dyDescent="0.25">
      <c r="F2709" s="11" t="str">
        <f>IF(ISBLANK(D2709),"",(VLOOKUP(D2709,Cardápio!$A$2:$B$16,2,0))*E2709)</f>
        <v/>
      </c>
      <c r="H2709" s="7" t="str">
        <f t="shared" si="168"/>
        <v/>
      </c>
      <c r="I2709" s="7" t="str">
        <f>IF(AND(ISBLANK(D2709),ISBLANK(C2709)),"",((VLOOKUP(D2709,Cardápio!$A$2:$C$16,3,0))*E2709)+IF(B2709="iFood",F2709*0.27,(VLOOKUP(VENDAS!C2709,Bairros!$A$2:$B$90,2,0))))</f>
        <v/>
      </c>
      <c r="J2709" s="7" t="str">
        <f t="shared" si="169"/>
        <v/>
      </c>
      <c r="K2709" s="9">
        <f t="shared" ca="1" si="170"/>
        <v>45404.878290277775</v>
      </c>
      <c r="L2709" s="10">
        <f t="shared" ca="1" si="171"/>
        <v>45404.878290046297</v>
      </c>
    </row>
    <row r="2710" spans="6:12" x14ac:dyDescent="0.25">
      <c r="F2710" s="11" t="str">
        <f>IF(ISBLANK(D2710),"",(VLOOKUP(D2710,Cardápio!$A$2:$B$16,2,0))*E2710)</f>
        <v/>
      </c>
      <c r="H2710" s="7" t="str">
        <f t="shared" si="168"/>
        <v/>
      </c>
      <c r="I2710" s="7" t="str">
        <f>IF(AND(ISBLANK(D2710),ISBLANK(C2710)),"",((VLOOKUP(D2710,Cardápio!$A$2:$C$16,3,0))*E2710)+IF(B2710="iFood",F2710*0.27,(VLOOKUP(VENDAS!C2710,Bairros!$A$2:$B$90,2,0))))</f>
        <v/>
      </c>
      <c r="J2710" s="7" t="str">
        <f t="shared" si="169"/>
        <v/>
      </c>
      <c r="K2710" s="9">
        <f t="shared" ca="1" si="170"/>
        <v>45404.878290162036</v>
      </c>
      <c r="L2710" s="10">
        <f t="shared" ca="1" si="171"/>
        <v>45404.878290046297</v>
      </c>
    </row>
    <row r="2711" spans="6:12" x14ac:dyDescent="0.25">
      <c r="F2711" s="11" t="str">
        <f>IF(ISBLANK(D2711),"",(VLOOKUP(D2711,Cardápio!$A$2:$B$16,2,0))*E2711)</f>
        <v/>
      </c>
      <c r="H2711" s="7" t="str">
        <f t="shared" si="168"/>
        <v/>
      </c>
      <c r="I2711" s="7" t="str">
        <f>IF(AND(ISBLANK(D2711),ISBLANK(C2711)),"",((VLOOKUP(D2711,Cardápio!$A$2:$C$16,3,0))*E2711)+IF(B2711="iFood",F2711*0.27,(VLOOKUP(VENDAS!C2711,Bairros!$A$2:$B$90,2,0))))</f>
        <v/>
      </c>
      <c r="J2711" s="7" t="str">
        <f t="shared" si="169"/>
        <v/>
      </c>
      <c r="K2711" s="9">
        <f t="shared" ca="1" si="170"/>
        <v>45404.878290162036</v>
      </c>
      <c r="L2711" s="10">
        <f t="shared" ca="1" si="171"/>
        <v>45404.878290046297</v>
      </c>
    </row>
    <row r="2712" spans="6:12" x14ac:dyDescent="0.25">
      <c r="F2712" s="11" t="str">
        <f>IF(ISBLANK(D2712),"",(VLOOKUP(D2712,Cardápio!$A$2:$B$16,2,0))*E2712)</f>
        <v/>
      </c>
      <c r="H2712" s="7" t="str">
        <f t="shared" si="168"/>
        <v/>
      </c>
      <c r="I2712" s="7" t="str">
        <f>IF(AND(ISBLANK(D2712),ISBLANK(C2712)),"",((VLOOKUP(D2712,Cardápio!$A$2:$C$16,3,0))*E2712)+IF(B2712="iFood",F2712*0.27,(VLOOKUP(VENDAS!C2712,Bairros!$A$2:$B$90,2,0))))</f>
        <v/>
      </c>
      <c r="J2712" s="7" t="str">
        <f t="shared" si="169"/>
        <v/>
      </c>
      <c r="K2712" s="9">
        <f t="shared" ca="1" si="170"/>
        <v>45404.878290162036</v>
      </c>
      <c r="L2712" s="10">
        <f t="shared" ca="1" si="171"/>
        <v>45404.878290046297</v>
      </c>
    </row>
    <row r="2713" spans="6:12" x14ac:dyDescent="0.25">
      <c r="F2713" s="11" t="str">
        <f>IF(ISBLANK(D2713),"",(VLOOKUP(D2713,Cardápio!$A$2:$B$16,2,0))*E2713)</f>
        <v/>
      </c>
      <c r="H2713" s="7" t="str">
        <f t="shared" si="168"/>
        <v/>
      </c>
      <c r="I2713" s="7" t="str">
        <f>IF(AND(ISBLANK(D2713),ISBLANK(C2713)),"",((VLOOKUP(D2713,Cardápio!$A$2:$C$16,3,0))*E2713)+IF(B2713="iFood",F2713*0.27,(VLOOKUP(VENDAS!C2713,Bairros!$A$2:$B$90,2,0))))</f>
        <v/>
      </c>
      <c r="J2713" s="7" t="str">
        <f t="shared" si="169"/>
        <v/>
      </c>
      <c r="K2713" s="9">
        <f t="shared" ca="1" si="170"/>
        <v>45404.878290277775</v>
      </c>
      <c r="L2713" s="10">
        <f t="shared" ca="1" si="171"/>
        <v>45404.878290046297</v>
      </c>
    </row>
    <row r="2714" spans="6:12" x14ac:dyDescent="0.25">
      <c r="F2714" s="11" t="str">
        <f>IF(ISBLANK(D2714),"",(VLOOKUP(D2714,Cardápio!$A$2:$B$16,2,0))*E2714)</f>
        <v/>
      </c>
      <c r="H2714" s="7" t="str">
        <f t="shared" si="168"/>
        <v/>
      </c>
      <c r="I2714" s="7" t="str">
        <f>IF(AND(ISBLANK(D2714),ISBLANK(C2714)),"",((VLOOKUP(D2714,Cardápio!$A$2:$C$16,3,0))*E2714)+IF(B2714="iFood",F2714*0.27,(VLOOKUP(VENDAS!C2714,Bairros!$A$2:$B$90,2,0))))</f>
        <v/>
      </c>
      <c r="J2714" s="7" t="str">
        <f t="shared" si="169"/>
        <v/>
      </c>
      <c r="K2714" s="9">
        <f t="shared" ca="1" si="170"/>
        <v>45404.878290162036</v>
      </c>
      <c r="L2714" s="10">
        <f t="shared" ca="1" si="171"/>
        <v>45404.878290046297</v>
      </c>
    </row>
    <row r="2715" spans="6:12" x14ac:dyDescent="0.25">
      <c r="F2715" s="11" t="str">
        <f>IF(ISBLANK(D2715),"",(VLOOKUP(D2715,Cardápio!$A$2:$B$16,2,0))*E2715)</f>
        <v/>
      </c>
      <c r="H2715" s="7" t="str">
        <f t="shared" si="168"/>
        <v/>
      </c>
      <c r="I2715" s="7" t="str">
        <f>IF(AND(ISBLANK(D2715),ISBLANK(C2715)),"",((VLOOKUP(D2715,Cardápio!$A$2:$C$16,3,0))*E2715)+IF(B2715="iFood",F2715*0.27,(VLOOKUP(VENDAS!C2715,Bairros!$A$2:$B$90,2,0))))</f>
        <v/>
      </c>
      <c r="J2715" s="7" t="str">
        <f t="shared" si="169"/>
        <v/>
      </c>
      <c r="K2715" s="9">
        <f t="shared" ca="1" si="170"/>
        <v>45404.878290162036</v>
      </c>
      <c r="L2715" s="10">
        <f t="shared" ca="1" si="171"/>
        <v>45404.878290046297</v>
      </c>
    </row>
    <row r="2716" spans="6:12" x14ac:dyDescent="0.25">
      <c r="F2716" s="11" t="str">
        <f>IF(ISBLANK(D2716),"",(VLOOKUP(D2716,Cardápio!$A$2:$B$16,2,0))*E2716)</f>
        <v/>
      </c>
      <c r="H2716" s="7" t="str">
        <f t="shared" si="168"/>
        <v/>
      </c>
      <c r="I2716" s="7" t="str">
        <f>IF(AND(ISBLANK(D2716),ISBLANK(C2716)),"",((VLOOKUP(D2716,Cardápio!$A$2:$C$16,3,0))*E2716)+IF(B2716="iFood",F2716*0.27,(VLOOKUP(VENDAS!C2716,Bairros!$A$2:$B$90,2,0))))</f>
        <v/>
      </c>
      <c r="J2716" s="7" t="str">
        <f t="shared" si="169"/>
        <v/>
      </c>
      <c r="K2716" s="9">
        <f t="shared" ca="1" si="170"/>
        <v>45404.878290162036</v>
      </c>
      <c r="L2716" s="10">
        <f t="shared" ca="1" si="171"/>
        <v>45404.878290046297</v>
      </c>
    </row>
    <row r="2717" spans="6:12" x14ac:dyDescent="0.25">
      <c r="F2717" s="11" t="str">
        <f>IF(ISBLANK(D2717),"",(VLOOKUP(D2717,Cardápio!$A$2:$B$16,2,0))*E2717)</f>
        <v/>
      </c>
      <c r="H2717" s="7" t="str">
        <f t="shared" si="168"/>
        <v/>
      </c>
      <c r="I2717" s="7" t="str">
        <f>IF(AND(ISBLANK(D2717),ISBLANK(C2717)),"",((VLOOKUP(D2717,Cardápio!$A$2:$C$16,3,0))*E2717)+IF(B2717="iFood",F2717*0.27,(VLOOKUP(VENDAS!C2717,Bairros!$A$2:$B$90,2,0))))</f>
        <v/>
      </c>
      <c r="J2717" s="7" t="str">
        <f t="shared" si="169"/>
        <v/>
      </c>
      <c r="K2717" s="9">
        <f t="shared" ca="1" si="170"/>
        <v>45404.878290277775</v>
      </c>
      <c r="L2717" s="10">
        <f t="shared" ca="1" si="171"/>
        <v>45404.878290046297</v>
      </c>
    </row>
    <row r="2718" spans="6:12" x14ac:dyDescent="0.25">
      <c r="F2718" s="11" t="str">
        <f>IF(ISBLANK(D2718),"",(VLOOKUP(D2718,Cardápio!$A$2:$B$16,2,0))*E2718)</f>
        <v/>
      </c>
      <c r="H2718" s="7" t="str">
        <f t="shared" si="168"/>
        <v/>
      </c>
      <c r="I2718" s="7" t="str">
        <f>IF(AND(ISBLANK(D2718),ISBLANK(C2718)),"",((VLOOKUP(D2718,Cardápio!$A$2:$C$16,3,0))*E2718)+IF(B2718="iFood",F2718*0.27,(VLOOKUP(VENDAS!C2718,Bairros!$A$2:$B$90,2,0))))</f>
        <v/>
      </c>
      <c r="J2718" s="7" t="str">
        <f t="shared" si="169"/>
        <v/>
      </c>
      <c r="K2718" s="9">
        <f t="shared" ca="1" si="170"/>
        <v>45404.878290162036</v>
      </c>
      <c r="L2718" s="10">
        <f t="shared" ca="1" si="171"/>
        <v>45404.878290046297</v>
      </c>
    </row>
    <row r="2719" spans="6:12" x14ac:dyDescent="0.25">
      <c r="F2719" s="11" t="str">
        <f>IF(ISBLANK(D2719),"",(VLOOKUP(D2719,Cardápio!$A$2:$B$16,2,0))*E2719)</f>
        <v/>
      </c>
      <c r="H2719" s="7" t="str">
        <f t="shared" si="168"/>
        <v/>
      </c>
      <c r="I2719" s="7" t="str">
        <f>IF(AND(ISBLANK(D2719),ISBLANK(C2719)),"",((VLOOKUP(D2719,Cardápio!$A$2:$C$16,3,0))*E2719)+IF(B2719="iFood",F2719*0.27,(VLOOKUP(VENDAS!C2719,Bairros!$A$2:$B$90,2,0))))</f>
        <v/>
      </c>
      <c r="J2719" s="7" t="str">
        <f t="shared" si="169"/>
        <v/>
      </c>
      <c r="K2719" s="9">
        <f t="shared" ca="1" si="170"/>
        <v>45404.878290162036</v>
      </c>
      <c r="L2719" s="10">
        <f t="shared" ca="1" si="171"/>
        <v>45404.878290046297</v>
      </c>
    </row>
    <row r="2720" spans="6:12" x14ac:dyDescent="0.25">
      <c r="F2720" s="11" t="str">
        <f>IF(ISBLANK(D2720),"",(VLOOKUP(D2720,Cardápio!$A$2:$B$16,2,0))*E2720)</f>
        <v/>
      </c>
      <c r="H2720" s="7" t="str">
        <f t="shared" si="168"/>
        <v/>
      </c>
      <c r="I2720" s="7" t="str">
        <f>IF(AND(ISBLANK(D2720),ISBLANK(C2720)),"",((VLOOKUP(D2720,Cardápio!$A$2:$C$16,3,0))*E2720)+IF(B2720="iFood",F2720*0.27,(VLOOKUP(VENDAS!C2720,Bairros!$A$2:$B$90,2,0))))</f>
        <v/>
      </c>
      <c r="J2720" s="7" t="str">
        <f t="shared" si="169"/>
        <v/>
      </c>
      <c r="K2720" s="9">
        <f t="shared" ca="1" si="170"/>
        <v>45404.878290162036</v>
      </c>
      <c r="L2720" s="10">
        <f t="shared" ca="1" si="171"/>
        <v>45404.878290046297</v>
      </c>
    </row>
    <row r="2721" spans="6:12" x14ac:dyDescent="0.25">
      <c r="F2721" s="11" t="str">
        <f>IF(ISBLANK(D2721),"",(VLOOKUP(D2721,Cardápio!$A$2:$B$16,2,0))*E2721)</f>
        <v/>
      </c>
      <c r="H2721" s="7" t="str">
        <f t="shared" si="168"/>
        <v/>
      </c>
      <c r="I2721" s="7" t="str">
        <f>IF(AND(ISBLANK(D2721),ISBLANK(C2721)),"",((VLOOKUP(D2721,Cardápio!$A$2:$C$16,3,0))*E2721)+IF(B2721="iFood",F2721*0.27,(VLOOKUP(VENDAS!C2721,Bairros!$A$2:$B$90,2,0))))</f>
        <v/>
      </c>
      <c r="J2721" s="7" t="str">
        <f t="shared" si="169"/>
        <v/>
      </c>
      <c r="K2721" s="9">
        <f t="shared" ca="1" si="170"/>
        <v>45404.878290277775</v>
      </c>
      <c r="L2721" s="10">
        <f t="shared" ca="1" si="171"/>
        <v>45404.878290046297</v>
      </c>
    </row>
    <row r="2722" spans="6:12" x14ac:dyDescent="0.25">
      <c r="F2722" s="11" t="str">
        <f>IF(ISBLANK(D2722),"",(VLOOKUP(D2722,Cardápio!$A$2:$B$16,2,0))*E2722)</f>
        <v/>
      </c>
      <c r="H2722" s="7" t="str">
        <f t="shared" si="168"/>
        <v/>
      </c>
      <c r="I2722" s="7" t="str">
        <f>IF(AND(ISBLANK(D2722),ISBLANK(C2722)),"",((VLOOKUP(D2722,Cardápio!$A$2:$C$16,3,0))*E2722)+IF(B2722="iFood",F2722*0.27,(VLOOKUP(VENDAS!C2722,Bairros!$A$2:$B$90,2,0))))</f>
        <v/>
      </c>
      <c r="J2722" s="7" t="str">
        <f t="shared" si="169"/>
        <v/>
      </c>
      <c r="K2722" s="9">
        <f t="shared" ca="1" si="170"/>
        <v>45404.878290162036</v>
      </c>
      <c r="L2722" s="10">
        <f t="shared" ca="1" si="171"/>
        <v>45404.878290046297</v>
      </c>
    </row>
    <row r="2723" spans="6:12" x14ac:dyDescent="0.25">
      <c r="F2723" s="11" t="str">
        <f>IF(ISBLANK(D2723),"",(VLOOKUP(D2723,Cardápio!$A$2:$B$16,2,0))*E2723)</f>
        <v/>
      </c>
      <c r="H2723" s="7" t="str">
        <f t="shared" si="168"/>
        <v/>
      </c>
      <c r="I2723" s="7" t="str">
        <f>IF(AND(ISBLANK(D2723),ISBLANK(C2723)),"",((VLOOKUP(D2723,Cardápio!$A$2:$C$16,3,0))*E2723)+IF(B2723="iFood",F2723*0.27,(VLOOKUP(VENDAS!C2723,Bairros!$A$2:$B$90,2,0))))</f>
        <v/>
      </c>
      <c r="J2723" s="7" t="str">
        <f t="shared" si="169"/>
        <v/>
      </c>
      <c r="K2723" s="9">
        <f t="shared" ca="1" si="170"/>
        <v>45404.878290162036</v>
      </c>
      <c r="L2723" s="10">
        <f t="shared" ca="1" si="171"/>
        <v>45404.878290046297</v>
      </c>
    </row>
    <row r="2724" spans="6:12" x14ac:dyDescent="0.25">
      <c r="F2724" s="11" t="str">
        <f>IF(ISBLANK(D2724),"",(VLOOKUP(D2724,Cardápio!$A$2:$B$16,2,0))*E2724)</f>
        <v/>
      </c>
      <c r="H2724" s="7" t="str">
        <f t="shared" si="168"/>
        <v/>
      </c>
      <c r="I2724" s="7" t="str">
        <f>IF(AND(ISBLANK(D2724),ISBLANK(C2724)),"",((VLOOKUP(D2724,Cardápio!$A$2:$C$16,3,0))*E2724)+IF(B2724="iFood",F2724*0.27,(VLOOKUP(VENDAS!C2724,Bairros!$A$2:$B$90,2,0))))</f>
        <v/>
      </c>
      <c r="J2724" s="7" t="str">
        <f t="shared" si="169"/>
        <v/>
      </c>
      <c r="K2724" s="9">
        <f t="shared" ca="1" si="170"/>
        <v>45404.878290162036</v>
      </c>
      <c r="L2724" s="10">
        <f t="shared" ca="1" si="171"/>
        <v>45404.878290046297</v>
      </c>
    </row>
    <row r="2725" spans="6:12" x14ac:dyDescent="0.25">
      <c r="F2725" s="11" t="str">
        <f>IF(ISBLANK(D2725),"",(VLOOKUP(D2725,Cardápio!$A$2:$B$16,2,0))*E2725)</f>
        <v/>
      </c>
      <c r="H2725" s="7" t="str">
        <f t="shared" si="168"/>
        <v/>
      </c>
      <c r="I2725" s="7" t="str">
        <f>IF(AND(ISBLANK(D2725),ISBLANK(C2725)),"",((VLOOKUP(D2725,Cardápio!$A$2:$C$16,3,0))*E2725)+IF(B2725="iFood",F2725*0.27,(VLOOKUP(VENDAS!C2725,Bairros!$A$2:$B$90,2,0))))</f>
        <v/>
      </c>
      <c r="J2725" s="7" t="str">
        <f t="shared" si="169"/>
        <v/>
      </c>
      <c r="K2725" s="9">
        <f t="shared" ca="1" si="170"/>
        <v>45404.878290277775</v>
      </c>
      <c r="L2725" s="10">
        <f t="shared" ca="1" si="171"/>
        <v>45404.878290046297</v>
      </c>
    </row>
    <row r="2726" spans="6:12" x14ac:dyDescent="0.25">
      <c r="F2726" s="11" t="str">
        <f>IF(ISBLANK(D2726),"",(VLOOKUP(D2726,Cardápio!$A$2:$B$16,2,0))*E2726)</f>
        <v/>
      </c>
      <c r="H2726" s="7" t="str">
        <f t="shared" si="168"/>
        <v/>
      </c>
      <c r="I2726" s="7" t="str">
        <f>IF(AND(ISBLANK(D2726),ISBLANK(C2726)),"",((VLOOKUP(D2726,Cardápio!$A$2:$C$16,3,0))*E2726)+IF(B2726="iFood",F2726*0.27,(VLOOKUP(VENDAS!C2726,Bairros!$A$2:$B$90,2,0))))</f>
        <v/>
      </c>
      <c r="J2726" s="7" t="str">
        <f t="shared" si="169"/>
        <v/>
      </c>
      <c r="K2726" s="9">
        <f t="shared" ca="1" si="170"/>
        <v>45404.878290162036</v>
      </c>
      <c r="L2726" s="10">
        <f t="shared" ca="1" si="171"/>
        <v>45404.878290046297</v>
      </c>
    </row>
    <row r="2727" spans="6:12" x14ac:dyDescent="0.25">
      <c r="F2727" s="11" t="str">
        <f>IF(ISBLANK(D2727),"",(VLOOKUP(D2727,Cardápio!$A$2:$B$16,2,0))*E2727)</f>
        <v/>
      </c>
      <c r="H2727" s="7" t="str">
        <f t="shared" si="168"/>
        <v/>
      </c>
      <c r="I2727" s="7" t="str">
        <f>IF(AND(ISBLANK(D2727),ISBLANK(C2727)),"",((VLOOKUP(D2727,Cardápio!$A$2:$C$16,3,0))*E2727)+IF(B2727="iFood",F2727*0.27,(VLOOKUP(VENDAS!C2727,Bairros!$A$2:$B$90,2,0))))</f>
        <v/>
      </c>
      <c r="J2727" s="7" t="str">
        <f t="shared" si="169"/>
        <v/>
      </c>
      <c r="K2727" s="9">
        <f t="shared" ca="1" si="170"/>
        <v>45404.878290162036</v>
      </c>
      <c r="L2727" s="10">
        <f t="shared" ca="1" si="171"/>
        <v>45404.878290046297</v>
      </c>
    </row>
    <row r="2728" spans="6:12" x14ac:dyDescent="0.25">
      <c r="F2728" s="11" t="str">
        <f>IF(ISBLANK(D2728),"",(VLOOKUP(D2728,Cardápio!$A$2:$B$16,2,0))*E2728)</f>
        <v/>
      </c>
      <c r="H2728" s="7" t="str">
        <f t="shared" si="168"/>
        <v/>
      </c>
      <c r="I2728" s="7" t="str">
        <f>IF(AND(ISBLANK(D2728),ISBLANK(C2728)),"",((VLOOKUP(D2728,Cardápio!$A$2:$C$16,3,0))*E2728)+IF(B2728="iFood",F2728*0.27,(VLOOKUP(VENDAS!C2728,Bairros!$A$2:$B$90,2,0))))</f>
        <v/>
      </c>
      <c r="J2728" s="7" t="str">
        <f t="shared" si="169"/>
        <v/>
      </c>
      <c r="K2728" s="9">
        <f t="shared" ca="1" si="170"/>
        <v>45404.878290162036</v>
      </c>
      <c r="L2728" s="10">
        <f t="shared" ca="1" si="171"/>
        <v>45404.878290046297</v>
      </c>
    </row>
    <row r="2729" spans="6:12" x14ac:dyDescent="0.25">
      <c r="F2729" s="11" t="str">
        <f>IF(ISBLANK(D2729),"",(VLOOKUP(D2729,Cardápio!$A$2:$B$16,2,0))*E2729)</f>
        <v/>
      </c>
      <c r="H2729" s="7" t="str">
        <f t="shared" si="168"/>
        <v/>
      </c>
      <c r="I2729" s="7" t="str">
        <f>IF(AND(ISBLANK(D2729),ISBLANK(C2729)),"",((VLOOKUP(D2729,Cardápio!$A$2:$C$16,3,0))*E2729)+IF(B2729="iFood",F2729*0.27,(VLOOKUP(VENDAS!C2729,Bairros!$A$2:$B$90,2,0))))</f>
        <v/>
      </c>
      <c r="J2729" s="7" t="str">
        <f t="shared" si="169"/>
        <v/>
      </c>
      <c r="K2729" s="9">
        <f t="shared" ca="1" si="170"/>
        <v>45404.878290277775</v>
      </c>
      <c r="L2729" s="10">
        <f t="shared" ca="1" si="171"/>
        <v>45404.878290046297</v>
      </c>
    </row>
    <row r="2730" spans="6:12" x14ac:dyDescent="0.25">
      <c r="F2730" s="11" t="str">
        <f>IF(ISBLANK(D2730),"",(VLOOKUP(D2730,Cardápio!$A$2:$B$16,2,0))*E2730)</f>
        <v/>
      </c>
      <c r="H2730" s="7" t="str">
        <f t="shared" si="168"/>
        <v/>
      </c>
      <c r="I2730" s="7" t="str">
        <f>IF(AND(ISBLANK(D2730),ISBLANK(C2730)),"",((VLOOKUP(D2730,Cardápio!$A$2:$C$16,3,0))*E2730)+IF(B2730="iFood",F2730*0.27,(VLOOKUP(VENDAS!C2730,Bairros!$A$2:$B$90,2,0))))</f>
        <v/>
      </c>
      <c r="J2730" s="7" t="str">
        <f t="shared" si="169"/>
        <v/>
      </c>
      <c r="K2730" s="9">
        <f t="shared" ca="1" si="170"/>
        <v>45404.878290162036</v>
      </c>
      <c r="L2730" s="10">
        <f t="shared" ca="1" si="171"/>
        <v>45404.878290046297</v>
      </c>
    </row>
    <row r="2731" spans="6:12" x14ac:dyDescent="0.25">
      <c r="F2731" s="11" t="str">
        <f>IF(ISBLANK(D2731),"",(VLOOKUP(D2731,Cardápio!$A$2:$B$16,2,0))*E2731)</f>
        <v/>
      </c>
      <c r="H2731" s="7" t="str">
        <f t="shared" si="168"/>
        <v/>
      </c>
      <c r="I2731" s="7" t="str">
        <f>IF(AND(ISBLANK(D2731),ISBLANK(C2731)),"",((VLOOKUP(D2731,Cardápio!$A$2:$C$16,3,0))*E2731)+IF(B2731="iFood",F2731*0.27,(VLOOKUP(VENDAS!C2731,Bairros!$A$2:$B$90,2,0))))</f>
        <v/>
      </c>
      <c r="J2731" s="7" t="str">
        <f t="shared" si="169"/>
        <v/>
      </c>
      <c r="K2731" s="9">
        <f t="shared" ca="1" si="170"/>
        <v>45404.878290162036</v>
      </c>
      <c r="L2731" s="10">
        <f t="shared" ca="1" si="171"/>
        <v>45404.878290046297</v>
      </c>
    </row>
    <row r="2732" spans="6:12" x14ac:dyDescent="0.25">
      <c r="F2732" s="11" t="str">
        <f>IF(ISBLANK(D2732),"",(VLOOKUP(D2732,Cardápio!$A$2:$B$16,2,0))*E2732)</f>
        <v/>
      </c>
      <c r="H2732" s="7" t="str">
        <f t="shared" si="168"/>
        <v/>
      </c>
      <c r="I2732" s="7" t="str">
        <f>IF(AND(ISBLANK(D2732),ISBLANK(C2732)),"",((VLOOKUP(D2732,Cardápio!$A$2:$C$16,3,0))*E2732)+IF(B2732="iFood",F2732*0.27,(VLOOKUP(VENDAS!C2732,Bairros!$A$2:$B$90,2,0))))</f>
        <v/>
      </c>
      <c r="J2732" s="7" t="str">
        <f t="shared" si="169"/>
        <v/>
      </c>
      <c r="K2732" s="9">
        <f t="shared" ca="1" si="170"/>
        <v>45404.878290162036</v>
      </c>
      <c r="L2732" s="10">
        <f t="shared" ca="1" si="171"/>
        <v>45404.878290046297</v>
      </c>
    </row>
    <row r="2733" spans="6:12" x14ac:dyDescent="0.25">
      <c r="F2733" s="11" t="str">
        <f>IF(ISBLANK(D2733),"",(VLOOKUP(D2733,Cardápio!$A$2:$B$16,2,0))*E2733)</f>
        <v/>
      </c>
      <c r="H2733" s="7" t="str">
        <f t="shared" si="168"/>
        <v/>
      </c>
      <c r="I2733" s="7" t="str">
        <f>IF(AND(ISBLANK(D2733),ISBLANK(C2733)),"",((VLOOKUP(D2733,Cardápio!$A$2:$C$16,3,0))*E2733)+IF(B2733="iFood",F2733*0.27,(VLOOKUP(VENDAS!C2733,Bairros!$A$2:$B$90,2,0))))</f>
        <v/>
      </c>
      <c r="J2733" s="7" t="str">
        <f t="shared" si="169"/>
        <v/>
      </c>
      <c r="K2733" s="9">
        <f t="shared" ca="1" si="170"/>
        <v>45404.878290277775</v>
      </c>
      <c r="L2733" s="10">
        <f t="shared" ca="1" si="171"/>
        <v>45404.878290046297</v>
      </c>
    </row>
    <row r="2734" spans="6:12" x14ac:dyDescent="0.25">
      <c r="F2734" s="11" t="str">
        <f>IF(ISBLANK(D2734),"",(VLOOKUP(D2734,Cardápio!$A$2:$B$16,2,0))*E2734)</f>
        <v/>
      </c>
      <c r="H2734" s="7" t="str">
        <f t="shared" si="168"/>
        <v/>
      </c>
      <c r="I2734" s="7" t="str">
        <f>IF(AND(ISBLANK(D2734),ISBLANK(C2734)),"",((VLOOKUP(D2734,Cardápio!$A$2:$C$16,3,0))*E2734)+IF(B2734="iFood",F2734*0.27,(VLOOKUP(VENDAS!C2734,Bairros!$A$2:$B$90,2,0))))</f>
        <v/>
      </c>
      <c r="J2734" s="7" t="str">
        <f t="shared" si="169"/>
        <v/>
      </c>
      <c r="K2734" s="9">
        <f t="shared" ca="1" si="170"/>
        <v>45404.878290162036</v>
      </c>
      <c r="L2734" s="10">
        <f t="shared" ca="1" si="171"/>
        <v>45404.878290046297</v>
      </c>
    </row>
    <row r="2735" spans="6:12" x14ac:dyDescent="0.25">
      <c r="F2735" s="11" t="str">
        <f>IF(ISBLANK(D2735),"",(VLOOKUP(D2735,Cardápio!$A$2:$B$16,2,0))*E2735)</f>
        <v/>
      </c>
      <c r="H2735" s="7" t="str">
        <f t="shared" si="168"/>
        <v/>
      </c>
      <c r="I2735" s="7" t="str">
        <f>IF(AND(ISBLANK(D2735),ISBLANK(C2735)),"",((VLOOKUP(D2735,Cardápio!$A$2:$C$16,3,0))*E2735)+IF(B2735="iFood",F2735*0.27,(VLOOKUP(VENDAS!C2735,Bairros!$A$2:$B$90,2,0))))</f>
        <v/>
      </c>
      <c r="J2735" s="7" t="str">
        <f t="shared" si="169"/>
        <v/>
      </c>
      <c r="K2735" s="9">
        <f t="shared" ca="1" si="170"/>
        <v>45404.878290162036</v>
      </c>
      <c r="L2735" s="10">
        <f t="shared" ca="1" si="171"/>
        <v>45404.878290046297</v>
      </c>
    </row>
    <row r="2736" spans="6:12" x14ac:dyDescent="0.25">
      <c r="F2736" s="11" t="str">
        <f>IF(ISBLANK(D2736),"",(VLOOKUP(D2736,Cardápio!$A$2:$B$16,2,0))*E2736)</f>
        <v/>
      </c>
      <c r="H2736" s="7" t="str">
        <f t="shared" si="168"/>
        <v/>
      </c>
      <c r="I2736" s="7" t="str">
        <f>IF(AND(ISBLANK(D2736),ISBLANK(C2736)),"",((VLOOKUP(D2736,Cardápio!$A$2:$C$16,3,0))*E2736)+IF(B2736="iFood",F2736*0.27,(VLOOKUP(VENDAS!C2736,Bairros!$A$2:$B$90,2,0))))</f>
        <v/>
      </c>
      <c r="J2736" s="7" t="str">
        <f t="shared" si="169"/>
        <v/>
      </c>
      <c r="K2736" s="9">
        <f t="shared" ca="1" si="170"/>
        <v>45404.878290162036</v>
      </c>
      <c r="L2736" s="10">
        <f t="shared" ca="1" si="171"/>
        <v>45404.878290046297</v>
      </c>
    </row>
    <row r="2737" spans="6:12" x14ac:dyDescent="0.25">
      <c r="F2737" s="11" t="str">
        <f>IF(ISBLANK(D2737),"",(VLOOKUP(D2737,Cardápio!$A$2:$B$16,2,0))*E2737)</f>
        <v/>
      </c>
      <c r="H2737" s="7" t="str">
        <f t="shared" si="168"/>
        <v/>
      </c>
      <c r="I2737" s="7" t="str">
        <f>IF(AND(ISBLANK(D2737),ISBLANK(C2737)),"",((VLOOKUP(D2737,Cardápio!$A$2:$C$16,3,0))*E2737)+IF(B2737="iFood",F2737*0.27,(VLOOKUP(VENDAS!C2737,Bairros!$A$2:$B$90,2,0))))</f>
        <v/>
      </c>
      <c r="J2737" s="7" t="str">
        <f t="shared" si="169"/>
        <v/>
      </c>
      <c r="K2737" s="9">
        <f t="shared" ca="1" si="170"/>
        <v>45404.878290277775</v>
      </c>
      <c r="L2737" s="10">
        <f t="shared" ca="1" si="171"/>
        <v>45404.878290046297</v>
      </c>
    </row>
    <row r="2738" spans="6:12" x14ac:dyDescent="0.25">
      <c r="F2738" s="11" t="str">
        <f>IF(ISBLANK(D2738),"",(VLOOKUP(D2738,Cardápio!$A$2:$B$16,2,0))*E2738)</f>
        <v/>
      </c>
      <c r="H2738" s="7" t="str">
        <f t="shared" si="168"/>
        <v/>
      </c>
      <c r="I2738" s="7" t="str">
        <f>IF(AND(ISBLANK(D2738),ISBLANK(C2738)),"",((VLOOKUP(D2738,Cardápio!$A$2:$C$16,3,0))*E2738)+IF(B2738="iFood",F2738*0.27,(VLOOKUP(VENDAS!C2738,Bairros!$A$2:$B$90,2,0))))</f>
        <v/>
      </c>
      <c r="J2738" s="7" t="str">
        <f t="shared" si="169"/>
        <v/>
      </c>
      <c r="K2738" s="9">
        <f t="shared" ca="1" si="170"/>
        <v>45404.878290162036</v>
      </c>
      <c r="L2738" s="10">
        <f t="shared" ca="1" si="171"/>
        <v>45404.878290046297</v>
      </c>
    </row>
    <row r="2739" spans="6:12" x14ac:dyDescent="0.25">
      <c r="F2739" s="11" t="str">
        <f>IF(ISBLANK(D2739),"",(VLOOKUP(D2739,Cardápio!$A$2:$B$16,2,0))*E2739)</f>
        <v/>
      </c>
      <c r="H2739" s="7" t="str">
        <f t="shared" si="168"/>
        <v/>
      </c>
      <c r="I2739" s="7" t="str">
        <f>IF(AND(ISBLANK(D2739),ISBLANK(C2739)),"",((VLOOKUP(D2739,Cardápio!$A$2:$C$16,3,0))*E2739)+IF(B2739="iFood",F2739*0.27,(VLOOKUP(VENDAS!C2739,Bairros!$A$2:$B$90,2,0))))</f>
        <v/>
      </c>
      <c r="J2739" s="7" t="str">
        <f t="shared" si="169"/>
        <v/>
      </c>
      <c r="K2739" s="9">
        <f t="shared" ca="1" si="170"/>
        <v>45404.878290162036</v>
      </c>
      <c r="L2739" s="10">
        <f t="shared" ca="1" si="171"/>
        <v>45404.878290046297</v>
      </c>
    </row>
    <row r="2740" spans="6:12" x14ac:dyDescent="0.25">
      <c r="F2740" s="11" t="str">
        <f>IF(ISBLANK(D2740),"",(VLOOKUP(D2740,Cardápio!$A$2:$B$16,2,0))*E2740)</f>
        <v/>
      </c>
      <c r="H2740" s="7" t="str">
        <f t="shared" si="168"/>
        <v/>
      </c>
      <c r="I2740" s="7" t="str">
        <f>IF(AND(ISBLANK(D2740),ISBLANK(C2740)),"",((VLOOKUP(D2740,Cardápio!$A$2:$C$16,3,0))*E2740)+IF(B2740="iFood",F2740*0.27,(VLOOKUP(VENDAS!C2740,Bairros!$A$2:$B$90,2,0))))</f>
        <v/>
      </c>
      <c r="J2740" s="7" t="str">
        <f t="shared" si="169"/>
        <v/>
      </c>
      <c r="K2740" s="9">
        <f t="shared" ca="1" si="170"/>
        <v>45404.878290162036</v>
      </c>
      <c r="L2740" s="10">
        <f t="shared" ca="1" si="171"/>
        <v>45404.878290046297</v>
      </c>
    </row>
    <row r="2741" spans="6:12" x14ac:dyDescent="0.25">
      <c r="F2741" s="11" t="str">
        <f>IF(ISBLANK(D2741),"",(VLOOKUP(D2741,Cardápio!$A$2:$B$16,2,0))*E2741)</f>
        <v/>
      </c>
      <c r="H2741" s="7" t="str">
        <f t="shared" ref="H2741:H2804" si="172">IF(ISBLANK(D2741),"",F2741-G2741)</f>
        <v/>
      </c>
      <c r="I2741" s="7" t="str">
        <f>IF(AND(ISBLANK(D2741),ISBLANK(C2741)),"",((VLOOKUP(D2741,Cardápio!$A$2:$C$16,3,0))*E2741)+IF(B2741="iFood",F2741*0.27,(VLOOKUP(VENDAS!C2741,Bairros!$A$2:$B$90,2,0))))</f>
        <v/>
      </c>
      <c r="J2741" s="7" t="str">
        <f t="shared" ref="J2741:J2804" si="173">IF(OR(AND(ISBLANK(H2741),ISBLANK(I2741)),(AND(H2741="",I2741=""))),"",H2741-I2741)</f>
        <v/>
      </c>
      <c r="K2741" s="9">
        <f t="shared" ref="K2741:K2804" ca="1" si="174">IF(D2741&lt;&gt;"",K2741,NOW())</f>
        <v>45404.878290277775</v>
      </c>
      <c r="L2741" s="10">
        <f t="shared" ref="L2741:L2804" ca="1" si="175">IF(D2741&lt;&gt;"",L2741,NOW())</f>
        <v>45404.878290046297</v>
      </c>
    </row>
    <row r="2742" spans="6:12" x14ac:dyDescent="0.25">
      <c r="F2742" s="11" t="str">
        <f>IF(ISBLANK(D2742),"",(VLOOKUP(D2742,Cardápio!$A$2:$B$16,2,0))*E2742)</f>
        <v/>
      </c>
      <c r="H2742" s="7" t="str">
        <f t="shared" si="172"/>
        <v/>
      </c>
      <c r="I2742" s="7" t="str">
        <f>IF(AND(ISBLANK(D2742),ISBLANK(C2742)),"",((VLOOKUP(D2742,Cardápio!$A$2:$C$16,3,0))*E2742)+IF(B2742="iFood",F2742*0.27,(VLOOKUP(VENDAS!C2742,Bairros!$A$2:$B$90,2,0))))</f>
        <v/>
      </c>
      <c r="J2742" s="7" t="str">
        <f t="shared" si="173"/>
        <v/>
      </c>
      <c r="K2742" s="9">
        <f t="shared" ca="1" si="174"/>
        <v>45404.878290162036</v>
      </c>
      <c r="L2742" s="10">
        <f t="shared" ca="1" si="175"/>
        <v>45404.878290046297</v>
      </c>
    </row>
    <row r="2743" spans="6:12" x14ac:dyDescent="0.25">
      <c r="F2743" s="11" t="str">
        <f>IF(ISBLANK(D2743),"",(VLOOKUP(D2743,Cardápio!$A$2:$B$16,2,0))*E2743)</f>
        <v/>
      </c>
      <c r="H2743" s="7" t="str">
        <f t="shared" si="172"/>
        <v/>
      </c>
      <c r="I2743" s="7" t="str">
        <f>IF(AND(ISBLANK(D2743),ISBLANK(C2743)),"",((VLOOKUP(D2743,Cardápio!$A$2:$C$16,3,0))*E2743)+IF(B2743="iFood",F2743*0.27,(VLOOKUP(VENDAS!C2743,Bairros!$A$2:$B$90,2,0))))</f>
        <v/>
      </c>
      <c r="J2743" s="7" t="str">
        <f t="shared" si="173"/>
        <v/>
      </c>
      <c r="K2743" s="9">
        <f t="shared" ca="1" si="174"/>
        <v>45404.878290162036</v>
      </c>
      <c r="L2743" s="10">
        <f t="shared" ca="1" si="175"/>
        <v>45404.878290046297</v>
      </c>
    </row>
    <row r="2744" spans="6:12" x14ac:dyDescent="0.25">
      <c r="F2744" s="11" t="str">
        <f>IF(ISBLANK(D2744),"",(VLOOKUP(D2744,Cardápio!$A$2:$B$16,2,0))*E2744)</f>
        <v/>
      </c>
      <c r="H2744" s="7" t="str">
        <f t="shared" si="172"/>
        <v/>
      </c>
      <c r="I2744" s="7" t="str">
        <f>IF(AND(ISBLANK(D2744),ISBLANK(C2744)),"",((VLOOKUP(D2744,Cardápio!$A$2:$C$16,3,0))*E2744)+IF(B2744="iFood",F2744*0.27,(VLOOKUP(VENDAS!C2744,Bairros!$A$2:$B$90,2,0))))</f>
        <v/>
      </c>
      <c r="J2744" s="7" t="str">
        <f t="shared" si="173"/>
        <v/>
      </c>
      <c r="K2744" s="9">
        <f t="shared" ca="1" si="174"/>
        <v>45404.878290162036</v>
      </c>
      <c r="L2744" s="10">
        <f t="shared" ca="1" si="175"/>
        <v>45404.878290046297</v>
      </c>
    </row>
    <row r="2745" spans="6:12" x14ac:dyDescent="0.25">
      <c r="F2745" s="11" t="str">
        <f>IF(ISBLANK(D2745),"",(VLOOKUP(D2745,Cardápio!$A$2:$B$16,2,0))*E2745)</f>
        <v/>
      </c>
      <c r="H2745" s="7" t="str">
        <f t="shared" si="172"/>
        <v/>
      </c>
      <c r="I2745" s="7" t="str">
        <f>IF(AND(ISBLANK(D2745),ISBLANK(C2745)),"",((VLOOKUP(D2745,Cardápio!$A$2:$C$16,3,0))*E2745)+IF(B2745="iFood",F2745*0.27,(VLOOKUP(VENDAS!C2745,Bairros!$A$2:$B$90,2,0))))</f>
        <v/>
      </c>
      <c r="J2745" s="7" t="str">
        <f t="shared" si="173"/>
        <v/>
      </c>
      <c r="K2745" s="9">
        <f t="shared" ca="1" si="174"/>
        <v>45404.878290277775</v>
      </c>
      <c r="L2745" s="10">
        <f t="shared" ca="1" si="175"/>
        <v>45404.878290046297</v>
      </c>
    </row>
    <row r="2746" spans="6:12" x14ac:dyDescent="0.25">
      <c r="F2746" s="11" t="str">
        <f>IF(ISBLANK(D2746),"",(VLOOKUP(D2746,Cardápio!$A$2:$B$16,2,0))*E2746)</f>
        <v/>
      </c>
      <c r="H2746" s="7" t="str">
        <f t="shared" si="172"/>
        <v/>
      </c>
      <c r="I2746" s="7" t="str">
        <f>IF(AND(ISBLANK(D2746),ISBLANK(C2746)),"",((VLOOKUP(D2746,Cardápio!$A$2:$C$16,3,0))*E2746)+IF(B2746="iFood",F2746*0.27,(VLOOKUP(VENDAS!C2746,Bairros!$A$2:$B$90,2,0))))</f>
        <v/>
      </c>
      <c r="J2746" s="7" t="str">
        <f t="shared" si="173"/>
        <v/>
      </c>
      <c r="K2746" s="9">
        <f t="shared" ca="1" si="174"/>
        <v>45404.878290162036</v>
      </c>
      <c r="L2746" s="10">
        <f t="shared" ca="1" si="175"/>
        <v>45404.878290046297</v>
      </c>
    </row>
    <row r="2747" spans="6:12" x14ac:dyDescent="0.25">
      <c r="F2747" s="11" t="str">
        <f>IF(ISBLANK(D2747),"",(VLOOKUP(D2747,Cardápio!$A$2:$B$16,2,0))*E2747)</f>
        <v/>
      </c>
      <c r="H2747" s="7" t="str">
        <f t="shared" si="172"/>
        <v/>
      </c>
      <c r="I2747" s="7" t="str">
        <f>IF(AND(ISBLANK(D2747),ISBLANK(C2747)),"",((VLOOKUP(D2747,Cardápio!$A$2:$C$16,3,0))*E2747)+IF(B2747="iFood",F2747*0.27,(VLOOKUP(VENDAS!C2747,Bairros!$A$2:$B$90,2,0))))</f>
        <v/>
      </c>
      <c r="J2747" s="7" t="str">
        <f t="shared" si="173"/>
        <v/>
      </c>
      <c r="K2747" s="9">
        <f t="shared" ca="1" si="174"/>
        <v>45404.878290162036</v>
      </c>
      <c r="L2747" s="10">
        <f t="shared" ca="1" si="175"/>
        <v>45404.878290046297</v>
      </c>
    </row>
    <row r="2748" spans="6:12" x14ac:dyDescent="0.25">
      <c r="F2748" s="11" t="str">
        <f>IF(ISBLANK(D2748),"",(VLOOKUP(D2748,Cardápio!$A$2:$B$16,2,0))*E2748)</f>
        <v/>
      </c>
      <c r="H2748" s="7" t="str">
        <f t="shared" si="172"/>
        <v/>
      </c>
      <c r="I2748" s="7" t="str">
        <f>IF(AND(ISBLANK(D2748),ISBLANK(C2748)),"",((VLOOKUP(D2748,Cardápio!$A$2:$C$16,3,0))*E2748)+IF(B2748="iFood",F2748*0.27,(VLOOKUP(VENDAS!C2748,Bairros!$A$2:$B$90,2,0))))</f>
        <v/>
      </c>
      <c r="J2748" s="7" t="str">
        <f t="shared" si="173"/>
        <v/>
      </c>
      <c r="K2748" s="9">
        <f t="shared" ca="1" si="174"/>
        <v>45404.878290162036</v>
      </c>
      <c r="L2748" s="10">
        <f t="shared" ca="1" si="175"/>
        <v>45404.878290046297</v>
      </c>
    </row>
    <row r="2749" spans="6:12" x14ac:dyDescent="0.25">
      <c r="F2749" s="11" t="str">
        <f>IF(ISBLANK(D2749),"",(VLOOKUP(D2749,Cardápio!$A$2:$B$16,2,0))*E2749)</f>
        <v/>
      </c>
      <c r="H2749" s="7" t="str">
        <f t="shared" si="172"/>
        <v/>
      </c>
      <c r="I2749" s="7" t="str">
        <f>IF(AND(ISBLANK(D2749),ISBLANK(C2749)),"",((VLOOKUP(D2749,Cardápio!$A$2:$C$16,3,0))*E2749)+IF(B2749="iFood",F2749*0.27,(VLOOKUP(VENDAS!C2749,Bairros!$A$2:$B$90,2,0))))</f>
        <v/>
      </c>
      <c r="J2749" s="7" t="str">
        <f t="shared" si="173"/>
        <v/>
      </c>
      <c r="K2749" s="9">
        <f t="shared" ca="1" si="174"/>
        <v>45404.878290277775</v>
      </c>
      <c r="L2749" s="10">
        <f t="shared" ca="1" si="175"/>
        <v>45404.878290046297</v>
      </c>
    </row>
    <row r="2750" spans="6:12" x14ac:dyDescent="0.25">
      <c r="F2750" s="11" t="str">
        <f>IF(ISBLANK(D2750),"",(VLOOKUP(D2750,Cardápio!$A$2:$B$16,2,0))*E2750)</f>
        <v/>
      </c>
      <c r="H2750" s="7" t="str">
        <f t="shared" si="172"/>
        <v/>
      </c>
      <c r="I2750" s="7" t="str">
        <f>IF(AND(ISBLANK(D2750),ISBLANK(C2750)),"",((VLOOKUP(D2750,Cardápio!$A$2:$C$16,3,0))*E2750)+IF(B2750="iFood",F2750*0.27,(VLOOKUP(VENDAS!C2750,Bairros!$A$2:$B$90,2,0))))</f>
        <v/>
      </c>
      <c r="J2750" s="7" t="str">
        <f t="shared" si="173"/>
        <v/>
      </c>
      <c r="K2750" s="9">
        <f t="shared" ca="1" si="174"/>
        <v>45404.878290162036</v>
      </c>
      <c r="L2750" s="10">
        <f t="shared" ca="1" si="175"/>
        <v>45404.878290046297</v>
      </c>
    </row>
    <row r="2751" spans="6:12" x14ac:dyDescent="0.25">
      <c r="F2751" s="11" t="str">
        <f>IF(ISBLANK(D2751),"",(VLOOKUP(D2751,Cardápio!$A$2:$B$16,2,0))*E2751)</f>
        <v/>
      </c>
      <c r="H2751" s="7" t="str">
        <f t="shared" si="172"/>
        <v/>
      </c>
      <c r="I2751" s="7" t="str">
        <f>IF(AND(ISBLANK(D2751),ISBLANK(C2751)),"",((VLOOKUP(D2751,Cardápio!$A$2:$C$16,3,0))*E2751)+IF(B2751="iFood",F2751*0.27,(VLOOKUP(VENDAS!C2751,Bairros!$A$2:$B$90,2,0))))</f>
        <v/>
      </c>
      <c r="J2751" s="7" t="str">
        <f t="shared" si="173"/>
        <v/>
      </c>
      <c r="K2751" s="9">
        <f t="shared" ca="1" si="174"/>
        <v>45404.878290162036</v>
      </c>
      <c r="L2751" s="10">
        <f t="shared" ca="1" si="175"/>
        <v>45404.878290046297</v>
      </c>
    </row>
    <row r="2752" spans="6:12" x14ac:dyDescent="0.25">
      <c r="F2752" s="11" t="str">
        <f>IF(ISBLANK(D2752),"",(VLOOKUP(D2752,Cardápio!$A$2:$B$16,2,0))*E2752)</f>
        <v/>
      </c>
      <c r="H2752" s="7" t="str">
        <f t="shared" si="172"/>
        <v/>
      </c>
      <c r="I2752" s="7" t="str">
        <f>IF(AND(ISBLANK(D2752),ISBLANK(C2752)),"",((VLOOKUP(D2752,Cardápio!$A$2:$C$16,3,0))*E2752)+IF(B2752="iFood",F2752*0.27,(VLOOKUP(VENDAS!C2752,Bairros!$A$2:$B$90,2,0))))</f>
        <v/>
      </c>
      <c r="J2752" s="7" t="str">
        <f t="shared" si="173"/>
        <v/>
      </c>
      <c r="K2752" s="9">
        <f t="shared" ca="1" si="174"/>
        <v>45404.878290162036</v>
      </c>
      <c r="L2752" s="10">
        <f t="shared" ca="1" si="175"/>
        <v>45404.878290046297</v>
      </c>
    </row>
    <row r="2753" spans="6:12" x14ac:dyDescent="0.25">
      <c r="F2753" s="11" t="str">
        <f>IF(ISBLANK(D2753),"",(VLOOKUP(D2753,Cardápio!$A$2:$B$16,2,0))*E2753)</f>
        <v/>
      </c>
      <c r="H2753" s="7" t="str">
        <f t="shared" si="172"/>
        <v/>
      </c>
      <c r="I2753" s="7" t="str">
        <f>IF(AND(ISBLANK(D2753),ISBLANK(C2753)),"",((VLOOKUP(D2753,Cardápio!$A$2:$C$16,3,0))*E2753)+IF(B2753="iFood",F2753*0.27,(VLOOKUP(VENDAS!C2753,Bairros!$A$2:$B$90,2,0))))</f>
        <v/>
      </c>
      <c r="J2753" s="7" t="str">
        <f t="shared" si="173"/>
        <v/>
      </c>
      <c r="K2753" s="9">
        <f t="shared" ca="1" si="174"/>
        <v>45404.878290277775</v>
      </c>
      <c r="L2753" s="10">
        <f t="shared" ca="1" si="175"/>
        <v>45404.878290046297</v>
      </c>
    </row>
    <row r="2754" spans="6:12" x14ac:dyDescent="0.25">
      <c r="F2754" s="11" t="str">
        <f>IF(ISBLANK(D2754),"",(VLOOKUP(D2754,Cardápio!$A$2:$B$16,2,0))*E2754)</f>
        <v/>
      </c>
      <c r="H2754" s="7" t="str">
        <f t="shared" si="172"/>
        <v/>
      </c>
      <c r="I2754" s="7" t="str">
        <f>IF(AND(ISBLANK(D2754),ISBLANK(C2754)),"",((VLOOKUP(D2754,Cardápio!$A$2:$C$16,3,0))*E2754)+IF(B2754="iFood",F2754*0.27,(VLOOKUP(VENDAS!C2754,Bairros!$A$2:$B$90,2,0))))</f>
        <v/>
      </c>
      <c r="J2754" s="7" t="str">
        <f t="shared" si="173"/>
        <v/>
      </c>
      <c r="K2754" s="9">
        <f t="shared" ca="1" si="174"/>
        <v>45404.878290162036</v>
      </c>
      <c r="L2754" s="10">
        <f t="shared" ca="1" si="175"/>
        <v>45404.878290046297</v>
      </c>
    </row>
    <row r="2755" spans="6:12" x14ac:dyDescent="0.25">
      <c r="F2755" s="11" t="str">
        <f>IF(ISBLANK(D2755),"",(VLOOKUP(D2755,Cardápio!$A$2:$B$16,2,0))*E2755)</f>
        <v/>
      </c>
      <c r="H2755" s="7" t="str">
        <f t="shared" si="172"/>
        <v/>
      </c>
      <c r="I2755" s="7" t="str">
        <f>IF(AND(ISBLANK(D2755),ISBLANK(C2755)),"",((VLOOKUP(D2755,Cardápio!$A$2:$C$16,3,0))*E2755)+IF(B2755="iFood",F2755*0.27,(VLOOKUP(VENDAS!C2755,Bairros!$A$2:$B$90,2,0))))</f>
        <v/>
      </c>
      <c r="J2755" s="7" t="str">
        <f t="shared" si="173"/>
        <v/>
      </c>
      <c r="K2755" s="9">
        <f t="shared" ca="1" si="174"/>
        <v>45404.878290162036</v>
      </c>
      <c r="L2755" s="10">
        <f t="shared" ca="1" si="175"/>
        <v>45404.878290046297</v>
      </c>
    </row>
    <row r="2756" spans="6:12" x14ac:dyDescent="0.25">
      <c r="F2756" s="11" t="str">
        <f>IF(ISBLANK(D2756),"",(VLOOKUP(D2756,Cardápio!$A$2:$B$16,2,0))*E2756)</f>
        <v/>
      </c>
      <c r="H2756" s="7" t="str">
        <f t="shared" si="172"/>
        <v/>
      </c>
      <c r="I2756" s="7" t="str">
        <f>IF(AND(ISBLANK(D2756),ISBLANK(C2756)),"",((VLOOKUP(D2756,Cardápio!$A$2:$C$16,3,0))*E2756)+IF(B2756="iFood",F2756*0.27,(VLOOKUP(VENDAS!C2756,Bairros!$A$2:$B$90,2,0))))</f>
        <v/>
      </c>
      <c r="J2756" s="7" t="str">
        <f t="shared" si="173"/>
        <v/>
      </c>
      <c r="K2756" s="9">
        <f t="shared" ca="1" si="174"/>
        <v>45404.878290162036</v>
      </c>
      <c r="L2756" s="10">
        <f t="shared" ca="1" si="175"/>
        <v>45404.878290046297</v>
      </c>
    </row>
    <row r="2757" spans="6:12" x14ac:dyDescent="0.25">
      <c r="F2757" s="11" t="str">
        <f>IF(ISBLANK(D2757),"",(VLOOKUP(D2757,Cardápio!$A$2:$B$16,2,0))*E2757)</f>
        <v/>
      </c>
      <c r="H2757" s="7" t="str">
        <f t="shared" si="172"/>
        <v/>
      </c>
      <c r="I2757" s="7" t="str">
        <f>IF(AND(ISBLANK(D2757),ISBLANK(C2757)),"",((VLOOKUP(D2757,Cardápio!$A$2:$C$16,3,0))*E2757)+IF(B2757="iFood",F2757*0.27,(VLOOKUP(VENDAS!C2757,Bairros!$A$2:$B$90,2,0))))</f>
        <v/>
      </c>
      <c r="J2757" s="7" t="str">
        <f t="shared" si="173"/>
        <v/>
      </c>
      <c r="K2757" s="9">
        <f t="shared" ca="1" si="174"/>
        <v>45404.878290277775</v>
      </c>
      <c r="L2757" s="10">
        <f t="shared" ca="1" si="175"/>
        <v>45404.878290046297</v>
      </c>
    </row>
    <row r="2758" spans="6:12" x14ac:dyDescent="0.25">
      <c r="F2758" s="11" t="str">
        <f>IF(ISBLANK(D2758),"",(VLOOKUP(D2758,Cardápio!$A$2:$B$16,2,0))*E2758)</f>
        <v/>
      </c>
      <c r="H2758" s="7" t="str">
        <f t="shared" si="172"/>
        <v/>
      </c>
      <c r="I2758" s="7" t="str">
        <f>IF(AND(ISBLANK(D2758),ISBLANK(C2758)),"",((VLOOKUP(D2758,Cardápio!$A$2:$C$16,3,0))*E2758)+IF(B2758="iFood",F2758*0.27,(VLOOKUP(VENDAS!C2758,Bairros!$A$2:$B$90,2,0))))</f>
        <v/>
      </c>
      <c r="J2758" s="7" t="str">
        <f t="shared" si="173"/>
        <v/>
      </c>
      <c r="K2758" s="9">
        <f t="shared" ca="1" si="174"/>
        <v>45404.878290162036</v>
      </c>
      <c r="L2758" s="10">
        <f t="shared" ca="1" si="175"/>
        <v>45404.878290046297</v>
      </c>
    </row>
    <row r="2759" spans="6:12" x14ac:dyDescent="0.25">
      <c r="F2759" s="11" t="str">
        <f>IF(ISBLANK(D2759),"",(VLOOKUP(D2759,Cardápio!$A$2:$B$16,2,0))*E2759)</f>
        <v/>
      </c>
      <c r="H2759" s="7" t="str">
        <f t="shared" si="172"/>
        <v/>
      </c>
      <c r="I2759" s="7" t="str">
        <f>IF(AND(ISBLANK(D2759),ISBLANK(C2759)),"",((VLOOKUP(D2759,Cardápio!$A$2:$C$16,3,0))*E2759)+IF(B2759="iFood",F2759*0.27,(VLOOKUP(VENDAS!C2759,Bairros!$A$2:$B$90,2,0))))</f>
        <v/>
      </c>
      <c r="J2759" s="7" t="str">
        <f t="shared" si="173"/>
        <v/>
      </c>
      <c r="K2759" s="9">
        <f t="shared" ca="1" si="174"/>
        <v>45404.878290162036</v>
      </c>
      <c r="L2759" s="10">
        <f t="shared" ca="1" si="175"/>
        <v>45404.878290046297</v>
      </c>
    </row>
    <row r="2760" spans="6:12" x14ac:dyDescent="0.25">
      <c r="F2760" s="11" t="str">
        <f>IF(ISBLANK(D2760),"",(VLOOKUP(D2760,Cardápio!$A$2:$B$16,2,0))*E2760)</f>
        <v/>
      </c>
      <c r="H2760" s="7" t="str">
        <f t="shared" si="172"/>
        <v/>
      </c>
      <c r="I2760" s="7" t="str">
        <f>IF(AND(ISBLANK(D2760),ISBLANK(C2760)),"",((VLOOKUP(D2760,Cardápio!$A$2:$C$16,3,0))*E2760)+IF(B2760="iFood",F2760*0.27,(VLOOKUP(VENDAS!C2760,Bairros!$A$2:$B$90,2,0))))</f>
        <v/>
      </c>
      <c r="J2760" s="7" t="str">
        <f t="shared" si="173"/>
        <v/>
      </c>
      <c r="K2760" s="9">
        <f t="shared" ca="1" si="174"/>
        <v>45404.878290162036</v>
      </c>
      <c r="L2760" s="10">
        <f t="shared" ca="1" si="175"/>
        <v>45404.878290046297</v>
      </c>
    </row>
    <row r="2761" spans="6:12" x14ac:dyDescent="0.25">
      <c r="F2761" s="11" t="str">
        <f>IF(ISBLANK(D2761),"",(VLOOKUP(D2761,Cardápio!$A$2:$B$16,2,0))*E2761)</f>
        <v/>
      </c>
      <c r="H2761" s="7" t="str">
        <f t="shared" si="172"/>
        <v/>
      </c>
      <c r="I2761" s="7" t="str">
        <f>IF(AND(ISBLANK(D2761),ISBLANK(C2761)),"",((VLOOKUP(D2761,Cardápio!$A$2:$C$16,3,0))*E2761)+IF(B2761="iFood",F2761*0.27,(VLOOKUP(VENDAS!C2761,Bairros!$A$2:$B$90,2,0))))</f>
        <v/>
      </c>
      <c r="J2761" s="7" t="str">
        <f t="shared" si="173"/>
        <v/>
      </c>
      <c r="K2761" s="9">
        <f t="shared" ca="1" si="174"/>
        <v>45404.878290277775</v>
      </c>
      <c r="L2761" s="10">
        <f t="shared" ca="1" si="175"/>
        <v>45404.878290046297</v>
      </c>
    </row>
    <row r="2762" spans="6:12" x14ac:dyDescent="0.25">
      <c r="F2762" s="11" t="str">
        <f>IF(ISBLANK(D2762),"",(VLOOKUP(D2762,Cardápio!$A$2:$B$16,2,0))*E2762)</f>
        <v/>
      </c>
      <c r="H2762" s="7" t="str">
        <f t="shared" si="172"/>
        <v/>
      </c>
      <c r="I2762" s="7" t="str">
        <f>IF(AND(ISBLANK(D2762),ISBLANK(C2762)),"",((VLOOKUP(D2762,Cardápio!$A$2:$C$16,3,0))*E2762)+IF(B2762="iFood",F2762*0.27,(VLOOKUP(VENDAS!C2762,Bairros!$A$2:$B$90,2,0))))</f>
        <v/>
      </c>
      <c r="J2762" s="7" t="str">
        <f t="shared" si="173"/>
        <v/>
      </c>
      <c r="K2762" s="9">
        <f t="shared" ca="1" si="174"/>
        <v>45404.878290162036</v>
      </c>
      <c r="L2762" s="10">
        <f t="shared" ca="1" si="175"/>
        <v>45404.878290046297</v>
      </c>
    </row>
    <row r="2763" spans="6:12" x14ac:dyDescent="0.25">
      <c r="F2763" s="11" t="str">
        <f>IF(ISBLANK(D2763),"",(VLOOKUP(D2763,Cardápio!$A$2:$B$16,2,0))*E2763)</f>
        <v/>
      </c>
      <c r="H2763" s="7" t="str">
        <f t="shared" si="172"/>
        <v/>
      </c>
      <c r="I2763" s="7" t="str">
        <f>IF(AND(ISBLANK(D2763),ISBLANK(C2763)),"",((VLOOKUP(D2763,Cardápio!$A$2:$C$16,3,0))*E2763)+IF(B2763="iFood",F2763*0.27,(VLOOKUP(VENDAS!C2763,Bairros!$A$2:$B$90,2,0))))</f>
        <v/>
      </c>
      <c r="J2763" s="7" t="str">
        <f t="shared" si="173"/>
        <v/>
      </c>
      <c r="K2763" s="9">
        <f t="shared" ca="1" si="174"/>
        <v>45404.878290162036</v>
      </c>
      <c r="L2763" s="10">
        <f t="shared" ca="1" si="175"/>
        <v>45404.878290046297</v>
      </c>
    </row>
    <row r="2764" spans="6:12" x14ac:dyDescent="0.25">
      <c r="F2764" s="11" t="str">
        <f>IF(ISBLANK(D2764),"",(VLOOKUP(D2764,Cardápio!$A$2:$B$16,2,0))*E2764)</f>
        <v/>
      </c>
      <c r="H2764" s="7" t="str">
        <f t="shared" si="172"/>
        <v/>
      </c>
      <c r="I2764" s="7" t="str">
        <f>IF(AND(ISBLANK(D2764),ISBLANK(C2764)),"",((VLOOKUP(D2764,Cardápio!$A$2:$C$16,3,0))*E2764)+IF(B2764="iFood",F2764*0.27,(VLOOKUP(VENDAS!C2764,Bairros!$A$2:$B$90,2,0))))</f>
        <v/>
      </c>
      <c r="J2764" s="7" t="str">
        <f t="shared" si="173"/>
        <v/>
      </c>
      <c r="K2764" s="9">
        <f t="shared" ca="1" si="174"/>
        <v>45404.878290162036</v>
      </c>
      <c r="L2764" s="10">
        <f t="shared" ca="1" si="175"/>
        <v>45404.878290046297</v>
      </c>
    </row>
    <row r="2765" spans="6:12" x14ac:dyDescent="0.25">
      <c r="F2765" s="11" t="str">
        <f>IF(ISBLANK(D2765),"",(VLOOKUP(D2765,Cardápio!$A$2:$B$16,2,0))*E2765)</f>
        <v/>
      </c>
      <c r="H2765" s="7" t="str">
        <f t="shared" si="172"/>
        <v/>
      </c>
      <c r="I2765" s="7" t="str">
        <f>IF(AND(ISBLANK(D2765),ISBLANK(C2765)),"",((VLOOKUP(D2765,Cardápio!$A$2:$C$16,3,0))*E2765)+IF(B2765="iFood",F2765*0.27,(VLOOKUP(VENDAS!C2765,Bairros!$A$2:$B$90,2,0))))</f>
        <v/>
      </c>
      <c r="J2765" s="7" t="str">
        <f t="shared" si="173"/>
        <v/>
      </c>
      <c r="K2765" s="9">
        <f t="shared" ca="1" si="174"/>
        <v>45404.878290277775</v>
      </c>
      <c r="L2765" s="10">
        <f t="shared" ca="1" si="175"/>
        <v>45404.878290046297</v>
      </c>
    </row>
    <row r="2766" spans="6:12" x14ac:dyDescent="0.25">
      <c r="F2766" s="11" t="str">
        <f>IF(ISBLANK(D2766),"",(VLOOKUP(D2766,Cardápio!$A$2:$B$16,2,0))*E2766)</f>
        <v/>
      </c>
      <c r="H2766" s="7" t="str">
        <f t="shared" si="172"/>
        <v/>
      </c>
      <c r="I2766" s="7" t="str">
        <f>IF(AND(ISBLANK(D2766),ISBLANK(C2766)),"",((VLOOKUP(D2766,Cardápio!$A$2:$C$16,3,0))*E2766)+IF(B2766="iFood",F2766*0.27,(VLOOKUP(VENDAS!C2766,Bairros!$A$2:$B$90,2,0))))</f>
        <v/>
      </c>
      <c r="J2766" s="7" t="str">
        <f t="shared" si="173"/>
        <v/>
      </c>
      <c r="K2766" s="9">
        <f t="shared" ca="1" si="174"/>
        <v>45404.878290162036</v>
      </c>
      <c r="L2766" s="10">
        <f t="shared" ca="1" si="175"/>
        <v>45404.878290046297</v>
      </c>
    </row>
    <row r="2767" spans="6:12" x14ac:dyDescent="0.25">
      <c r="F2767" s="11" t="str">
        <f>IF(ISBLANK(D2767),"",(VLOOKUP(D2767,Cardápio!$A$2:$B$16,2,0))*E2767)</f>
        <v/>
      </c>
      <c r="H2767" s="7" t="str">
        <f t="shared" si="172"/>
        <v/>
      </c>
      <c r="I2767" s="7" t="str">
        <f>IF(AND(ISBLANK(D2767),ISBLANK(C2767)),"",((VLOOKUP(D2767,Cardápio!$A$2:$C$16,3,0))*E2767)+IF(B2767="iFood",F2767*0.27,(VLOOKUP(VENDAS!C2767,Bairros!$A$2:$B$90,2,0))))</f>
        <v/>
      </c>
      <c r="J2767" s="7" t="str">
        <f t="shared" si="173"/>
        <v/>
      </c>
      <c r="K2767" s="9">
        <f t="shared" ca="1" si="174"/>
        <v>45404.878290162036</v>
      </c>
      <c r="L2767" s="10">
        <f t="shared" ca="1" si="175"/>
        <v>45404.878290046297</v>
      </c>
    </row>
    <row r="2768" spans="6:12" x14ac:dyDescent="0.25">
      <c r="F2768" s="11" t="str">
        <f>IF(ISBLANK(D2768),"",(VLOOKUP(D2768,Cardápio!$A$2:$B$16,2,0))*E2768)</f>
        <v/>
      </c>
      <c r="H2768" s="7" t="str">
        <f t="shared" si="172"/>
        <v/>
      </c>
      <c r="I2768" s="7" t="str">
        <f>IF(AND(ISBLANK(D2768),ISBLANK(C2768)),"",((VLOOKUP(D2768,Cardápio!$A$2:$C$16,3,0))*E2768)+IF(B2768="iFood",F2768*0.27,(VLOOKUP(VENDAS!C2768,Bairros!$A$2:$B$90,2,0))))</f>
        <v/>
      </c>
      <c r="J2768" s="7" t="str">
        <f t="shared" si="173"/>
        <v/>
      </c>
      <c r="K2768" s="9">
        <f t="shared" ca="1" si="174"/>
        <v>45404.878290162036</v>
      </c>
      <c r="L2768" s="10">
        <f t="shared" ca="1" si="175"/>
        <v>45404.878290046297</v>
      </c>
    </row>
    <row r="2769" spans="6:12" x14ac:dyDescent="0.25">
      <c r="F2769" s="11" t="str">
        <f>IF(ISBLANK(D2769),"",(VLOOKUP(D2769,Cardápio!$A$2:$B$16,2,0))*E2769)</f>
        <v/>
      </c>
      <c r="H2769" s="7" t="str">
        <f t="shared" si="172"/>
        <v/>
      </c>
      <c r="I2769" s="7" t="str">
        <f>IF(AND(ISBLANK(D2769),ISBLANK(C2769)),"",((VLOOKUP(D2769,Cardápio!$A$2:$C$16,3,0))*E2769)+IF(B2769="iFood",F2769*0.27,(VLOOKUP(VENDAS!C2769,Bairros!$A$2:$B$90,2,0))))</f>
        <v/>
      </c>
      <c r="J2769" s="7" t="str">
        <f t="shared" si="173"/>
        <v/>
      </c>
      <c r="K2769" s="9">
        <f t="shared" ca="1" si="174"/>
        <v>45404.878290277775</v>
      </c>
      <c r="L2769" s="10">
        <f t="shared" ca="1" si="175"/>
        <v>45404.878290046297</v>
      </c>
    </row>
    <row r="2770" spans="6:12" x14ac:dyDescent="0.25">
      <c r="F2770" s="11" t="str">
        <f>IF(ISBLANK(D2770),"",(VLOOKUP(D2770,Cardápio!$A$2:$B$16,2,0))*E2770)</f>
        <v/>
      </c>
      <c r="H2770" s="7" t="str">
        <f t="shared" si="172"/>
        <v/>
      </c>
      <c r="I2770" s="7" t="str">
        <f>IF(AND(ISBLANK(D2770),ISBLANK(C2770)),"",((VLOOKUP(D2770,Cardápio!$A$2:$C$16,3,0))*E2770)+IF(B2770="iFood",F2770*0.27,(VLOOKUP(VENDAS!C2770,Bairros!$A$2:$B$90,2,0))))</f>
        <v/>
      </c>
      <c r="J2770" s="7" t="str">
        <f t="shared" si="173"/>
        <v/>
      </c>
      <c r="K2770" s="9">
        <f t="shared" ca="1" si="174"/>
        <v>45404.878290162036</v>
      </c>
      <c r="L2770" s="10">
        <f t="shared" ca="1" si="175"/>
        <v>45404.878290046297</v>
      </c>
    </row>
    <row r="2771" spans="6:12" x14ac:dyDescent="0.25">
      <c r="F2771" s="11" t="str">
        <f>IF(ISBLANK(D2771),"",(VLOOKUP(D2771,Cardápio!$A$2:$B$16,2,0))*E2771)</f>
        <v/>
      </c>
      <c r="H2771" s="7" t="str">
        <f t="shared" si="172"/>
        <v/>
      </c>
      <c r="I2771" s="7" t="str">
        <f>IF(AND(ISBLANK(D2771),ISBLANK(C2771)),"",((VLOOKUP(D2771,Cardápio!$A$2:$C$16,3,0))*E2771)+IF(B2771="iFood",F2771*0.27,(VLOOKUP(VENDAS!C2771,Bairros!$A$2:$B$90,2,0))))</f>
        <v/>
      </c>
      <c r="J2771" s="7" t="str">
        <f t="shared" si="173"/>
        <v/>
      </c>
      <c r="K2771" s="9">
        <f t="shared" ca="1" si="174"/>
        <v>45404.878290162036</v>
      </c>
      <c r="L2771" s="10">
        <f t="shared" ca="1" si="175"/>
        <v>45404.878290046297</v>
      </c>
    </row>
    <row r="2772" spans="6:12" x14ac:dyDescent="0.25">
      <c r="F2772" s="11" t="str">
        <f>IF(ISBLANK(D2772),"",(VLOOKUP(D2772,Cardápio!$A$2:$B$16,2,0))*E2772)</f>
        <v/>
      </c>
      <c r="H2772" s="7" t="str">
        <f t="shared" si="172"/>
        <v/>
      </c>
      <c r="I2772" s="7" t="str">
        <f>IF(AND(ISBLANK(D2772),ISBLANK(C2772)),"",((VLOOKUP(D2772,Cardápio!$A$2:$C$16,3,0))*E2772)+IF(B2772="iFood",F2772*0.27,(VLOOKUP(VENDAS!C2772,Bairros!$A$2:$B$90,2,0))))</f>
        <v/>
      </c>
      <c r="J2772" s="7" t="str">
        <f t="shared" si="173"/>
        <v/>
      </c>
      <c r="K2772" s="9">
        <f t="shared" ca="1" si="174"/>
        <v>45404.878290162036</v>
      </c>
      <c r="L2772" s="10">
        <f t="shared" ca="1" si="175"/>
        <v>45404.878290046297</v>
      </c>
    </row>
    <row r="2773" spans="6:12" x14ac:dyDescent="0.25">
      <c r="F2773" s="11" t="str">
        <f>IF(ISBLANK(D2773),"",(VLOOKUP(D2773,Cardápio!$A$2:$B$16,2,0))*E2773)</f>
        <v/>
      </c>
      <c r="H2773" s="7" t="str">
        <f t="shared" si="172"/>
        <v/>
      </c>
      <c r="I2773" s="7" t="str">
        <f>IF(AND(ISBLANK(D2773),ISBLANK(C2773)),"",((VLOOKUP(D2773,Cardápio!$A$2:$C$16,3,0))*E2773)+IF(B2773="iFood",F2773*0.27,(VLOOKUP(VENDAS!C2773,Bairros!$A$2:$B$90,2,0))))</f>
        <v/>
      </c>
      <c r="J2773" s="7" t="str">
        <f t="shared" si="173"/>
        <v/>
      </c>
      <c r="K2773" s="9">
        <f t="shared" ca="1" si="174"/>
        <v>45404.878290277775</v>
      </c>
      <c r="L2773" s="10">
        <f t="shared" ca="1" si="175"/>
        <v>45404.878290046297</v>
      </c>
    </row>
    <row r="2774" spans="6:12" x14ac:dyDescent="0.25">
      <c r="F2774" s="11" t="str">
        <f>IF(ISBLANK(D2774),"",(VLOOKUP(D2774,Cardápio!$A$2:$B$16,2,0))*E2774)</f>
        <v/>
      </c>
      <c r="H2774" s="7" t="str">
        <f t="shared" si="172"/>
        <v/>
      </c>
      <c r="I2774" s="7" t="str">
        <f>IF(AND(ISBLANK(D2774),ISBLANK(C2774)),"",((VLOOKUP(D2774,Cardápio!$A$2:$C$16,3,0))*E2774)+IF(B2774="iFood",F2774*0.27,(VLOOKUP(VENDAS!C2774,Bairros!$A$2:$B$90,2,0))))</f>
        <v/>
      </c>
      <c r="J2774" s="7" t="str">
        <f t="shared" si="173"/>
        <v/>
      </c>
      <c r="K2774" s="9">
        <f t="shared" ca="1" si="174"/>
        <v>45404.878290162036</v>
      </c>
      <c r="L2774" s="10">
        <f t="shared" ca="1" si="175"/>
        <v>45404.878290046297</v>
      </c>
    </row>
    <row r="2775" spans="6:12" x14ac:dyDescent="0.25">
      <c r="F2775" s="11" t="str">
        <f>IF(ISBLANK(D2775),"",(VLOOKUP(D2775,Cardápio!$A$2:$B$16,2,0))*E2775)</f>
        <v/>
      </c>
      <c r="H2775" s="7" t="str">
        <f t="shared" si="172"/>
        <v/>
      </c>
      <c r="I2775" s="7" t="str">
        <f>IF(AND(ISBLANK(D2775),ISBLANK(C2775)),"",((VLOOKUP(D2775,Cardápio!$A$2:$C$16,3,0))*E2775)+IF(B2775="iFood",F2775*0.27,(VLOOKUP(VENDAS!C2775,Bairros!$A$2:$B$90,2,0))))</f>
        <v/>
      </c>
      <c r="J2775" s="7" t="str">
        <f t="shared" si="173"/>
        <v/>
      </c>
      <c r="K2775" s="9">
        <f t="shared" ca="1" si="174"/>
        <v>45404.878290162036</v>
      </c>
      <c r="L2775" s="10">
        <f t="shared" ca="1" si="175"/>
        <v>45404.878290046297</v>
      </c>
    </row>
    <row r="2776" spans="6:12" x14ac:dyDescent="0.25">
      <c r="F2776" s="11" t="str">
        <f>IF(ISBLANK(D2776),"",(VLOOKUP(D2776,Cardápio!$A$2:$B$16,2,0))*E2776)</f>
        <v/>
      </c>
      <c r="H2776" s="7" t="str">
        <f t="shared" si="172"/>
        <v/>
      </c>
      <c r="I2776" s="7" t="str">
        <f>IF(AND(ISBLANK(D2776),ISBLANK(C2776)),"",((VLOOKUP(D2776,Cardápio!$A$2:$C$16,3,0))*E2776)+IF(B2776="iFood",F2776*0.27,(VLOOKUP(VENDAS!C2776,Bairros!$A$2:$B$90,2,0))))</f>
        <v/>
      </c>
      <c r="J2776" s="7" t="str">
        <f t="shared" si="173"/>
        <v/>
      </c>
      <c r="K2776" s="9">
        <f t="shared" ca="1" si="174"/>
        <v>45404.878290162036</v>
      </c>
      <c r="L2776" s="10">
        <f t="shared" ca="1" si="175"/>
        <v>45404.878290046297</v>
      </c>
    </row>
    <row r="2777" spans="6:12" x14ac:dyDescent="0.25">
      <c r="F2777" s="11" t="str">
        <f>IF(ISBLANK(D2777),"",(VLOOKUP(D2777,Cardápio!$A$2:$B$16,2,0))*E2777)</f>
        <v/>
      </c>
      <c r="H2777" s="7" t="str">
        <f t="shared" si="172"/>
        <v/>
      </c>
      <c r="I2777" s="7" t="str">
        <f>IF(AND(ISBLANK(D2777),ISBLANK(C2777)),"",((VLOOKUP(D2777,Cardápio!$A$2:$C$16,3,0))*E2777)+IF(B2777="iFood",F2777*0.27,(VLOOKUP(VENDAS!C2777,Bairros!$A$2:$B$90,2,0))))</f>
        <v/>
      </c>
      <c r="J2777" s="7" t="str">
        <f t="shared" si="173"/>
        <v/>
      </c>
      <c r="K2777" s="9">
        <f t="shared" ca="1" si="174"/>
        <v>45404.878290277775</v>
      </c>
      <c r="L2777" s="10">
        <f t="shared" ca="1" si="175"/>
        <v>45404.878290046297</v>
      </c>
    </row>
    <row r="2778" spans="6:12" x14ac:dyDescent="0.25">
      <c r="F2778" s="11" t="str">
        <f>IF(ISBLANK(D2778),"",(VLOOKUP(D2778,Cardápio!$A$2:$B$16,2,0))*E2778)</f>
        <v/>
      </c>
      <c r="H2778" s="7" t="str">
        <f t="shared" si="172"/>
        <v/>
      </c>
      <c r="I2778" s="7" t="str">
        <f>IF(AND(ISBLANK(D2778),ISBLANK(C2778)),"",((VLOOKUP(D2778,Cardápio!$A$2:$C$16,3,0))*E2778)+IF(B2778="iFood",F2778*0.27,(VLOOKUP(VENDAS!C2778,Bairros!$A$2:$B$90,2,0))))</f>
        <v/>
      </c>
      <c r="J2778" s="7" t="str">
        <f t="shared" si="173"/>
        <v/>
      </c>
      <c r="K2778" s="9">
        <f t="shared" ca="1" si="174"/>
        <v>45404.878290162036</v>
      </c>
      <c r="L2778" s="10">
        <f t="shared" ca="1" si="175"/>
        <v>45404.878290046297</v>
      </c>
    </row>
    <row r="2779" spans="6:12" x14ac:dyDescent="0.25">
      <c r="F2779" s="11" t="str">
        <f>IF(ISBLANK(D2779),"",(VLOOKUP(D2779,Cardápio!$A$2:$B$16,2,0))*E2779)</f>
        <v/>
      </c>
      <c r="H2779" s="7" t="str">
        <f t="shared" si="172"/>
        <v/>
      </c>
      <c r="I2779" s="7" t="str">
        <f>IF(AND(ISBLANK(D2779),ISBLANK(C2779)),"",((VLOOKUP(D2779,Cardápio!$A$2:$C$16,3,0))*E2779)+IF(B2779="iFood",F2779*0.27,(VLOOKUP(VENDAS!C2779,Bairros!$A$2:$B$90,2,0))))</f>
        <v/>
      </c>
      <c r="J2779" s="7" t="str">
        <f t="shared" si="173"/>
        <v/>
      </c>
      <c r="K2779" s="9">
        <f t="shared" ca="1" si="174"/>
        <v>45404.878290162036</v>
      </c>
      <c r="L2779" s="10">
        <f t="shared" ca="1" si="175"/>
        <v>45404.878290046297</v>
      </c>
    </row>
    <row r="2780" spans="6:12" x14ac:dyDescent="0.25">
      <c r="F2780" s="11" t="str">
        <f>IF(ISBLANK(D2780),"",(VLOOKUP(D2780,Cardápio!$A$2:$B$16,2,0))*E2780)</f>
        <v/>
      </c>
      <c r="H2780" s="7" t="str">
        <f t="shared" si="172"/>
        <v/>
      </c>
      <c r="I2780" s="7" t="str">
        <f>IF(AND(ISBLANK(D2780),ISBLANK(C2780)),"",((VLOOKUP(D2780,Cardápio!$A$2:$C$16,3,0))*E2780)+IF(B2780="iFood",F2780*0.27,(VLOOKUP(VENDAS!C2780,Bairros!$A$2:$B$90,2,0))))</f>
        <v/>
      </c>
      <c r="J2780" s="7" t="str">
        <f t="shared" si="173"/>
        <v/>
      </c>
      <c r="K2780" s="9">
        <f t="shared" ca="1" si="174"/>
        <v>45404.878290162036</v>
      </c>
      <c r="L2780" s="10">
        <f t="shared" ca="1" si="175"/>
        <v>45404.878290046297</v>
      </c>
    </row>
    <row r="2781" spans="6:12" x14ac:dyDescent="0.25">
      <c r="F2781" s="11" t="str">
        <f>IF(ISBLANK(D2781),"",(VLOOKUP(D2781,Cardápio!$A$2:$B$16,2,0))*E2781)</f>
        <v/>
      </c>
      <c r="H2781" s="7" t="str">
        <f t="shared" si="172"/>
        <v/>
      </c>
      <c r="I2781" s="7" t="str">
        <f>IF(AND(ISBLANK(D2781),ISBLANK(C2781)),"",((VLOOKUP(D2781,Cardápio!$A$2:$C$16,3,0))*E2781)+IF(B2781="iFood",F2781*0.27,(VLOOKUP(VENDAS!C2781,Bairros!$A$2:$B$90,2,0))))</f>
        <v/>
      </c>
      <c r="J2781" s="7" t="str">
        <f t="shared" si="173"/>
        <v/>
      </c>
      <c r="K2781" s="9">
        <f t="shared" ca="1" si="174"/>
        <v>45404.878290277775</v>
      </c>
      <c r="L2781" s="10">
        <f t="shared" ca="1" si="175"/>
        <v>45404.878290046297</v>
      </c>
    </row>
    <row r="2782" spans="6:12" x14ac:dyDescent="0.25">
      <c r="F2782" s="11" t="str">
        <f>IF(ISBLANK(D2782),"",(VLOOKUP(D2782,Cardápio!$A$2:$B$16,2,0))*E2782)</f>
        <v/>
      </c>
      <c r="H2782" s="7" t="str">
        <f t="shared" si="172"/>
        <v/>
      </c>
      <c r="I2782" s="7" t="str">
        <f>IF(AND(ISBLANK(D2782),ISBLANK(C2782)),"",((VLOOKUP(D2782,Cardápio!$A$2:$C$16,3,0))*E2782)+IF(B2782="iFood",F2782*0.27,(VLOOKUP(VENDAS!C2782,Bairros!$A$2:$B$90,2,0))))</f>
        <v/>
      </c>
      <c r="J2782" s="7" t="str">
        <f t="shared" si="173"/>
        <v/>
      </c>
      <c r="K2782" s="9">
        <f t="shared" ca="1" si="174"/>
        <v>45404.878290162036</v>
      </c>
      <c r="L2782" s="10">
        <f t="shared" ca="1" si="175"/>
        <v>45404.878290046297</v>
      </c>
    </row>
    <row r="2783" spans="6:12" x14ac:dyDescent="0.25">
      <c r="F2783" s="11" t="str">
        <f>IF(ISBLANK(D2783),"",(VLOOKUP(D2783,Cardápio!$A$2:$B$16,2,0))*E2783)</f>
        <v/>
      </c>
      <c r="H2783" s="7" t="str">
        <f t="shared" si="172"/>
        <v/>
      </c>
      <c r="I2783" s="7" t="str">
        <f>IF(AND(ISBLANK(D2783),ISBLANK(C2783)),"",((VLOOKUP(D2783,Cardápio!$A$2:$C$16,3,0))*E2783)+IF(B2783="iFood",F2783*0.27,(VLOOKUP(VENDAS!C2783,Bairros!$A$2:$B$90,2,0))))</f>
        <v/>
      </c>
      <c r="J2783" s="7" t="str">
        <f t="shared" si="173"/>
        <v/>
      </c>
      <c r="K2783" s="9">
        <f t="shared" ca="1" si="174"/>
        <v>45404.878290162036</v>
      </c>
      <c r="L2783" s="10">
        <f t="shared" ca="1" si="175"/>
        <v>45404.878290046297</v>
      </c>
    </row>
    <row r="2784" spans="6:12" x14ac:dyDescent="0.25">
      <c r="F2784" s="11" t="str">
        <f>IF(ISBLANK(D2784),"",(VLOOKUP(D2784,Cardápio!$A$2:$B$16,2,0))*E2784)</f>
        <v/>
      </c>
      <c r="H2784" s="7" t="str">
        <f t="shared" si="172"/>
        <v/>
      </c>
      <c r="I2784" s="7" t="str">
        <f>IF(AND(ISBLANK(D2784),ISBLANK(C2784)),"",((VLOOKUP(D2784,Cardápio!$A$2:$C$16,3,0))*E2784)+IF(B2784="iFood",F2784*0.27,(VLOOKUP(VENDAS!C2784,Bairros!$A$2:$B$90,2,0))))</f>
        <v/>
      </c>
      <c r="J2784" s="7" t="str">
        <f t="shared" si="173"/>
        <v/>
      </c>
      <c r="K2784" s="9">
        <f t="shared" ca="1" si="174"/>
        <v>45404.878290162036</v>
      </c>
      <c r="L2784" s="10">
        <f t="shared" ca="1" si="175"/>
        <v>45404.878290046297</v>
      </c>
    </row>
    <row r="2785" spans="6:12" x14ac:dyDescent="0.25">
      <c r="F2785" s="11" t="str">
        <f>IF(ISBLANK(D2785),"",(VLOOKUP(D2785,Cardápio!$A$2:$B$16,2,0))*E2785)</f>
        <v/>
      </c>
      <c r="H2785" s="7" t="str">
        <f t="shared" si="172"/>
        <v/>
      </c>
      <c r="I2785" s="7" t="str">
        <f>IF(AND(ISBLANK(D2785),ISBLANK(C2785)),"",((VLOOKUP(D2785,Cardápio!$A$2:$C$16,3,0))*E2785)+IF(B2785="iFood",F2785*0.27,(VLOOKUP(VENDAS!C2785,Bairros!$A$2:$B$90,2,0))))</f>
        <v/>
      </c>
      <c r="J2785" s="7" t="str">
        <f t="shared" si="173"/>
        <v/>
      </c>
      <c r="K2785" s="9">
        <f t="shared" ca="1" si="174"/>
        <v>45404.878290277775</v>
      </c>
      <c r="L2785" s="10">
        <f t="shared" ca="1" si="175"/>
        <v>45404.878290046297</v>
      </c>
    </row>
    <row r="2786" spans="6:12" x14ac:dyDescent="0.25">
      <c r="F2786" s="11" t="str">
        <f>IF(ISBLANK(D2786),"",(VLOOKUP(D2786,Cardápio!$A$2:$B$16,2,0))*E2786)</f>
        <v/>
      </c>
      <c r="H2786" s="7" t="str">
        <f t="shared" si="172"/>
        <v/>
      </c>
      <c r="I2786" s="7" t="str">
        <f>IF(AND(ISBLANK(D2786),ISBLANK(C2786)),"",((VLOOKUP(D2786,Cardápio!$A$2:$C$16,3,0))*E2786)+IF(B2786="iFood",F2786*0.27,(VLOOKUP(VENDAS!C2786,Bairros!$A$2:$B$90,2,0))))</f>
        <v/>
      </c>
      <c r="J2786" s="7" t="str">
        <f t="shared" si="173"/>
        <v/>
      </c>
      <c r="K2786" s="9">
        <f t="shared" ca="1" si="174"/>
        <v>45404.878290162036</v>
      </c>
      <c r="L2786" s="10">
        <f t="shared" ca="1" si="175"/>
        <v>45404.878290046297</v>
      </c>
    </row>
    <row r="2787" spans="6:12" x14ac:dyDescent="0.25">
      <c r="F2787" s="11" t="str">
        <f>IF(ISBLANK(D2787),"",(VLOOKUP(D2787,Cardápio!$A$2:$B$16,2,0))*E2787)</f>
        <v/>
      </c>
      <c r="H2787" s="7" t="str">
        <f t="shared" si="172"/>
        <v/>
      </c>
      <c r="I2787" s="7" t="str">
        <f>IF(AND(ISBLANK(D2787),ISBLANK(C2787)),"",((VLOOKUP(D2787,Cardápio!$A$2:$C$16,3,0))*E2787)+IF(B2787="iFood",F2787*0.27,(VLOOKUP(VENDAS!C2787,Bairros!$A$2:$B$90,2,0))))</f>
        <v/>
      </c>
      <c r="J2787" s="7" t="str">
        <f t="shared" si="173"/>
        <v/>
      </c>
      <c r="K2787" s="9">
        <f t="shared" ca="1" si="174"/>
        <v>45404.878290162036</v>
      </c>
      <c r="L2787" s="10">
        <f t="shared" ca="1" si="175"/>
        <v>45404.878290046297</v>
      </c>
    </row>
    <row r="2788" spans="6:12" x14ac:dyDescent="0.25">
      <c r="F2788" s="11" t="str">
        <f>IF(ISBLANK(D2788),"",(VLOOKUP(D2788,Cardápio!$A$2:$B$16,2,0))*E2788)</f>
        <v/>
      </c>
      <c r="H2788" s="7" t="str">
        <f t="shared" si="172"/>
        <v/>
      </c>
      <c r="I2788" s="7" t="str">
        <f>IF(AND(ISBLANK(D2788),ISBLANK(C2788)),"",((VLOOKUP(D2788,Cardápio!$A$2:$C$16,3,0))*E2788)+IF(B2788="iFood",F2788*0.27,(VLOOKUP(VENDAS!C2788,Bairros!$A$2:$B$90,2,0))))</f>
        <v/>
      </c>
      <c r="J2788" s="7" t="str">
        <f t="shared" si="173"/>
        <v/>
      </c>
      <c r="K2788" s="9">
        <f t="shared" ca="1" si="174"/>
        <v>45404.878290162036</v>
      </c>
      <c r="L2788" s="10">
        <f t="shared" ca="1" si="175"/>
        <v>45404.878290046297</v>
      </c>
    </row>
    <row r="2789" spans="6:12" x14ac:dyDescent="0.25">
      <c r="F2789" s="11" t="str">
        <f>IF(ISBLANK(D2789),"",(VLOOKUP(D2789,Cardápio!$A$2:$B$16,2,0))*E2789)</f>
        <v/>
      </c>
      <c r="H2789" s="7" t="str">
        <f t="shared" si="172"/>
        <v/>
      </c>
      <c r="I2789" s="7" t="str">
        <f>IF(AND(ISBLANK(D2789),ISBLANK(C2789)),"",((VLOOKUP(D2789,Cardápio!$A$2:$C$16,3,0))*E2789)+IF(B2789="iFood",F2789*0.27,(VLOOKUP(VENDAS!C2789,Bairros!$A$2:$B$90,2,0))))</f>
        <v/>
      </c>
      <c r="J2789" s="7" t="str">
        <f t="shared" si="173"/>
        <v/>
      </c>
      <c r="K2789" s="9">
        <f t="shared" ca="1" si="174"/>
        <v>45404.878290277775</v>
      </c>
      <c r="L2789" s="10">
        <f t="shared" ca="1" si="175"/>
        <v>45404.878290046297</v>
      </c>
    </row>
    <row r="2790" spans="6:12" x14ac:dyDescent="0.25">
      <c r="F2790" s="11" t="str">
        <f>IF(ISBLANK(D2790),"",(VLOOKUP(D2790,Cardápio!$A$2:$B$16,2,0))*E2790)</f>
        <v/>
      </c>
      <c r="H2790" s="7" t="str">
        <f t="shared" si="172"/>
        <v/>
      </c>
      <c r="I2790" s="7" t="str">
        <f>IF(AND(ISBLANK(D2790),ISBLANK(C2790)),"",((VLOOKUP(D2790,Cardápio!$A$2:$C$16,3,0))*E2790)+IF(B2790="iFood",F2790*0.27,(VLOOKUP(VENDAS!C2790,Bairros!$A$2:$B$90,2,0))))</f>
        <v/>
      </c>
      <c r="J2790" s="7" t="str">
        <f t="shared" si="173"/>
        <v/>
      </c>
      <c r="K2790" s="9">
        <f t="shared" ca="1" si="174"/>
        <v>45404.878290162036</v>
      </c>
      <c r="L2790" s="10">
        <f t="shared" ca="1" si="175"/>
        <v>45404.878290046297</v>
      </c>
    </row>
    <row r="2791" spans="6:12" x14ac:dyDescent="0.25">
      <c r="F2791" s="11" t="str">
        <f>IF(ISBLANK(D2791),"",(VLOOKUP(D2791,Cardápio!$A$2:$B$16,2,0))*E2791)</f>
        <v/>
      </c>
      <c r="H2791" s="7" t="str">
        <f t="shared" si="172"/>
        <v/>
      </c>
      <c r="I2791" s="7" t="str">
        <f>IF(AND(ISBLANK(D2791),ISBLANK(C2791)),"",((VLOOKUP(D2791,Cardápio!$A$2:$C$16,3,0))*E2791)+IF(B2791="iFood",F2791*0.27,(VLOOKUP(VENDAS!C2791,Bairros!$A$2:$B$90,2,0))))</f>
        <v/>
      </c>
      <c r="J2791" s="7" t="str">
        <f t="shared" si="173"/>
        <v/>
      </c>
      <c r="K2791" s="9">
        <f t="shared" ca="1" si="174"/>
        <v>45404.878290162036</v>
      </c>
      <c r="L2791" s="10">
        <f t="shared" ca="1" si="175"/>
        <v>45404.878290046297</v>
      </c>
    </row>
    <row r="2792" spans="6:12" x14ac:dyDescent="0.25">
      <c r="F2792" s="11" t="str">
        <f>IF(ISBLANK(D2792),"",(VLOOKUP(D2792,Cardápio!$A$2:$B$16,2,0))*E2792)</f>
        <v/>
      </c>
      <c r="H2792" s="7" t="str">
        <f t="shared" si="172"/>
        <v/>
      </c>
      <c r="I2792" s="7" t="str">
        <f>IF(AND(ISBLANK(D2792),ISBLANK(C2792)),"",((VLOOKUP(D2792,Cardápio!$A$2:$C$16,3,0))*E2792)+IF(B2792="iFood",F2792*0.27,(VLOOKUP(VENDAS!C2792,Bairros!$A$2:$B$90,2,0))))</f>
        <v/>
      </c>
      <c r="J2792" s="7" t="str">
        <f t="shared" si="173"/>
        <v/>
      </c>
      <c r="K2792" s="9">
        <f t="shared" ca="1" si="174"/>
        <v>45404.878290162036</v>
      </c>
      <c r="L2792" s="10">
        <f t="shared" ca="1" si="175"/>
        <v>45404.878290046297</v>
      </c>
    </row>
    <row r="2793" spans="6:12" x14ac:dyDescent="0.25">
      <c r="F2793" s="11" t="str">
        <f>IF(ISBLANK(D2793),"",(VLOOKUP(D2793,Cardápio!$A$2:$B$16,2,0))*E2793)</f>
        <v/>
      </c>
      <c r="H2793" s="7" t="str">
        <f t="shared" si="172"/>
        <v/>
      </c>
      <c r="I2793" s="7" t="str">
        <f>IF(AND(ISBLANK(D2793),ISBLANK(C2793)),"",((VLOOKUP(D2793,Cardápio!$A$2:$C$16,3,0))*E2793)+IF(B2793="iFood",F2793*0.27,(VLOOKUP(VENDAS!C2793,Bairros!$A$2:$B$90,2,0))))</f>
        <v/>
      </c>
      <c r="J2793" s="7" t="str">
        <f t="shared" si="173"/>
        <v/>
      </c>
      <c r="K2793" s="9">
        <f t="shared" ca="1" si="174"/>
        <v>45404.878290277775</v>
      </c>
      <c r="L2793" s="10">
        <f t="shared" ca="1" si="175"/>
        <v>45404.878290046297</v>
      </c>
    </row>
    <row r="2794" spans="6:12" x14ac:dyDescent="0.25">
      <c r="F2794" s="11" t="str">
        <f>IF(ISBLANK(D2794),"",(VLOOKUP(D2794,Cardápio!$A$2:$B$16,2,0))*E2794)</f>
        <v/>
      </c>
      <c r="H2794" s="7" t="str">
        <f t="shared" si="172"/>
        <v/>
      </c>
      <c r="I2794" s="7" t="str">
        <f>IF(AND(ISBLANK(D2794),ISBLANK(C2794)),"",((VLOOKUP(D2794,Cardápio!$A$2:$C$16,3,0))*E2794)+IF(B2794="iFood",F2794*0.27,(VLOOKUP(VENDAS!C2794,Bairros!$A$2:$B$90,2,0))))</f>
        <v/>
      </c>
      <c r="J2794" s="7" t="str">
        <f t="shared" si="173"/>
        <v/>
      </c>
      <c r="K2794" s="9">
        <f t="shared" ca="1" si="174"/>
        <v>45404.878290162036</v>
      </c>
      <c r="L2794" s="10">
        <f t="shared" ca="1" si="175"/>
        <v>45404.878290046297</v>
      </c>
    </row>
    <row r="2795" spans="6:12" x14ac:dyDescent="0.25">
      <c r="F2795" s="11" t="str">
        <f>IF(ISBLANK(D2795),"",(VLOOKUP(D2795,Cardápio!$A$2:$B$16,2,0))*E2795)</f>
        <v/>
      </c>
      <c r="H2795" s="7" t="str">
        <f t="shared" si="172"/>
        <v/>
      </c>
      <c r="I2795" s="7" t="str">
        <f>IF(AND(ISBLANK(D2795),ISBLANK(C2795)),"",((VLOOKUP(D2795,Cardápio!$A$2:$C$16,3,0))*E2795)+IF(B2795="iFood",F2795*0.27,(VLOOKUP(VENDAS!C2795,Bairros!$A$2:$B$90,2,0))))</f>
        <v/>
      </c>
      <c r="J2795" s="7" t="str">
        <f t="shared" si="173"/>
        <v/>
      </c>
      <c r="K2795" s="9">
        <f t="shared" ca="1" si="174"/>
        <v>45404.878290162036</v>
      </c>
      <c r="L2795" s="10">
        <f t="shared" ca="1" si="175"/>
        <v>45404.878290046297</v>
      </c>
    </row>
    <row r="2796" spans="6:12" x14ac:dyDescent="0.25">
      <c r="F2796" s="11" t="str">
        <f>IF(ISBLANK(D2796),"",(VLOOKUP(D2796,Cardápio!$A$2:$B$16,2,0))*E2796)</f>
        <v/>
      </c>
      <c r="H2796" s="7" t="str">
        <f t="shared" si="172"/>
        <v/>
      </c>
      <c r="I2796" s="7" t="str">
        <f>IF(AND(ISBLANK(D2796),ISBLANK(C2796)),"",((VLOOKUP(D2796,Cardápio!$A$2:$C$16,3,0))*E2796)+IF(B2796="iFood",F2796*0.27,(VLOOKUP(VENDAS!C2796,Bairros!$A$2:$B$90,2,0))))</f>
        <v/>
      </c>
      <c r="J2796" s="7" t="str">
        <f t="shared" si="173"/>
        <v/>
      </c>
      <c r="K2796" s="9">
        <f t="shared" ca="1" si="174"/>
        <v>45404.878290162036</v>
      </c>
      <c r="L2796" s="10">
        <f t="shared" ca="1" si="175"/>
        <v>45404.878290046297</v>
      </c>
    </row>
    <row r="2797" spans="6:12" x14ac:dyDescent="0.25">
      <c r="F2797" s="11" t="str">
        <f>IF(ISBLANK(D2797),"",(VLOOKUP(D2797,Cardápio!$A$2:$B$16,2,0))*E2797)</f>
        <v/>
      </c>
      <c r="H2797" s="7" t="str">
        <f t="shared" si="172"/>
        <v/>
      </c>
      <c r="I2797" s="7" t="str">
        <f>IF(AND(ISBLANK(D2797),ISBLANK(C2797)),"",((VLOOKUP(D2797,Cardápio!$A$2:$C$16,3,0))*E2797)+IF(B2797="iFood",F2797*0.27,(VLOOKUP(VENDAS!C2797,Bairros!$A$2:$B$90,2,0))))</f>
        <v/>
      </c>
      <c r="J2797" s="7" t="str">
        <f t="shared" si="173"/>
        <v/>
      </c>
      <c r="K2797" s="9">
        <f t="shared" ca="1" si="174"/>
        <v>45404.878290277775</v>
      </c>
      <c r="L2797" s="10">
        <f t="shared" ca="1" si="175"/>
        <v>45404.878290046297</v>
      </c>
    </row>
    <row r="2798" spans="6:12" x14ac:dyDescent="0.25">
      <c r="F2798" s="11" t="str">
        <f>IF(ISBLANK(D2798),"",(VLOOKUP(D2798,Cardápio!$A$2:$B$16,2,0))*E2798)</f>
        <v/>
      </c>
      <c r="H2798" s="7" t="str">
        <f t="shared" si="172"/>
        <v/>
      </c>
      <c r="I2798" s="7" t="str">
        <f>IF(AND(ISBLANK(D2798),ISBLANK(C2798)),"",((VLOOKUP(D2798,Cardápio!$A$2:$C$16,3,0))*E2798)+IF(B2798="iFood",F2798*0.27,(VLOOKUP(VENDAS!C2798,Bairros!$A$2:$B$90,2,0))))</f>
        <v/>
      </c>
      <c r="J2798" s="7" t="str">
        <f t="shared" si="173"/>
        <v/>
      </c>
      <c r="K2798" s="9">
        <f t="shared" ca="1" si="174"/>
        <v>45404.878290162036</v>
      </c>
      <c r="L2798" s="10">
        <f t="shared" ca="1" si="175"/>
        <v>45404.878290046297</v>
      </c>
    </row>
    <row r="2799" spans="6:12" x14ac:dyDescent="0.25">
      <c r="F2799" s="11" t="str">
        <f>IF(ISBLANK(D2799),"",(VLOOKUP(D2799,Cardápio!$A$2:$B$16,2,0))*E2799)</f>
        <v/>
      </c>
      <c r="H2799" s="7" t="str">
        <f t="shared" si="172"/>
        <v/>
      </c>
      <c r="I2799" s="7" t="str">
        <f>IF(AND(ISBLANK(D2799),ISBLANK(C2799)),"",((VLOOKUP(D2799,Cardápio!$A$2:$C$16,3,0))*E2799)+IF(B2799="iFood",F2799*0.27,(VLOOKUP(VENDAS!C2799,Bairros!$A$2:$B$90,2,0))))</f>
        <v/>
      </c>
      <c r="J2799" s="7" t="str">
        <f t="shared" si="173"/>
        <v/>
      </c>
      <c r="K2799" s="9">
        <f t="shared" ca="1" si="174"/>
        <v>45404.878290162036</v>
      </c>
      <c r="L2799" s="10">
        <f t="shared" ca="1" si="175"/>
        <v>45404.878290046297</v>
      </c>
    </row>
    <row r="2800" spans="6:12" x14ac:dyDescent="0.25">
      <c r="F2800" s="11" t="str">
        <f>IF(ISBLANK(D2800),"",(VLOOKUP(D2800,Cardápio!$A$2:$B$16,2,0))*E2800)</f>
        <v/>
      </c>
      <c r="H2800" s="7" t="str">
        <f t="shared" si="172"/>
        <v/>
      </c>
      <c r="I2800" s="7" t="str">
        <f>IF(AND(ISBLANK(D2800),ISBLANK(C2800)),"",((VLOOKUP(D2800,Cardápio!$A$2:$C$16,3,0))*E2800)+IF(B2800="iFood",F2800*0.27,(VLOOKUP(VENDAS!C2800,Bairros!$A$2:$B$90,2,0))))</f>
        <v/>
      </c>
      <c r="J2800" s="7" t="str">
        <f t="shared" si="173"/>
        <v/>
      </c>
      <c r="K2800" s="9">
        <f t="shared" ca="1" si="174"/>
        <v>45404.878290162036</v>
      </c>
      <c r="L2800" s="10">
        <f t="shared" ca="1" si="175"/>
        <v>45404.878290046297</v>
      </c>
    </row>
    <row r="2801" spans="6:12" x14ac:dyDescent="0.25">
      <c r="F2801" s="11" t="str">
        <f>IF(ISBLANK(D2801),"",(VLOOKUP(D2801,Cardápio!$A$2:$B$16,2,0))*E2801)</f>
        <v/>
      </c>
      <c r="H2801" s="7" t="str">
        <f t="shared" si="172"/>
        <v/>
      </c>
      <c r="I2801" s="7" t="str">
        <f>IF(AND(ISBLANK(D2801),ISBLANK(C2801)),"",((VLOOKUP(D2801,Cardápio!$A$2:$C$16,3,0))*E2801)+IF(B2801="iFood",F2801*0.27,(VLOOKUP(VENDAS!C2801,Bairros!$A$2:$B$90,2,0))))</f>
        <v/>
      </c>
      <c r="J2801" s="7" t="str">
        <f t="shared" si="173"/>
        <v/>
      </c>
      <c r="K2801" s="9">
        <f t="shared" ca="1" si="174"/>
        <v>45404.878290277775</v>
      </c>
      <c r="L2801" s="10">
        <f t="shared" ca="1" si="175"/>
        <v>45404.878290046297</v>
      </c>
    </row>
    <row r="2802" spans="6:12" x14ac:dyDescent="0.25">
      <c r="F2802" s="11" t="str">
        <f>IF(ISBLANK(D2802),"",(VLOOKUP(D2802,Cardápio!$A$2:$B$16,2,0))*E2802)</f>
        <v/>
      </c>
      <c r="H2802" s="7" t="str">
        <f t="shared" si="172"/>
        <v/>
      </c>
      <c r="I2802" s="7" t="str">
        <f>IF(AND(ISBLANK(D2802),ISBLANK(C2802)),"",((VLOOKUP(D2802,Cardápio!$A$2:$C$16,3,0))*E2802)+IF(B2802="iFood",F2802*0.27,(VLOOKUP(VENDAS!C2802,Bairros!$A$2:$B$90,2,0))))</f>
        <v/>
      </c>
      <c r="J2802" s="7" t="str">
        <f t="shared" si="173"/>
        <v/>
      </c>
      <c r="K2802" s="9">
        <f t="shared" ca="1" si="174"/>
        <v>45404.878290162036</v>
      </c>
      <c r="L2802" s="10">
        <f t="shared" ca="1" si="175"/>
        <v>45404.878290046297</v>
      </c>
    </row>
    <row r="2803" spans="6:12" x14ac:dyDescent="0.25">
      <c r="F2803" s="11" t="str">
        <f>IF(ISBLANK(D2803),"",(VLOOKUP(D2803,Cardápio!$A$2:$B$16,2,0))*E2803)</f>
        <v/>
      </c>
      <c r="H2803" s="7" t="str">
        <f t="shared" si="172"/>
        <v/>
      </c>
      <c r="I2803" s="7" t="str">
        <f>IF(AND(ISBLANK(D2803),ISBLANK(C2803)),"",((VLOOKUP(D2803,Cardápio!$A$2:$C$16,3,0))*E2803)+IF(B2803="iFood",F2803*0.27,(VLOOKUP(VENDAS!C2803,Bairros!$A$2:$B$90,2,0))))</f>
        <v/>
      </c>
      <c r="J2803" s="7" t="str">
        <f t="shared" si="173"/>
        <v/>
      </c>
      <c r="K2803" s="9">
        <f t="shared" ca="1" si="174"/>
        <v>45404.878290162036</v>
      </c>
      <c r="L2803" s="10">
        <f t="shared" ca="1" si="175"/>
        <v>45404.878290046297</v>
      </c>
    </row>
    <row r="2804" spans="6:12" x14ac:dyDescent="0.25">
      <c r="F2804" s="11" t="str">
        <f>IF(ISBLANK(D2804),"",(VLOOKUP(D2804,Cardápio!$A$2:$B$16,2,0))*E2804)</f>
        <v/>
      </c>
      <c r="H2804" s="7" t="str">
        <f t="shared" si="172"/>
        <v/>
      </c>
      <c r="I2804" s="7" t="str">
        <f>IF(AND(ISBLANK(D2804),ISBLANK(C2804)),"",((VLOOKUP(D2804,Cardápio!$A$2:$C$16,3,0))*E2804)+IF(B2804="iFood",F2804*0.27,(VLOOKUP(VENDAS!C2804,Bairros!$A$2:$B$90,2,0))))</f>
        <v/>
      </c>
      <c r="J2804" s="7" t="str">
        <f t="shared" si="173"/>
        <v/>
      </c>
      <c r="K2804" s="9">
        <f t="shared" ca="1" si="174"/>
        <v>45404.878290162036</v>
      </c>
      <c r="L2804" s="10">
        <f t="shared" ca="1" si="175"/>
        <v>45404.878290046297</v>
      </c>
    </row>
    <row r="2805" spans="6:12" x14ac:dyDescent="0.25">
      <c r="F2805" s="11" t="str">
        <f>IF(ISBLANK(D2805),"",(VLOOKUP(D2805,Cardápio!$A$2:$B$16,2,0))*E2805)</f>
        <v/>
      </c>
      <c r="H2805" s="7" t="str">
        <f t="shared" ref="H2805:H2868" si="176">IF(ISBLANK(D2805),"",F2805-G2805)</f>
        <v/>
      </c>
      <c r="I2805" s="7" t="str">
        <f>IF(AND(ISBLANK(D2805),ISBLANK(C2805)),"",((VLOOKUP(D2805,Cardápio!$A$2:$C$16,3,0))*E2805)+IF(B2805="iFood",F2805*0.27,(VLOOKUP(VENDAS!C2805,Bairros!$A$2:$B$90,2,0))))</f>
        <v/>
      </c>
      <c r="J2805" s="7" t="str">
        <f t="shared" ref="J2805:J2868" si="177">IF(OR(AND(ISBLANK(H2805),ISBLANK(I2805)),(AND(H2805="",I2805=""))),"",H2805-I2805)</f>
        <v/>
      </c>
      <c r="K2805" s="9">
        <f t="shared" ref="K2805:K2868" ca="1" si="178">IF(D2805&lt;&gt;"",K2805,NOW())</f>
        <v>45404.878290277775</v>
      </c>
      <c r="L2805" s="10">
        <f t="shared" ref="L2805:L2868" ca="1" si="179">IF(D2805&lt;&gt;"",L2805,NOW())</f>
        <v>45404.878290046297</v>
      </c>
    </row>
    <row r="2806" spans="6:12" x14ac:dyDescent="0.25">
      <c r="F2806" s="11" t="str">
        <f>IF(ISBLANK(D2806),"",(VLOOKUP(D2806,Cardápio!$A$2:$B$16,2,0))*E2806)</f>
        <v/>
      </c>
      <c r="H2806" s="7" t="str">
        <f t="shared" si="176"/>
        <v/>
      </c>
      <c r="I2806" s="7" t="str">
        <f>IF(AND(ISBLANK(D2806),ISBLANK(C2806)),"",((VLOOKUP(D2806,Cardápio!$A$2:$C$16,3,0))*E2806)+IF(B2806="iFood",F2806*0.27,(VLOOKUP(VENDAS!C2806,Bairros!$A$2:$B$90,2,0))))</f>
        <v/>
      </c>
      <c r="J2806" s="7" t="str">
        <f t="shared" si="177"/>
        <v/>
      </c>
      <c r="K2806" s="9">
        <f t="shared" ca="1" si="178"/>
        <v>45404.878290162036</v>
      </c>
      <c r="L2806" s="10">
        <f t="shared" ca="1" si="179"/>
        <v>45404.878290046297</v>
      </c>
    </row>
    <row r="2807" spans="6:12" x14ac:dyDescent="0.25">
      <c r="F2807" s="11" t="str">
        <f>IF(ISBLANK(D2807),"",(VLOOKUP(D2807,Cardápio!$A$2:$B$16,2,0))*E2807)</f>
        <v/>
      </c>
      <c r="H2807" s="7" t="str">
        <f t="shared" si="176"/>
        <v/>
      </c>
      <c r="I2807" s="7" t="str">
        <f>IF(AND(ISBLANK(D2807),ISBLANK(C2807)),"",((VLOOKUP(D2807,Cardápio!$A$2:$C$16,3,0))*E2807)+IF(B2807="iFood",F2807*0.27,(VLOOKUP(VENDAS!C2807,Bairros!$A$2:$B$90,2,0))))</f>
        <v/>
      </c>
      <c r="J2807" s="7" t="str">
        <f t="shared" si="177"/>
        <v/>
      </c>
      <c r="K2807" s="9">
        <f t="shared" ca="1" si="178"/>
        <v>45404.878290162036</v>
      </c>
      <c r="L2807" s="10">
        <f t="shared" ca="1" si="179"/>
        <v>45404.878290046297</v>
      </c>
    </row>
    <row r="2808" spans="6:12" x14ac:dyDescent="0.25">
      <c r="F2808" s="11" t="str">
        <f>IF(ISBLANK(D2808),"",(VLOOKUP(D2808,Cardápio!$A$2:$B$16,2,0))*E2808)</f>
        <v/>
      </c>
      <c r="H2808" s="7" t="str">
        <f t="shared" si="176"/>
        <v/>
      </c>
      <c r="I2808" s="7" t="str">
        <f>IF(AND(ISBLANK(D2808),ISBLANK(C2808)),"",((VLOOKUP(D2808,Cardápio!$A$2:$C$16,3,0))*E2808)+IF(B2808="iFood",F2808*0.27,(VLOOKUP(VENDAS!C2808,Bairros!$A$2:$B$90,2,0))))</f>
        <v/>
      </c>
      <c r="J2808" s="7" t="str">
        <f t="shared" si="177"/>
        <v/>
      </c>
      <c r="K2808" s="9">
        <f t="shared" ca="1" si="178"/>
        <v>45404.878290162036</v>
      </c>
      <c r="L2808" s="10">
        <f t="shared" ca="1" si="179"/>
        <v>45404.878290046297</v>
      </c>
    </row>
    <row r="2809" spans="6:12" x14ac:dyDescent="0.25">
      <c r="F2809" s="11" t="str">
        <f>IF(ISBLANK(D2809),"",(VLOOKUP(D2809,Cardápio!$A$2:$B$16,2,0))*E2809)</f>
        <v/>
      </c>
      <c r="H2809" s="7" t="str">
        <f t="shared" si="176"/>
        <v/>
      </c>
      <c r="I2809" s="7" t="str">
        <f>IF(AND(ISBLANK(D2809),ISBLANK(C2809)),"",((VLOOKUP(D2809,Cardápio!$A$2:$C$16,3,0))*E2809)+IF(B2809="iFood",F2809*0.27,(VLOOKUP(VENDAS!C2809,Bairros!$A$2:$B$90,2,0))))</f>
        <v/>
      </c>
      <c r="J2809" s="7" t="str">
        <f t="shared" si="177"/>
        <v/>
      </c>
      <c r="K2809" s="9">
        <f t="shared" ca="1" si="178"/>
        <v>45404.878290277775</v>
      </c>
      <c r="L2809" s="10">
        <f t="shared" ca="1" si="179"/>
        <v>45404.878290046297</v>
      </c>
    </row>
    <row r="2810" spans="6:12" x14ac:dyDescent="0.25">
      <c r="F2810" s="11" t="str">
        <f>IF(ISBLANK(D2810),"",(VLOOKUP(D2810,Cardápio!$A$2:$B$16,2,0))*E2810)</f>
        <v/>
      </c>
      <c r="H2810" s="7" t="str">
        <f t="shared" si="176"/>
        <v/>
      </c>
      <c r="I2810" s="7" t="str">
        <f>IF(AND(ISBLANK(D2810),ISBLANK(C2810)),"",((VLOOKUP(D2810,Cardápio!$A$2:$C$16,3,0))*E2810)+IF(B2810="iFood",F2810*0.27,(VLOOKUP(VENDAS!C2810,Bairros!$A$2:$B$90,2,0))))</f>
        <v/>
      </c>
      <c r="J2810" s="7" t="str">
        <f t="shared" si="177"/>
        <v/>
      </c>
      <c r="K2810" s="9">
        <f t="shared" ca="1" si="178"/>
        <v>45404.878290162036</v>
      </c>
      <c r="L2810" s="10">
        <f t="shared" ca="1" si="179"/>
        <v>45404.878290046297</v>
      </c>
    </row>
    <row r="2811" spans="6:12" x14ac:dyDescent="0.25">
      <c r="F2811" s="11" t="str">
        <f>IF(ISBLANK(D2811),"",(VLOOKUP(D2811,Cardápio!$A$2:$B$16,2,0))*E2811)</f>
        <v/>
      </c>
      <c r="H2811" s="7" t="str">
        <f t="shared" si="176"/>
        <v/>
      </c>
      <c r="I2811" s="7" t="str">
        <f>IF(AND(ISBLANK(D2811),ISBLANK(C2811)),"",((VLOOKUP(D2811,Cardápio!$A$2:$C$16,3,0))*E2811)+IF(B2811="iFood",F2811*0.27,(VLOOKUP(VENDAS!C2811,Bairros!$A$2:$B$90,2,0))))</f>
        <v/>
      </c>
      <c r="J2811" s="7" t="str">
        <f t="shared" si="177"/>
        <v/>
      </c>
      <c r="K2811" s="9">
        <f t="shared" ca="1" si="178"/>
        <v>45404.878290162036</v>
      </c>
      <c r="L2811" s="10">
        <f t="shared" ca="1" si="179"/>
        <v>45404.878290046297</v>
      </c>
    </row>
    <row r="2812" spans="6:12" x14ac:dyDescent="0.25">
      <c r="F2812" s="11" t="str">
        <f>IF(ISBLANK(D2812),"",(VLOOKUP(D2812,Cardápio!$A$2:$B$16,2,0))*E2812)</f>
        <v/>
      </c>
      <c r="H2812" s="7" t="str">
        <f t="shared" si="176"/>
        <v/>
      </c>
      <c r="I2812" s="7" t="str">
        <f>IF(AND(ISBLANK(D2812),ISBLANK(C2812)),"",((VLOOKUP(D2812,Cardápio!$A$2:$C$16,3,0))*E2812)+IF(B2812="iFood",F2812*0.27,(VLOOKUP(VENDAS!C2812,Bairros!$A$2:$B$90,2,0))))</f>
        <v/>
      </c>
      <c r="J2812" s="7" t="str">
        <f t="shared" si="177"/>
        <v/>
      </c>
      <c r="K2812" s="9">
        <f t="shared" ca="1" si="178"/>
        <v>45404.878290162036</v>
      </c>
      <c r="L2812" s="10">
        <f t="shared" ca="1" si="179"/>
        <v>45404.878290046297</v>
      </c>
    </row>
    <row r="2813" spans="6:12" x14ac:dyDescent="0.25">
      <c r="F2813" s="11" t="str">
        <f>IF(ISBLANK(D2813),"",(VLOOKUP(D2813,Cardápio!$A$2:$B$16,2,0))*E2813)</f>
        <v/>
      </c>
      <c r="H2813" s="7" t="str">
        <f t="shared" si="176"/>
        <v/>
      </c>
      <c r="I2813" s="7" t="str">
        <f>IF(AND(ISBLANK(D2813),ISBLANK(C2813)),"",((VLOOKUP(D2813,Cardápio!$A$2:$C$16,3,0))*E2813)+IF(B2813="iFood",F2813*0.27,(VLOOKUP(VENDAS!C2813,Bairros!$A$2:$B$90,2,0))))</f>
        <v/>
      </c>
      <c r="J2813" s="7" t="str">
        <f t="shared" si="177"/>
        <v/>
      </c>
      <c r="K2813" s="9">
        <f t="shared" ca="1" si="178"/>
        <v>45404.878290277775</v>
      </c>
      <c r="L2813" s="10">
        <f t="shared" ca="1" si="179"/>
        <v>45404.878290046297</v>
      </c>
    </row>
    <row r="2814" spans="6:12" x14ac:dyDescent="0.25">
      <c r="F2814" s="11" t="str">
        <f>IF(ISBLANK(D2814),"",(VLOOKUP(D2814,Cardápio!$A$2:$B$16,2,0))*E2814)</f>
        <v/>
      </c>
      <c r="H2814" s="7" t="str">
        <f t="shared" si="176"/>
        <v/>
      </c>
      <c r="I2814" s="7" t="str">
        <f>IF(AND(ISBLANK(D2814),ISBLANK(C2814)),"",((VLOOKUP(D2814,Cardápio!$A$2:$C$16,3,0))*E2814)+IF(B2814="iFood",F2814*0.27,(VLOOKUP(VENDAS!C2814,Bairros!$A$2:$B$90,2,0))))</f>
        <v/>
      </c>
      <c r="J2814" s="7" t="str">
        <f t="shared" si="177"/>
        <v/>
      </c>
      <c r="K2814" s="9">
        <f t="shared" ca="1" si="178"/>
        <v>45404.878290162036</v>
      </c>
      <c r="L2814" s="10">
        <f t="shared" ca="1" si="179"/>
        <v>45404.878290046297</v>
      </c>
    </row>
    <row r="2815" spans="6:12" x14ac:dyDescent="0.25">
      <c r="F2815" s="11" t="str">
        <f>IF(ISBLANK(D2815),"",(VLOOKUP(D2815,Cardápio!$A$2:$B$16,2,0))*E2815)</f>
        <v/>
      </c>
      <c r="H2815" s="7" t="str">
        <f t="shared" si="176"/>
        <v/>
      </c>
      <c r="I2815" s="7" t="str">
        <f>IF(AND(ISBLANK(D2815),ISBLANK(C2815)),"",((VLOOKUP(D2815,Cardápio!$A$2:$C$16,3,0))*E2815)+IF(B2815="iFood",F2815*0.27,(VLOOKUP(VENDAS!C2815,Bairros!$A$2:$B$90,2,0))))</f>
        <v/>
      </c>
      <c r="J2815" s="7" t="str">
        <f t="shared" si="177"/>
        <v/>
      </c>
      <c r="K2815" s="9">
        <f t="shared" ca="1" si="178"/>
        <v>45404.878290162036</v>
      </c>
      <c r="L2815" s="10">
        <f t="shared" ca="1" si="179"/>
        <v>45404.878290046297</v>
      </c>
    </row>
    <row r="2816" spans="6:12" x14ac:dyDescent="0.25">
      <c r="F2816" s="11" t="str">
        <f>IF(ISBLANK(D2816),"",(VLOOKUP(D2816,Cardápio!$A$2:$B$16,2,0))*E2816)</f>
        <v/>
      </c>
      <c r="H2816" s="7" t="str">
        <f t="shared" si="176"/>
        <v/>
      </c>
      <c r="I2816" s="7" t="str">
        <f>IF(AND(ISBLANK(D2816),ISBLANK(C2816)),"",((VLOOKUP(D2816,Cardápio!$A$2:$C$16,3,0))*E2816)+IF(B2816="iFood",F2816*0.27,(VLOOKUP(VENDAS!C2816,Bairros!$A$2:$B$90,2,0))))</f>
        <v/>
      </c>
      <c r="J2816" s="7" t="str">
        <f t="shared" si="177"/>
        <v/>
      </c>
      <c r="K2816" s="9">
        <f t="shared" ca="1" si="178"/>
        <v>45404.878290162036</v>
      </c>
      <c r="L2816" s="10">
        <f t="shared" ca="1" si="179"/>
        <v>45404.878290046297</v>
      </c>
    </row>
    <row r="2817" spans="6:12" x14ac:dyDescent="0.25">
      <c r="F2817" s="11" t="str">
        <f>IF(ISBLANK(D2817),"",(VLOOKUP(D2817,Cardápio!$A$2:$B$16,2,0))*E2817)</f>
        <v/>
      </c>
      <c r="H2817" s="7" t="str">
        <f t="shared" si="176"/>
        <v/>
      </c>
      <c r="I2817" s="7" t="str">
        <f>IF(AND(ISBLANK(D2817),ISBLANK(C2817)),"",((VLOOKUP(D2817,Cardápio!$A$2:$C$16,3,0))*E2817)+IF(B2817="iFood",F2817*0.27,(VLOOKUP(VENDAS!C2817,Bairros!$A$2:$B$90,2,0))))</f>
        <v/>
      </c>
      <c r="J2817" s="7" t="str">
        <f t="shared" si="177"/>
        <v/>
      </c>
      <c r="K2817" s="9">
        <f t="shared" ca="1" si="178"/>
        <v>45404.878290277775</v>
      </c>
      <c r="L2817" s="10">
        <f t="shared" ca="1" si="179"/>
        <v>45404.878290046297</v>
      </c>
    </row>
    <row r="2818" spans="6:12" x14ac:dyDescent="0.25">
      <c r="F2818" s="11" t="str">
        <f>IF(ISBLANK(D2818),"",(VLOOKUP(D2818,Cardápio!$A$2:$B$16,2,0))*E2818)</f>
        <v/>
      </c>
      <c r="H2818" s="7" t="str">
        <f t="shared" si="176"/>
        <v/>
      </c>
      <c r="I2818" s="7" t="str">
        <f>IF(AND(ISBLANK(D2818),ISBLANK(C2818)),"",((VLOOKUP(D2818,Cardápio!$A$2:$C$16,3,0))*E2818)+IF(B2818="iFood",F2818*0.27,(VLOOKUP(VENDAS!C2818,Bairros!$A$2:$B$90,2,0))))</f>
        <v/>
      </c>
      <c r="J2818" s="7" t="str">
        <f t="shared" si="177"/>
        <v/>
      </c>
      <c r="K2818" s="9">
        <f t="shared" ca="1" si="178"/>
        <v>45404.878290162036</v>
      </c>
      <c r="L2818" s="10">
        <f t="shared" ca="1" si="179"/>
        <v>45404.878290046297</v>
      </c>
    </row>
    <row r="2819" spans="6:12" x14ac:dyDescent="0.25">
      <c r="F2819" s="11" t="str">
        <f>IF(ISBLANK(D2819),"",(VLOOKUP(D2819,Cardápio!$A$2:$B$16,2,0))*E2819)</f>
        <v/>
      </c>
      <c r="H2819" s="7" t="str">
        <f t="shared" si="176"/>
        <v/>
      </c>
      <c r="I2819" s="7" t="str">
        <f>IF(AND(ISBLANK(D2819),ISBLANK(C2819)),"",((VLOOKUP(D2819,Cardápio!$A$2:$C$16,3,0))*E2819)+IF(B2819="iFood",F2819*0.27,(VLOOKUP(VENDAS!C2819,Bairros!$A$2:$B$90,2,0))))</f>
        <v/>
      </c>
      <c r="J2819" s="7" t="str">
        <f t="shared" si="177"/>
        <v/>
      </c>
      <c r="K2819" s="9">
        <f t="shared" ca="1" si="178"/>
        <v>45404.878290162036</v>
      </c>
      <c r="L2819" s="10">
        <f t="shared" ca="1" si="179"/>
        <v>45404.878290046297</v>
      </c>
    </row>
    <row r="2820" spans="6:12" x14ac:dyDescent="0.25">
      <c r="F2820" s="11" t="str">
        <f>IF(ISBLANK(D2820),"",(VLOOKUP(D2820,Cardápio!$A$2:$B$16,2,0))*E2820)</f>
        <v/>
      </c>
      <c r="H2820" s="7" t="str">
        <f t="shared" si="176"/>
        <v/>
      </c>
      <c r="I2820" s="7" t="str">
        <f>IF(AND(ISBLANK(D2820),ISBLANK(C2820)),"",((VLOOKUP(D2820,Cardápio!$A$2:$C$16,3,0))*E2820)+IF(B2820="iFood",F2820*0.27,(VLOOKUP(VENDAS!C2820,Bairros!$A$2:$B$90,2,0))))</f>
        <v/>
      </c>
      <c r="J2820" s="7" t="str">
        <f t="shared" si="177"/>
        <v/>
      </c>
      <c r="K2820" s="9">
        <f t="shared" ca="1" si="178"/>
        <v>45404.878290162036</v>
      </c>
      <c r="L2820" s="10">
        <f t="shared" ca="1" si="179"/>
        <v>45404.878290046297</v>
      </c>
    </row>
    <row r="2821" spans="6:12" x14ac:dyDescent="0.25">
      <c r="F2821" s="11" t="str">
        <f>IF(ISBLANK(D2821),"",(VLOOKUP(D2821,Cardápio!$A$2:$B$16,2,0))*E2821)</f>
        <v/>
      </c>
      <c r="H2821" s="7" t="str">
        <f t="shared" si="176"/>
        <v/>
      </c>
      <c r="I2821" s="7" t="str">
        <f>IF(AND(ISBLANK(D2821),ISBLANK(C2821)),"",((VLOOKUP(D2821,Cardápio!$A$2:$C$16,3,0))*E2821)+IF(B2821="iFood",F2821*0.27,(VLOOKUP(VENDAS!C2821,Bairros!$A$2:$B$90,2,0))))</f>
        <v/>
      </c>
      <c r="J2821" s="7" t="str">
        <f t="shared" si="177"/>
        <v/>
      </c>
      <c r="K2821" s="9">
        <f t="shared" ca="1" si="178"/>
        <v>45404.878290277775</v>
      </c>
      <c r="L2821" s="10">
        <f t="shared" ca="1" si="179"/>
        <v>45404.878290046297</v>
      </c>
    </row>
    <row r="2822" spans="6:12" x14ac:dyDescent="0.25">
      <c r="F2822" s="11" t="str">
        <f>IF(ISBLANK(D2822),"",(VLOOKUP(D2822,Cardápio!$A$2:$B$16,2,0))*E2822)</f>
        <v/>
      </c>
      <c r="H2822" s="7" t="str">
        <f t="shared" si="176"/>
        <v/>
      </c>
      <c r="I2822" s="7" t="str">
        <f>IF(AND(ISBLANK(D2822),ISBLANK(C2822)),"",((VLOOKUP(D2822,Cardápio!$A$2:$C$16,3,0))*E2822)+IF(B2822="iFood",F2822*0.27,(VLOOKUP(VENDAS!C2822,Bairros!$A$2:$B$90,2,0))))</f>
        <v/>
      </c>
      <c r="J2822" s="7" t="str">
        <f t="shared" si="177"/>
        <v/>
      </c>
      <c r="K2822" s="9">
        <f t="shared" ca="1" si="178"/>
        <v>45404.878290162036</v>
      </c>
      <c r="L2822" s="10">
        <f t="shared" ca="1" si="179"/>
        <v>45404.878290046297</v>
      </c>
    </row>
    <row r="2823" spans="6:12" x14ac:dyDescent="0.25">
      <c r="F2823" s="11" t="str">
        <f>IF(ISBLANK(D2823),"",(VLOOKUP(D2823,Cardápio!$A$2:$B$16,2,0))*E2823)</f>
        <v/>
      </c>
      <c r="H2823" s="7" t="str">
        <f t="shared" si="176"/>
        <v/>
      </c>
      <c r="I2823" s="7" t="str">
        <f>IF(AND(ISBLANK(D2823),ISBLANK(C2823)),"",((VLOOKUP(D2823,Cardápio!$A$2:$C$16,3,0))*E2823)+IF(B2823="iFood",F2823*0.27,(VLOOKUP(VENDAS!C2823,Bairros!$A$2:$B$90,2,0))))</f>
        <v/>
      </c>
      <c r="J2823" s="7" t="str">
        <f t="shared" si="177"/>
        <v/>
      </c>
      <c r="K2823" s="9">
        <f t="shared" ca="1" si="178"/>
        <v>45404.878290162036</v>
      </c>
      <c r="L2823" s="10">
        <f t="shared" ca="1" si="179"/>
        <v>45404.878290046297</v>
      </c>
    </row>
    <row r="2824" spans="6:12" x14ac:dyDescent="0.25">
      <c r="F2824" s="11" t="str">
        <f>IF(ISBLANK(D2824),"",(VLOOKUP(D2824,Cardápio!$A$2:$B$16,2,0))*E2824)</f>
        <v/>
      </c>
      <c r="H2824" s="7" t="str">
        <f t="shared" si="176"/>
        <v/>
      </c>
      <c r="I2824" s="7" t="str">
        <f>IF(AND(ISBLANK(D2824),ISBLANK(C2824)),"",((VLOOKUP(D2824,Cardápio!$A$2:$C$16,3,0))*E2824)+IF(B2824="iFood",F2824*0.27,(VLOOKUP(VENDAS!C2824,Bairros!$A$2:$B$90,2,0))))</f>
        <v/>
      </c>
      <c r="J2824" s="7" t="str">
        <f t="shared" si="177"/>
        <v/>
      </c>
      <c r="K2824" s="9">
        <f t="shared" ca="1" si="178"/>
        <v>45404.878290162036</v>
      </c>
      <c r="L2824" s="10">
        <f t="shared" ca="1" si="179"/>
        <v>45404.878290046297</v>
      </c>
    </row>
    <row r="2825" spans="6:12" x14ac:dyDescent="0.25">
      <c r="F2825" s="11" t="str">
        <f>IF(ISBLANK(D2825),"",(VLOOKUP(D2825,Cardápio!$A$2:$B$16,2,0))*E2825)</f>
        <v/>
      </c>
      <c r="H2825" s="7" t="str">
        <f t="shared" si="176"/>
        <v/>
      </c>
      <c r="I2825" s="7" t="str">
        <f>IF(AND(ISBLANK(D2825),ISBLANK(C2825)),"",((VLOOKUP(D2825,Cardápio!$A$2:$C$16,3,0))*E2825)+IF(B2825="iFood",F2825*0.27,(VLOOKUP(VENDAS!C2825,Bairros!$A$2:$B$90,2,0))))</f>
        <v/>
      </c>
      <c r="J2825" s="7" t="str">
        <f t="shared" si="177"/>
        <v/>
      </c>
      <c r="K2825" s="9">
        <f t="shared" ca="1" si="178"/>
        <v>45404.878290277775</v>
      </c>
      <c r="L2825" s="10">
        <f t="shared" ca="1" si="179"/>
        <v>45404.878290046297</v>
      </c>
    </row>
    <row r="2826" spans="6:12" x14ac:dyDescent="0.25">
      <c r="F2826" s="11" t="str">
        <f>IF(ISBLANK(D2826),"",(VLOOKUP(D2826,Cardápio!$A$2:$B$16,2,0))*E2826)</f>
        <v/>
      </c>
      <c r="H2826" s="7" t="str">
        <f t="shared" si="176"/>
        <v/>
      </c>
      <c r="I2826" s="7" t="str">
        <f>IF(AND(ISBLANK(D2826),ISBLANK(C2826)),"",((VLOOKUP(D2826,Cardápio!$A$2:$C$16,3,0))*E2826)+IF(B2826="iFood",F2826*0.27,(VLOOKUP(VENDAS!C2826,Bairros!$A$2:$B$90,2,0))))</f>
        <v/>
      </c>
      <c r="J2826" s="7" t="str">
        <f t="shared" si="177"/>
        <v/>
      </c>
      <c r="K2826" s="9">
        <f t="shared" ca="1" si="178"/>
        <v>45404.878290162036</v>
      </c>
      <c r="L2826" s="10">
        <f t="shared" ca="1" si="179"/>
        <v>45404.878290046297</v>
      </c>
    </row>
    <row r="2827" spans="6:12" x14ac:dyDescent="0.25">
      <c r="F2827" s="11" t="str">
        <f>IF(ISBLANK(D2827),"",(VLOOKUP(D2827,Cardápio!$A$2:$B$16,2,0))*E2827)</f>
        <v/>
      </c>
      <c r="H2827" s="7" t="str">
        <f t="shared" si="176"/>
        <v/>
      </c>
      <c r="I2827" s="7" t="str">
        <f>IF(AND(ISBLANK(D2827),ISBLANK(C2827)),"",((VLOOKUP(D2827,Cardápio!$A$2:$C$16,3,0))*E2827)+IF(B2827="iFood",F2827*0.27,(VLOOKUP(VENDAS!C2827,Bairros!$A$2:$B$90,2,0))))</f>
        <v/>
      </c>
      <c r="J2827" s="7" t="str">
        <f t="shared" si="177"/>
        <v/>
      </c>
      <c r="K2827" s="9">
        <f t="shared" ca="1" si="178"/>
        <v>45404.878290162036</v>
      </c>
      <c r="L2827" s="10">
        <f t="shared" ca="1" si="179"/>
        <v>45404.878290046297</v>
      </c>
    </row>
    <row r="2828" spans="6:12" x14ac:dyDescent="0.25">
      <c r="F2828" s="11" t="str">
        <f>IF(ISBLANK(D2828),"",(VLOOKUP(D2828,Cardápio!$A$2:$B$16,2,0))*E2828)</f>
        <v/>
      </c>
      <c r="H2828" s="7" t="str">
        <f t="shared" si="176"/>
        <v/>
      </c>
      <c r="I2828" s="7" t="str">
        <f>IF(AND(ISBLANK(D2828),ISBLANK(C2828)),"",((VLOOKUP(D2828,Cardápio!$A$2:$C$16,3,0))*E2828)+IF(B2828="iFood",F2828*0.27,(VLOOKUP(VENDAS!C2828,Bairros!$A$2:$B$90,2,0))))</f>
        <v/>
      </c>
      <c r="J2828" s="7" t="str">
        <f t="shared" si="177"/>
        <v/>
      </c>
      <c r="K2828" s="9">
        <f t="shared" ca="1" si="178"/>
        <v>45404.878290162036</v>
      </c>
      <c r="L2828" s="10">
        <f t="shared" ca="1" si="179"/>
        <v>45404.878290046297</v>
      </c>
    </row>
    <row r="2829" spans="6:12" x14ac:dyDescent="0.25">
      <c r="F2829" s="11" t="str">
        <f>IF(ISBLANK(D2829),"",(VLOOKUP(D2829,Cardápio!$A$2:$B$16,2,0))*E2829)</f>
        <v/>
      </c>
      <c r="H2829" s="7" t="str">
        <f t="shared" si="176"/>
        <v/>
      </c>
      <c r="I2829" s="7" t="str">
        <f>IF(AND(ISBLANK(D2829),ISBLANK(C2829)),"",((VLOOKUP(D2829,Cardápio!$A$2:$C$16,3,0))*E2829)+IF(B2829="iFood",F2829*0.27,(VLOOKUP(VENDAS!C2829,Bairros!$A$2:$B$90,2,0))))</f>
        <v/>
      </c>
      <c r="J2829" s="7" t="str">
        <f t="shared" si="177"/>
        <v/>
      </c>
      <c r="K2829" s="9">
        <f t="shared" ca="1" si="178"/>
        <v>45404.878290277775</v>
      </c>
      <c r="L2829" s="10">
        <f t="shared" ca="1" si="179"/>
        <v>45404.878290046297</v>
      </c>
    </row>
    <row r="2830" spans="6:12" x14ac:dyDescent="0.25">
      <c r="F2830" s="11" t="str">
        <f>IF(ISBLANK(D2830),"",(VLOOKUP(D2830,Cardápio!$A$2:$B$16,2,0))*E2830)</f>
        <v/>
      </c>
      <c r="H2830" s="7" t="str">
        <f t="shared" si="176"/>
        <v/>
      </c>
      <c r="I2830" s="7" t="str">
        <f>IF(AND(ISBLANK(D2830),ISBLANK(C2830)),"",((VLOOKUP(D2830,Cardápio!$A$2:$C$16,3,0))*E2830)+IF(B2830="iFood",F2830*0.27,(VLOOKUP(VENDAS!C2830,Bairros!$A$2:$B$90,2,0))))</f>
        <v/>
      </c>
      <c r="J2830" s="7" t="str">
        <f t="shared" si="177"/>
        <v/>
      </c>
      <c r="K2830" s="9">
        <f t="shared" ca="1" si="178"/>
        <v>45404.878290162036</v>
      </c>
      <c r="L2830" s="10">
        <f t="shared" ca="1" si="179"/>
        <v>45404.878290046297</v>
      </c>
    </row>
    <row r="2831" spans="6:12" x14ac:dyDescent="0.25">
      <c r="F2831" s="11" t="str">
        <f>IF(ISBLANK(D2831),"",(VLOOKUP(D2831,Cardápio!$A$2:$B$16,2,0))*E2831)</f>
        <v/>
      </c>
      <c r="H2831" s="7" t="str">
        <f t="shared" si="176"/>
        <v/>
      </c>
      <c r="I2831" s="7" t="str">
        <f>IF(AND(ISBLANK(D2831),ISBLANK(C2831)),"",((VLOOKUP(D2831,Cardápio!$A$2:$C$16,3,0))*E2831)+IF(B2831="iFood",F2831*0.27,(VLOOKUP(VENDAS!C2831,Bairros!$A$2:$B$90,2,0))))</f>
        <v/>
      </c>
      <c r="J2831" s="7" t="str">
        <f t="shared" si="177"/>
        <v/>
      </c>
      <c r="K2831" s="9">
        <f t="shared" ca="1" si="178"/>
        <v>45404.878290162036</v>
      </c>
      <c r="L2831" s="10">
        <f t="shared" ca="1" si="179"/>
        <v>45404.878290046297</v>
      </c>
    </row>
    <row r="2832" spans="6:12" x14ac:dyDescent="0.25">
      <c r="F2832" s="11" t="str">
        <f>IF(ISBLANK(D2832),"",(VLOOKUP(D2832,Cardápio!$A$2:$B$16,2,0))*E2832)</f>
        <v/>
      </c>
      <c r="H2832" s="7" t="str">
        <f t="shared" si="176"/>
        <v/>
      </c>
      <c r="I2832" s="7" t="str">
        <f>IF(AND(ISBLANK(D2832),ISBLANK(C2832)),"",((VLOOKUP(D2832,Cardápio!$A$2:$C$16,3,0))*E2832)+IF(B2832="iFood",F2832*0.27,(VLOOKUP(VENDAS!C2832,Bairros!$A$2:$B$90,2,0))))</f>
        <v/>
      </c>
      <c r="J2832" s="7" t="str">
        <f t="shared" si="177"/>
        <v/>
      </c>
      <c r="K2832" s="9">
        <f t="shared" ca="1" si="178"/>
        <v>45404.878290162036</v>
      </c>
      <c r="L2832" s="10">
        <f t="shared" ca="1" si="179"/>
        <v>45404.878290046297</v>
      </c>
    </row>
    <row r="2833" spans="6:12" x14ac:dyDescent="0.25">
      <c r="F2833" s="11" t="str">
        <f>IF(ISBLANK(D2833),"",(VLOOKUP(D2833,Cardápio!$A$2:$B$16,2,0))*E2833)</f>
        <v/>
      </c>
      <c r="H2833" s="7" t="str">
        <f t="shared" si="176"/>
        <v/>
      </c>
      <c r="I2833" s="7" t="str">
        <f>IF(AND(ISBLANK(D2833),ISBLANK(C2833)),"",((VLOOKUP(D2833,Cardápio!$A$2:$C$16,3,0))*E2833)+IF(B2833="iFood",F2833*0.27,(VLOOKUP(VENDAS!C2833,Bairros!$A$2:$B$90,2,0))))</f>
        <v/>
      </c>
      <c r="J2833" s="7" t="str">
        <f t="shared" si="177"/>
        <v/>
      </c>
      <c r="K2833" s="9">
        <f t="shared" ca="1" si="178"/>
        <v>45404.878290277775</v>
      </c>
      <c r="L2833" s="10">
        <f t="shared" ca="1" si="179"/>
        <v>45404.878290046297</v>
      </c>
    </row>
    <row r="2834" spans="6:12" x14ac:dyDescent="0.25">
      <c r="F2834" s="11" t="str">
        <f>IF(ISBLANK(D2834),"",(VLOOKUP(D2834,Cardápio!$A$2:$B$16,2,0))*E2834)</f>
        <v/>
      </c>
      <c r="H2834" s="7" t="str">
        <f t="shared" si="176"/>
        <v/>
      </c>
      <c r="I2834" s="7" t="str">
        <f>IF(AND(ISBLANK(D2834),ISBLANK(C2834)),"",((VLOOKUP(D2834,Cardápio!$A$2:$C$16,3,0))*E2834)+IF(B2834="iFood",F2834*0.27,(VLOOKUP(VENDAS!C2834,Bairros!$A$2:$B$90,2,0))))</f>
        <v/>
      </c>
      <c r="J2834" s="7" t="str">
        <f t="shared" si="177"/>
        <v/>
      </c>
      <c r="K2834" s="9">
        <f t="shared" ca="1" si="178"/>
        <v>45404.878290162036</v>
      </c>
      <c r="L2834" s="10">
        <f t="shared" ca="1" si="179"/>
        <v>45404.878290046297</v>
      </c>
    </row>
    <row r="2835" spans="6:12" x14ac:dyDescent="0.25">
      <c r="F2835" s="11" t="str">
        <f>IF(ISBLANK(D2835),"",(VLOOKUP(D2835,Cardápio!$A$2:$B$16,2,0))*E2835)</f>
        <v/>
      </c>
      <c r="H2835" s="7" t="str">
        <f t="shared" si="176"/>
        <v/>
      </c>
      <c r="I2835" s="7" t="str">
        <f>IF(AND(ISBLANK(D2835),ISBLANK(C2835)),"",((VLOOKUP(D2835,Cardápio!$A$2:$C$16,3,0))*E2835)+IF(B2835="iFood",F2835*0.27,(VLOOKUP(VENDAS!C2835,Bairros!$A$2:$B$90,2,0))))</f>
        <v/>
      </c>
      <c r="J2835" s="7" t="str">
        <f t="shared" si="177"/>
        <v/>
      </c>
      <c r="K2835" s="9">
        <f t="shared" ca="1" si="178"/>
        <v>45404.878290162036</v>
      </c>
      <c r="L2835" s="10">
        <f t="shared" ca="1" si="179"/>
        <v>45404.878290046297</v>
      </c>
    </row>
    <row r="2836" spans="6:12" x14ac:dyDescent="0.25">
      <c r="F2836" s="11" t="str">
        <f>IF(ISBLANK(D2836),"",(VLOOKUP(D2836,Cardápio!$A$2:$B$16,2,0))*E2836)</f>
        <v/>
      </c>
      <c r="H2836" s="7" t="str">
        <f t="shared" si="176"/>
        <v/>
      </c>
      <c r="I2836" s="7" t="str">
        <f>IF(AND(ISBLANK(D2836),ISBLANK(C2836)),"",((VLOOKUP(D2836,Cardápio!$A$2:$C$16,3,0))*E2836)+IF(B2836="iFood",F2836*0.27,(VLOOKUP(VENDAS!C2836,Bairros!$A$2:$B$90,2,0))))</f>
        <v/>
      </c>
      <c r="J2836" s="7" t="str">
        <f t="shared" si="177"/>
        <v/>
      </c>
      <c r="K2836" s="9">
        <f t="shared" ca="1" si="178"/>
        <v>45404.878290162036</v>
      </c>
      <c r="L2836" s="10">
        <f t="shared" ca="1" si="179"/>
        <v>45404.878290046297</v>
      </c>
    </row>
    <row r="2837" spans="6:12" x14ac:dyDescent="0.25">
      <c r="F2837" s="11" t="str">
        <f>IF(ISBLANK(D2837),"",(VLOOKUP(D2837,Cardápio!$A$2:$B$16,2,0))*E2837)</f>
        <v/>
      </c>
      <c r="H2837" s="7" t="str">
        <f t="shared" si="176"/>
        <v/>
      </c>
      <c r="I2837" s="7" t="str">
        <f>IF(AND(ISBLANK(D2837),ISBLANK(C2837)),"",((VLOOKUP(D2837,Cardápio!$A$2:$C$16,3,0))*E2837)+IF(B2837="iFood",F2837*0.27,(VLOOKUP(VENDAS!C2837,Bairros!$A$2:$B$90,2,0))))</f>
        <v/>
      </c>
      <c r="J2837" s="7" t="str">
        <f t="shared" si="177"/>
        <v/>
      </c>
      <c r="K2837" s="9">
        <f t="shared" ca="1" si="178"/>
        <v>45404.878290277775</v>
      </c>
      <c r="L2837" s="10">
        <f t="shared" ca="1" si="179"/>
        <v>45404.878290046297</v>
      </c>
    </row>
    <row r="2838" spans="6:12" x14ac:dyDescent="0.25">
      <c r="F2838" s="11" t="str">
        <f>IF(ISBLANK(D2838),"",(VLOOKUP(D2838,Cardápio!$A$2:$B$16,2,0))*E2838)</f>
        <v/>
      </c>
      <c r="H2838" s="7" t="str">
        <f t="shared" si="176"/>
        <v/>
      </c>
      <c r="I2838" s="7" t="str">
        <f>IF(AND(ISBLANK(D2838),ISBLANK(C2838)),"",((VLOOKUP(D2838,Cardápio!$A$2:$C$16,3,0))*E2838)+IF(B2838="iFood",F2838*0.27,(VLOOKUP(VENDAS!C2838,Bairros!$A$2:$B$90,2,0))))</f>
        <v/>
      </c>
      <c r="J2838" s="7" t="str">
        <f t="shared" si="177"/>
        <v/>
      </c>
      <c r="K2838" s="9">
        <f t="shared" ca="1" si="178"/>
        <v>45404.878290162036</v>
      </c>
      <c r="L2838" s="10">
        <f t="shared" ca="1" si="179"/>
        <v>45404.878290046297</v>
      </c>
    </row>
    <row r="2839" spans="6:12" x14ac:dyDescent="0.25">
      <c r="F2839" s="11" t="str">
        <f>IF(ISBLANK(D2839),"",(VLOOKUP(D2839,Cardápio!$A$2:$B$16,2,0))*E2839)</f>
        <v/>
      </c>
      <c r="H2839" s="7" t="str">
        <f t="shared" si="176"/>
        <v/>
      </c>
      <c r="I2839" s="7" t="str">
        <f>IF(AND(ISBLANK(D2839),ISBLANK(C2839)),"",((VLOOKUP(D2839,Cardápio!$A$2:$C$16,3,0))*E2839)+IF(B2839="iFood",F2839*0.27,(VLOOKUP(VENDAS!C2839,Bairros!$A$2:$B$90,2,0))))</f>
        <v/>
      </c>
      <c r="J2839" s="7" t="str">
        <f t="shared" si="177"/>
        <v/>
      </c>
      <c r="K2839" s="9">
        <f t="shared" ca="1" si="178"/>
        <v>45404.878290162036</v>
      </c>
      <c r="L2839" s="10">
        <f t="shared" ca="1" si="179"/>
        <v>45404.878290046297</v>
      </c>
    </row>
    <row r="2840" spans="6:12" x14ac:dyDescent="0.25">
      <c r="F2840" s="11" t="str">
        <f>IF(ISBLANK(D2840),"",(VLOOKUP(D2840,Cardápio!$A$2:$B$16,2,0))*E2840)</f>
        <v/>
      </c>
      <c r="H2840" s="7" t="str">
        <f t="shared" si="176"/>
        <v/>
      </c>
      <c r="I2840" s="7" t="str">
        <f>IF(AND(ISBLANK(D2840),ISBLANK(C2840)),"",((VLOOKUP(D2840,Cardápio!$A$2:$C$16,3,0))*E2840)+IF(B2840="iFood",F2840*0.27,(VLOOKUP(VENDAS!C2840,Bairros!$A$2:$B$90,2,0))))</f>
        <v/>
      </c>
      <c r="J2840" s="7" t="str">
        <f t="shared" si="177"/>
        <v/>
      </c>
      <c r="K2840" s="9">
        <f t="shared" ca="1" si="178"/>
        <v>45404.878290162036</v>
      </c>
      <c r="L2840" s="10">
        <f t="shared" ca="1" si="179"/>
        <v>45404.878290046297</v>
      </c>
    </row>
    <row r="2841" spans="6:12" x14ac:dyDescent="0.25">
      <c r="F2841" s="11" t="str">
        <f>IF(ISBLANK(D2841),"",(VLOOKUP(D2841,Cardápio!$A$2:$B$16,2,0))*E2841)</f>
        <v/>
      </c>
      <c r="H2841" s="7" t="str">
        <f t="shared" si="176"/>
        <v/>
      </c>
      <c r="I2841" s="7" t="str">
        <f>IF(AND(ISBLANK(D2841),ISBLANK(C2841)),"",((VLOOKUP(D2841,Cardápio!$A$2:$C$16,3,0))*E2841)+IF(B2841="iFood",F2841*0.27,(VLOOKUP(VENDAS!C2841,Bairros!$A$2:$B$90,2,0))))</f>
        <v/>
      </c>
      <c r="J2841" s="7" t="str">
        <f t="shared" si="177"/>
        <v/>
      </c>
      <c r="K2841" s="9">
        <f t="shared" ca="1" si="178"/>
        <v>45404.878290277775</v>
      </c>
      <c r="L2841" s="10">
        <f t="shared" ca="1" si="179"/>
        <v>45404.878290046297</v>
      </c>
    </row>
    <row r="2842" spans="6:12" x14ac:dyDescent="0.25">
      <c r="F2842" s="11" t="str">
        <f>IF(ISBLANK(D2842),"",(VLOOKUP(D2842,Cardápio!$A$2:$B$16,2,0))*E2842)</f>
        <v/>
      </c>
      <c r="H2842" s="7" t="str">
        <f t="shared" si="176"/>
        <v/>
      </c>
      <c r="I2842" s="7" t="str">
        <f>IF(AND(ISBLANK(D2842),ISBLANK(C2842)),"",((VLOOKUP(D2842,Cardápio!$A$2:$C$16,3,0))*E2842)+IF(B2842="iFood",F2842*0.27,(VLOOKUP(VENDAS!C2842,Bairros!$A$2:$B$90,2,0))))</f>
        <v/>
      </c>
      <c r="J2842" s="7" t="str">
        <f t="shared" si="177"/>
        <v/>
      </c>
      <c r="K2842" s="9">
        <f t="shared" ca="1" si="178"/>
        <v>45404.878290162036</v>
      </c>
      <c r="L2842" s="10">
        <f t="shared" ca="1" si="179"/>
        <v>45404.878290046297</v>
      </c>
    </row>
    <row r="2843" spans="6:12" x14ac:dyDescent="0.25">
      <c r="F2843" s="11" t="str">
        <f>IF(ISBLANK(D2843),"",(VLOOKUP(D2843,Cardápio!$A$2:$B$16,2,0))*E2843)</f>
        <v/>
      </c>
      <c r="H2843" s="7" t="str">
        <f t="shared" si="176"/>
        <v/>
      </c>
      <c r="I2843" s="7" t="str">
        <f>IF(AND(ISBLANK(D2843),ISBLANK(C2843)),"",((VLOOKUP(D2843,Cardápio!$A$2:$C$16,3,0))*E2843)+IF(B2843="iFood",F2843*0.27,(VLOOKUP(VENDAS!C2843,Bairros!$A$2:$B$90,2,0))))</f>
        <v/>
      </c>
      <c r="J2843" s="7" t="str">
        <f t="shared" si="177"/>
        <v/>
      </c>
      <c r="K2843" s="9">
        <f t="shared" ca="1" si="178"/>
        <v>45404.878290162036</v>
      </c>
      <c r="L2843" s="10">
        <f t="shared" ca="1" si="179"/>
        <v>45404.878290046297</v>
      </c>
    </row>
    <row r="2844" spans="6:12" x14ac:dyDescent="0.25">
      <c r="F2844" s="11" t="str">
        <f>IF(ISBLANK(D2844),"",(VLOOKUP(D2844,Cardápio!$A$2:$B$16,2,0))*E2844)</f>
        <v/>
      </c>
      <c r="H2844" s="7" t="str">
        <f t="shared" si="176"/>
        <v/>
      </c>
      <c r="I2844" s="7" t="str">
        <f>IF(AND(ISBLANK(D2844),ISBLANK(C2844)),"",((VLOOKUP(D2844,Cardápio!$A$2:$C$16,3,0))*E2844)+IF(B2844="iFood",F2844*0.27,(VLOOKUP(VENDAS!C2844,Bairros!$A$2:$B$90,2,0))))</f>
        <v/>
      </c>
      <c r="J2844" s="7" t="str">
        <f t="shared" si="177"/>
        <v/>
      </c>
      <c r="K2844" s="9">
        <f t="shared" ca="1" si="178"/>
        <v>45404.878290162036</v>
      </c>
      <c r="L2844" s="10">
        <f t="shared" ca="1" si="179"/>
        <v>45404.878290046297</v>
      </c>
    </row>
    <row r="2845" spans="6:12" x14ac:dyDescent="0.25">
      <c r="F2845" s="11" t="str">
        <f>IF(ISBLANK(D2845),"",(VLOOKUP(D2845,Cardápio!$A$2:$B$16,2,0))*E2845)</f>
        <v/>
      </c>
      <c r="H2845" s="7" t="str">
        <f t="shared" si="176"/>
        <v/>
      </c>
      <c r="I2845" s="7" t="str">
        <f>IF(AND(ISBLANK(D2845),ISBLANK(C2845)),"",((VLOOKUP(D2845,Cardápio!$A$2:$C$16,3,0))*E2845)+IF(B2845="iFood",F2845*0.27,(VLOOKUP(VENDAS!C2845,Bairros!$A$2:$B$90,2,0))))</f>
        <v/>
      </c>
      <c r="J2845" s="7" t="str">
        <f t="shared" si="177"/>
        <v/>
      </c>
      <c r="K2845" s="9">
        <f t="shared" ca="1" si="178"/>
        <v>45404.878290277775</v>
      </c>
      <c r="L2845" s="10">
        <f t="shared" ca="1" si="179"/>
        <v>45404.878290046297</v>
      </c>
    </row>
    <row r="2846" spans="6:12" x14ac:dyDescent="0.25">
      <c r="F2846" s="11" t="str">
        <f>IF(ISBLANK(D2846),"",(VLOOKUP(D2846,Cardápio!$A$2:$B$16,2,0))*E2846)</f>
        <v/>
      </c>
      <c r="H2846" s="7" t="str">
        <f t="shared" si="176"/>
        <v/>
      </c>
      <c r="I2846" s="7" t="str">
        <f>IF(AND(ISBLANK(D2846),ISBLANK(C2846)),"",((VLOOKUP(D2846,Cardápio!$A$2:$C$16,3,0))*E2846)+IF(B2846="iFood",F2846*0.27,(VLOOKUP(VENDAS!C2846,Bairros!$A$2:$B$90,2,0))))</f>
        <v/>
      </c>
      <c r="J2846" s="7" t="str">
        <f t="shared" si="177"/>
        <v/>
      </c>
      <c r="K2846" s="9">
        <f t="shared" ca="1" si="178"/>
        <v>45404.878290162036</v>
      </c>
      <c r="L2846" s="10">
        <f t="shared" ca="1" si="179"/>
        <v>45404.878290046297</v>
      </c>
    </row>
    <row r="2847" spans="6:12" x14ac:dyDescent="0.25">
      <c r="F2847" s="11" t="str">
        <f>IF(ISBLANK(D2847),"",(VLOOKUP(D2847,Cardápio!$A$2:$B$16,2,0))*E2847)</f>
        <v/>
      </c>
      <c r="H2847" s="7" t="str">
        <f t="shared" si="176"/>
        <v/>
      </c>
      <c r="I2847" s="7" t="str">
        <f>IF(AND(ISBLANK(D2847),ISBLANK(C2847)),"",((VLOOKUP(D2847,Cardápio!$A$2:$C$16,3,0))*E2847)+IF(B2847="iFood",F2847*0.27,(VLOOKUP(VENDAS!C2847,Bairros!$A$2:$B$90,2,0))))</f>
        <v/>
      </c>
      <c r="J2847" s="7" t="str">
        <f t="shared" si="177"/>
        <v/>
      </c>
      <c r="K2847" s="9">
        <f t="shared" ca="1" si="178"/>
        <v>45404.878290162036</v>
      </c>
      <c r="L2847" s="10">
        <f t="shared" ca="1" si="179"/>
        <v>45404.878290046297</v>
      </c>
    </row>
    <row r="2848" spans="6:12" x14ac:dyDescent="0.25">
      <c r="F2848" s="11" t="str">
        <f>IF(ISBLANK(D2848),"",(VLOOKUP(D2848,Cardápio!$A$2:$B$16,2,0))*E2848)</f>
        <v/>
      </c>
      <c r="H2848" s="7" t="str">
        <f t="shared" si="176"/>
        <v/>
      </c>
      <c r="I2848" s="7" t="str">
        <f>IF(AND(ISBLANK(D2848),ISBLANK(C2848)),"",((VLOOKUP(D2848,Cardápio!$A$2:$C$16,3,0))*E2848)+IF(B2848="iFood",F2848*0.27,(VLOOKUP(VENDAS!C2848,Bairros!$A$2:$B$90,2,0))))</f>
        <v/>
      </c>
      <c r="J2848" s="7" t="str">
        <f t="shared" si="177"/>
        <v/>
      </c>
      <c r="K2848" s="9">
        <f t="shared" ca="1" si="178"/>
        <v>45404.878290162036</v>
      </c>
      <c r="L2848" s="10">
        <f t="shared" ca="1" si="179"/>
        <v>45404.878290046297</v>
      </c>
    </row>
    <row r="2849" spans="6:12" x14ac:dyDescent="0.25">
      <c r="F2849" s="11" t="str">
        <f>IF(ISBLANK(D2849),"",(VLOOKUP(D2849,Cardápio!$A$2:$B$16,2,0))*E2849)</f>
        <v/>
      </c>
      <c r="H2849" s="7" t="str">
        <f t="shared" si="176"/>
        <v/>
      </c>
      <c r="I2849" s="7" t="str">
        <f>IF(AND(ISBLANK(D2849),ISBLANK(C2849)),"",((VLOOKUP(D2849,Cardápio!$A$2:$C$16,3,0))*E2849)+IF(B2849="iFood",F2849*0.27,(VLOOKUP(VENDAS!C2849,Bairros!$A$2:$B$90,2,0))))</f>
        <v/>
      </c>
      <c r="J2849" s="7" t="str">
        <f t="shared" si="177"/>
        <v/>
      </c>
      <c r="K2849" s="9">
        <f t="shared" ca="1" si="178"/>
        <v>45404.878290277775</v>
      </c>
      <c r="L2849" s="10">
        <f t="shared" ca="1" si="179"/>
        <v>45404.878290046297</v>
      </c>
    </row>
    <row r="2850" spans="6:12" x14ac:dyDescent="0.25">
      <c r="F2850" s="11" t="str">
        <f>IF(ISBLANK(D2850),"",(VLOOKUP(D2850,Cardápio!$A$2:$B$16,2,0))*E2850)</f>
        <v/>
      </c>
      <c r="H2850" s="7" t="str">
        <f t="shared" si="176"/>
        <v/>
      </c>
      <c r="I2850" s="7" t="str">
        <f>IF(AND(ISBLANK(D2850),ISBLANK(C2850)),"",((VLOOKUP(D2850,Cardápio!$A$2:$C$16,3,0))*E2850)+IF(B2850="iFood",F2850*0.27,(VLOOKUP(VENDAS!C2850,Bairros!$A$2:$B$90,2,0))))</f>
        <v/>
      </c>
      <c r="J2850" s="7" t="str">
        <f t="shared" si="177"/>
        <v/>
      </c>
      <c r="K2850" s="9">
        <f t="shared" ca="1" si="178"/>
        <v>45404.878290162036</v>
      </c>
      <c r="L2850" s="10">
        <f t="shared" ca="1" si="179"/>
        <v>45404.878290046297</v>
      </c>
    </row>
    <row r="2851" spans="6:12" x14ac:dyDescent="0.25">
      <c r="F2851" s="11" t="str">
        <f>IF(ISBLANK(D2851),"",(VLOOKUP(D2851,Cardápio!$A$2:$B$16,2,0))*E2851)</f>
        <v/>
      </c>
      <c r="H2851" s="7" t="str">
        <f t="shared" si="176"/>
        <v/>
      </c>
      <c r="I2851" s="7" t="str">
        <f>IF(AND(ISBLANK(D2851),ISBLANK(C2851)),"",((VLOOKUP(D2851,Cardápio!$A$2:$C$16,3,0))*E2851)+IF(B2851="iFood",F2851*0.27,(VLOOKUP(VENDAS!C2851,Bairros!$A$2:$B$90,2,0))))</f>
        <v/>
      </c>
      <c r="J2851" s="7" t="str">
        <f t="shared" si="177"/>
        <v/>
      </c>
      <c r="K2851" s="9">
        <f t="shared" ca="1" si="178"/>
        <v>45404.878290162036</v>
      </c>
      <c r="L2851" s="10">
        <f t="shared" ca="1" si="179"/>
        <v>45404.878290046297</v>
      </c>
    </row>
    <row r="2852" spans="6:12" x14ac:dyDescent="0.25">
      <c r="F2852" s="11" t="str">
        <f>IF(ISBLANK(D2852),"",(VLOOKUP(D2852,Cardápio!$A$2:$B$16,2,0))*E2852)</f>
        <v/>
      </c>
      <c r="H2852" s="7" t="str">
        <f t="shared" si="176"/>
        <v/>
      </c>
      <c r="I2852" s="7" t="str">
        <f>IF(AND(ISBLANK(D2852),ISBLANK(C2852)),"",((VLOOKUP(D2852,Cardápio!$A$2:$C$16,3,0))*E2852)+IF(B2852="iFood",F2852*0.27,(VLOOKUP(VENDAS!C2852,Bairros!$A$2:$B$90,2,0))))</f>
        <v/>
      </c>
      <c r="J2852" s="7" t="str">
        <f t="shared" si="177"/>
        <v/>
      </c>
      <c r="K2852" s="9">
        <f t="shared" ca="1" si="178"/>
        <v>45404.878290162036</v>
      </c>
      <c r="L2852" s="10">
        <f t="shared" ca="1" si="179"/>
        <v>45404.878290046297</v>
      </c>
    </row>
    <row r="2853" spans="6:12" x14ac:dyDescent="0.25">
      <c r="F2853" s="11" t="str">
        <f>IF(ISBLANK(D2853),"",(VLOOKUP(D2853,Cardápio!$A$2:$B$16,2,0))*E2853)</f>
        <v/>
      </c>
      <c r="H2853" s="7" t="str">
        <f t="shared" si="176"/>
        <v/>
      </c>
      <c r="I2853" s="7" t="str">
        <f>IF(AND(ISBLANK(D2853),ISBLANK(C2853)),"",((VLOOKUP(D2853,Cardápio!$A$2:$C$16,3,0))*E2853)+IF(B2853="iFood",F2853*0.27,(VLOOKUP(VENDAS!C2853,Bairros!$A$2:$B$90,2,0))))</f>
        <v/>
      </c>
      <c r="J2853" s="7" t="str">
        <f t="shared" si="177"/>
        <v/>
      </c>
      <c r="K2853" s="9">
        <f t="shared" ca="1" si="178"/>
        <v>45404.878290277775</v>
      </c>
      <c r="L2853" s="10">
        <f t="shared" ca="1" si="179"/>
        <v>45404.878290046297</v>
      </c>
    </row>
    <row r="2854" spans="6:12" x14ac:dyDescent="0.25">
      <c r="F2854" s="11" t="str">
        <f>IF(ISBLANK(D2854),"",(VLOOKUP(D2854,Cardápio!$A$2:$B$16,2,0))*E2854)</f>
        <v/>
      </c>
      <c r="H2854" s="7" t="str">
        <f t="shared" si="176"/>
        <v/>
      </c>
      <c r="I2854" s="7" t="str">
        <f>IF(AND(ISBLANK(D2854),ISBLANK(C2854)),"",((VLOOKUP(D2854,Cardápio!$A$2:$C$16,3,0))*E2854)+IF(B2854="iFood",F2854*0.27,(VLOOKUP(VENDAS!C2854,Bairros!$A$2:$B$90,2,0))))</f>
        <v/>
      </c>
      <c r="J2854" s="7" t="str">
        <f t="shared" si="177"/>
        <v/>
      </c>
      <c r="K2854" s="9">
        <f t="shared" ca="1" si="178"/>
        <v>45404.878290162036</v>
      </c>
      <c r="L2854" s="10">
        <f t="shared" ca="1" si="179"/>
        <v>45404.878290046297</v>
      </c>
    </row>
    <row r="2855" spans="6:12" x14ac:dyDescent="0.25">
      <c r="F2855" s="11" t="str">
        <f>IF(ISBLANK(D2855),"",(VLOOKUP(D2855,Cardápio!$A$2:$B$16,2,0))*E2855)</f>
        <v/>
      </c>
      <c r="H2855" s="7" t="str">
        <f t="shared" si="176"/>
        <v/>
      </c>
      <c r="I2855" s="7" t="str">
        <f>IF(AND(ISBLANK(D2855),ISBLANK(C2855)),"",((VLOOKUP(D2855,Cardápio!$A$2:$C$16,3,0))*E2855)+IF(B2855="iFood",F2855*0.27,(VLOOKUP(VENDAS!C2855,Bairros!$A$2:$B$90,2,0))))</f>
        <v/>
      </c>
      <c r="J2855" s="7" t="str">
        <f t="shared" si="177"/>
        <v/>
      </c>
      <c r="K2855" s="9">
        <f t="shared" ca="1" si="178"/>
        <v>45404.878290162036</v>
      </c>
      <c r="L2855" s="10">
        <f t="shared" ca="1" si="179"/>
        <v>45404.878290046297</v>
      </c>
    </row>
    <row r="2856" spans="6:12" x14ac:dyDescent="0.25">
      <c r="F2856" s="11" t="str">
        <f>IF(ISBLANK(D2856),"",(VLOOKUP(D2856,Cardápio!$A$2:$B$16,2,0))*E2856)</f>
        <v/>
      </c>
      <c r="H2856" s="7" t="str">
        <f t="shared" si="176"/>
        <v/>
      </c>
      <c r="I2856" s="7" t="str">
        <f>IF(AND(ISBLANK(D2856),ISBLANK(C2856)),"",((VLOOKUP(D2856,Cardápio!$A$2:$C$16,3,0))*E2856)+IF(B2856="iFood",F2856*0.27,(VLOOKUP(VENDAS!C2856,Bairros!$A$2:$B$90,2,0))))</f>
        <v/>
      </c>
      <c r="J2856" s="7" t="str">
        <f t="shared" si="177"/>
        <v/>
      </c>
      <c r="K2856" s="9">
        <f t="shared" ca="1" si="178"/>
        <v>45404.878290162036</v>
      </c>
      <c r="L2856" s="10">
        <f t="shared" ca="1" si="179"/>
        <v>45404.878290046297</v>
      </c>
    </row>
    <row r="2857" spans="6:12" x14ac:dyDescent="0.25">
      <c r="F2857" s="11" t="str">
        <f>IF(ISBLANK(D2857),"",(VLOOKUP(D2857,Cardápio!$A$2:$B$16,2,0))*E2857)</f>
        <v/>
      </c>
      <c r="H2857" s="7" t="str">
        <f t="shared" si="176"/>
        <v/>
      </c>
      <c r="I2857" s="7" t="str">
        <f>IF(AND(ISBLANK(D2857),ISBLANK(C2857)),"",((VLOOKUP(D2857,Cardápio!$A$2:$C$16,3,0))*E2857)+IF(B2857="iFood",F2857*0.27,(VLOOKUP(VENDAS!C2857,Bairros!$A$2:$B$90,2,0))))</f>
        <v/>
      </c>
      <c r="J2857" s="7" t="str">
        <f t="shared" si="177"/>
        <v/>
      </c>
      <c r="K2857" s="9">
        <f t="shared" ca="1" si="178"/>
        <v>45404.878290277775</v>
      </c>
      <c r="L2857" s="10">
        <f t="shared" ca="1" si="179"/>
        <v>45404.878290046297</v>
      </c>
    </row>
    <row r="2858" spans="6:12" x14ac:dyDescent="0.25">
      <c r="F2858" s="11" t="str">
        <f>IF(ISBLANK(D2858),"",(VLOOKUP(D2858,Cardápio!$A$2:$B$16,2,0))*E2858)</f>
        <v/>
      </c>
      <c r="H2858" s="7" t="str">
        <f t="shared" si="176"/>
        <v/>
      </c>
      <c r="I2858" s="7" t="str">
        <f>IF(AND(ISBLANK(D2858),ISBLANK(C2858)),"",((VLOOKUP(D2858,Cardápio!$A$2:$C$16,3,0))*E2858)+IF(B2858="iFood",F2858*0.27,(VLOOKUP(VENDAS!C2858,Bairros!$A$2:$B$90,2,0))))</f>
        <v/>
      </c>
      <c r="J2858" s="7" t="str">
        <f t="shared" si="177"/>
        <v/>
      </c>
      <c r="K2858" s="9">
        <f t="shared" ca="1" si="178"/>
        <v>45404.878290162036</v>
      </c>
      <c r="L2858" s="10">
        <f t="shared" ca="1" si="179"/>
        <v>45404.878290046297</v>
      </c>
    </row>
    <row r="2859" spans="6:12" x14ac:dyDescent="0.25">
      <c r="F2859" s="11" t="str">
        <f>IF(ISBLANK(D2859),"",(VLOOKUP(D2859,Cardápio!$A$2:$B$16,2,0))*E2859)</f>
        <v/>
      </c>
      <c r="H2859" s="7" t="str">
        <f t="shared" si="176"/>
        <v/>
      </c>
      <c r="I2859" s="7" t="str">
        <f>IF(AND(ISBLANK(D2859),ISBLANK(C2859)),"",((VLOOKUP(D2859,Cardápio!$A$2:$C$16,3,0))*E2859)+IF(B2859="iFood",F2859*0.27,(VLOOKUP(VENDAS!C2859,Bairros!$A$2:$B$90,2,0))))</f>
        <v/>
      </c>
      <c r="J2859" s="7" t="str">
        <f t="shared" si="177"/>
        <v/>
      </c>
      <c r="K2859" s="9">
        <f t="shared" ca="1" si="178"/>
        <v>45404.878290162036</v>
      </c>
      <c r="L2859" s="10">
        <f t="shared" ca="1" si="179"/>
        <v>45404.878290046297</v>
      </c>
    </row>
    <row r="2860" spans="6:12" x14ac:dyDescent="0.25">
      <c r="F2860" s="11" t="str">
        <f>IF(ISBLANK(D2860),"",(VLOOKUP(D2860,Cardápio!$A$2:$B$16,2,0))*E2860)</f>
        <v/>
      </c>
      <c r="H2860" s="7" t="str">
        <f t="shared" si="176"/>
        <v/>
      </c>
      <c r="I2860" s="7" t="str">
        <f>IF(AND(ISBLANK(D2860),ISBLANK(C2860)),"",((VLOOKUP(D2860,Cardápio!$A$2:$C$16,3,0))*E2860)+IF(B2860="iFood",F2860*0.27,(VLOOKUP(VENDAS!C2860,Bairros!$A$2:$B$90,2,0))))</f>
        <v/>
      </c>
      <c r="J2860" s="7" t="str">
        <f t="shared" si="177"/>
        <v/>
      </c>
      <c r="K2860" s="9">
        <f t="shared" ca="1" si="178"/>
        <v>45404.878290162036</v>
      </c>
      <c r="L2860" s="10">
        <f t="shared" ca="1" si="179"/>
        <v>45404.878290046297</v>
      </c>
    </row>
    <row r="2861" spans="6:12" x14ac:dyDescent="0.25">
      <c r="F2861" s="11" t="str">
        <f>IF(ISBLANK(D2861),"",(VLOOKUP(D2861,Cardápio!$A$2:$B$16,2,0))*E2861)</f>
        <v/>
      </c>
      <c r="H2861" s="7" t="str">
        <f t="shared" si="176"/>
        <v/>
      </c>
      <c r="I2861" s="7" t="str">
        <f>IF(AND(ISBLANK(D2861),ISBLANK(C2861)),"",((VLOOKUP(D2861,Cardápio!$A$2:$C$16,3,0))*E2861)+IF(B2861="iFood",F2861*0.27,(VLOOKUP(VENDAS!C2861,Bairros!$A$2:$B$90,2,0))))</f>
        <v/>
      </c>
      <c r="J2861" s="7" t="str">
        <f t="shared" si="177"/>
        <v/>
      </c>
      <c r="K2861" s="9">
        <f t="shared" ca="1" si="178"/>
        <v>45404.878290277775</v>
      </c>
      <c r="L2861" s="10">
        <f t="shared" ca="1" si="179"/>
        <v>45404.878290046297</v>
      </c>
    </row>
    <row r="2862" spans="6:12" x14ac:dyDescent="0.25">
      <c r="F2862" s="11" t="str">
        <f>IF(ISBLANK(D2862),"",(VLOOKUP(D2862,Cardápio!$A$2:$B$16,2,0))*E2862)</f>
        <v/>
      </c>
      <c r="H2862" s="7" t="str">
        <f t="shared" si="176"/>
        <v/>
      </c>
      <c r="I2862" s="7" t="str">
        <f>IF(AND(ISBLANK(D2862),ISBLANK(C2862)),"",((VLOOKUP(D2862,Cardápio!$A$2:$C$16,3,0))*E2862)+IF(B2862="iFood",F2862*0.27,(VLOOKUP(VENDAS!C2862,Bairros!$A$2:$B$90,2,0))))</f>
        <v/>
      </c>
      <c r="J2862" s="7" t="str">
        <f t="shared" si="177"/>
        <v/>
      </c>
      <c r="K2862" s="9">
        <f t="shared" ca="1" si="178"/>
        <v>45404.878290162036</v>
      </c>
      <c r="L2862" s="10">
        <f t="shared" ca="1" si="179"/>
        <v>45404.878290046297</v>
      </c>
    </row>
    <row r="2863" spans="6:12" x14ac:dyDescent="0.25">
      <c r="F2863" s="11" t="str">
        <f>IF(ISBLANK(D2863),"",(VLOOKUP(D2863,Cardápio!$A$2:$B$16,2,0))*E2863)</f>
        <v/>
      </c>
      <c r="H2863" s="7" t="str">
        <f t="shared" si="176"/>
        <v/>
      </c>
      <c r="I2863" s="7" t="str">
        <f>IF(AND(ISBLANK(D2863),ISBLANK(C2863)),"",((VLOOKUP(D2863,Cardápio!$A$2:$C$16,3,0))*E2863)+IF(B2863="iFood",F2863*0.27,(VLOOKUP(VENDAS!C2863,Bairros!$A$2:$B$90,2,0))))</f>
        <v/>
      </c>
      <c r="J2863" s="7" t="str">
        <f t="shared" si="177"/>
        <v/>
      </c>
      <c r="K2863" s="9">
        <f t="shared" ca="1" si="178"/>
        <v>45404.878290162036</v>
      </c>
      <c r="L2863" s="10">
        <f t="shared" ca="1" si="179"/>
        <v>45404.878290046297</v>
      </c>
    </row>
    <row r="2864" spans="6:12" x14ac:dyDescent="0.25">
      <c r="F2864" s="11" t="str">
        <f>IF(ISBLANK(D2864),"",(VLOOKUP(D2864,Cardápio!$A$2:$B$16,2,0))*E2864)</f>
        <v/>
      </c>
      <c r="H2864" s="7" t="str">
        <f t="shared" si="176"/>
        <v/>
      </c>
      <c r="I2864" s="7" t="str">
        <f>IF(AND(ISBLANK(D2864),ISBLANK(C2864)),"",((VLOOKUP(D2864,Cardápio!$A$2:$C$16,3,0))*E2864)+IF(B2864="iFood",F2864*0.27,(VLOOKUP(VENDAS!C2864,Bairros!$A$2:$B$90,2,0))))</f>
        <v/>
      </c>
      <c r="J2864" s="7" t="str">
        <f t="shared" si="177"/>
        <v/>
      </c>
      <c r="K2864" s="9">
        <f t="shared" ca="1" si="178"/>
        <v>45404.878290162036</v>
      </c>
      <c r="L2864" s="10">
        <f t="shared" ca="1" si="179"/>
        <v>45404.878290046297</v>
      </c>
    </row>
    <row r="2865" spans="6:12" x14ac:dyDescent="0.25">
      <c r="F2865" s="11" t="str">
        <f>IF(ISBLANK(D2865),"",(VLOOKUP(D2865,Cardápio!$A$2:$B$16,2,0))*E2865)</f>
        <v/>
      </c>
      <c r="H2865" s="7" t="str">
        <f t="shared" si="176"/>
        <v/>
      </c>
      <c r="I2865" s="7" t="str">
        <f>IF(AND(ISBLANK(D2865),ISBLANK(C2865)),"",((VLOOKUP(D2865,Cardápio!$A$2:$C$16,3,0))*E2865)+IF(B2865="iFood",F2865*0.27,(VLOOKUP(VENDAS!C2865,Bairros!$A$2:$B$90,2,0))))</f>
        <v/>
      </c>
      <c r="J2865" s="7" t="str">
        <f t="shared" si="177"/>
        <v/>
      </c>
      <c r="K2865" s="9">
        <f t="shared" ca="1" si="178"/>
        <v>45404.878290277775</v>
      </c>
      <c r="L2865" s="10">
        <f t="shared" ca="1" si="179"/>
        <v>45404.878290046297</v>
      </c>
    </row>
    <row r="2866" spans="6:12" x14ac:dyDescent="0.25">
      <c r="F2866" s="11" t="str">
        <f>IF(ISBLANK(D2866),"",(VLOOKUP(D2866,Cardápio!$A$2:$B$16,2,0))*E2866)</f>
        <v/>
      </c>
      <c r="H2866" s="7" t="str">
        <f t="shared" si="176"/>
        <v/>
      </c>
      <c r="I2866" s="7" t="str">
        <f>IF(AND(ISBLANK(D2866),ISBLANK(C2866)),"",((VLOOKUP(D2866,Cardápio!$A$2:$C$16,3,0))*E2866)+IF(B2866="iFood",F2866*0.27,(VLOOKUP(VENDAS!C2866,Bairros!$A$2:$B$90,2,0))))</f>
        <v/>
      </c>
      <c r="J2866" s="7" t="str">
        <f t="shared" si="177"/>
        <v/>
      </c>
      <c r="K2866" s="9">
        <f t="shared" ca="1" si="178"/>
        <v>45404.878290162036</v>
      </c>
      <c r="L2866" s="10">
        <f t="shared" ca="1" si="179"/>
        <v>45404.878290046297</v>
      </c>
    </row>
    <row r="2867" spans="6:12" x14ac:dyDescent="0.25">
      <c r="F2867" s="11" t="str">
        <f>IF(ISBLANK(D2867),"",(VLOOKUP(D2867,Cardápio!$A$2:$B$16,2,0))*E2867)</f>
        <v/>
      </c>
      <c r="H2867" s="7" t="str">
        <f t="shared" si="176"/>
        <v/>
      </c>
      <c r="I2867" s="7" t="str">
        <f>IF(AND(ISBLANK(D2867),ISBLANK(C2867)),"",((VLOOKUP(D2867,Cardápio!$A$2:$C$16,3,0))*E2867)+IF(B2867="iFood",F2867*0.27,(VLOOKUP(VENDAS!C2867,Bairros!$A$2:$B$90,2,0))))</f>
        <v/>
      </c>
      <c r="J2867" s="7" t="str">
        <f t="shared" si="177"/>
        <v/>
      </c>
      <c r="K2867" s="9">
        <f t="shared" ca="1" si="178"/>
        <v>45404.878290162036</v>
      </c>
      <c r="L2867" s="10">
        <f t="shared" ca="1" si="179"/>
        <v>45404.878290046297</v>
      </c>
    </row>
    <row r="2868" spans="6:12" x14ac:dyDescent="0.25">
      <c r="F2868" s="11" t="str">
        <f>IF(ISBLANK(D2868),"",(VLOOKUP(D2868,Cardápio!$A$2:$B$16,2,0))*E2868)</f>
        <v/>
      </c>
      <c r="H2868" s="7" t="str">
        <f t="shared" si="176"/>
        <v/>
      </c>
      <c r="I2868" s="7" t="str">
        <f>IF(AND(ISBLANK(D2868),ISBLANK(C2868)),"",((VLOOKUP(D2868,Cardápio!$A$2:$C$16,3,0))*E2868)+IF(B2868="iFood",F2868*0.27,(VLOOKUP(VENDAS!C2868,Bairros!$A$2:$B$90,2,0))))</f>
        <v/>
      </c>
      <c r="J2868" s="7" t="str">
        <f t="shared" si="177"/>
        <v/>
      </c>
      <c r="K2868" s="9">
        <f t="shared" ca="1" si="178"/>
        <v>45404.878290162036</v>
      </c>
      <c r="L2868" s="10">
        <f t="shared" ca="1" si="179"/>
        <v>45404.878290046297</v>
      </c>
    </row>
    <row r="2869" spans="6:12" x14ac:dyDescent="0.25">
      <c r="F2869" s="11" t="str">
        <f>IF(ISBLANK(D2869),"",(VLOOKUP(D2869,Cardápio!$A$2:$B$16,2,0))*E2869)</f>
        <v/>
      </c>
      <c r="H2869" s="7" t="str">
        <f t="shared" ref="H2869:H2932" si="180">IF(ISBLANK(D2869),"",F2869-G2869)</f>
        <v/>
      </c>
      <c r="I2869" s="7" t="str">
        <f>IF(AND(ISBLANK(D2869),ISBLANK(C2869)),"",((VLOOKUP(D2869,Cardápio!$A$2:$C$16,3,0))*E2869)+IF(B2869="iFood",F2869*0.27,(VLOOKUP(VENDAS!C2869,Bairros!$A$2:$B$90,2,0))))</f>
        <v/>
      </c>
      <c r="J2869" s="7" t="str">
        <f t="shared" ref="J2869:J2932" si="181">IF(OR(AND(ISBLANK(H2869),ISBLANK(I2869)),(AND(H2869="",I2869=""))),"",H2869-I2869)</f>
        <v/>
      </c>
      <c r="K2869" s="9">
        <f t="shared" ref="K2869:K2932" ca="1" si="182">IF(D2869&lt;&gt;"",K2869,NOW())</f>
        <v>45404.878290277775</v>
      </c>
      <c r="L2869" s="10">
        <f t="shared" ref="L2869:L2932" ca="1" si="183">IF(D2869&lt;&gt;"",L2869,NOW())</f>
        <v>45404.878290046297</v>
      </c>
    </row>
    <row r="2870" spans="6:12" x14ac:dyDescent="0.25">
      <c r="F2870" s="11" t="str">
        <f>IF(ISBLANK(D2870),"",(VLOOKUP(D2870,Cardápio!$A$2:$B$16,2,0))*E2870)</f>
        <v/>
      </c>
      <c r="H2870" s="7" t="str">
        <f t="shared" si="180"/>
        <v/>
      </c>
      <c r="I2870" s="7" t="str">
        <f>IF(AND(ISBLANK(D2870),ISBLANK(C2870)),"",((VLOOKUP(D2870,Cardápio!$A$2:$C$16,3,0))*E2870)+IF(B2870="iFood",F2870*0.27,(VLOOKUP(VENDAS!C2870,Bairros!$A$2:$B$90,2,0))))</f>
        <v/>
      </c>
      <c r="J2870" s="7" t="str">
        <f t="shared" si="181"/>
        <v/>
      </c>
      <c r="K2870" s="9">
        <f t="shared" ca="1" si="182"/>
        <v>45404.878290162036</v>
      </c>
      <c r="L2870" s="10">
        <f t="shared" ca="1" si="183"/>
        <v>45404.878290046297</v>
      </c>
    </row>
    <row r="2871" spans="6:12" x14ac:dyDescent="0.25">
      <c r="F2871" s="11" t="str">
        <f>IF(ISBLANK(D2871),"",(VLOOKUP(D2871,Cardápio!$A$2:$B$16,2,0))*E2871)</f>
        <v/>
      </c>
      <c r="H2871" s="7" t="str">
        <f t="shared" si="180"/>
        <v/>
      </c>
      <c r="I2871" s="7" t="str">
        <f>IF(AND(ISBLANK(D2871),ISBLANK(C2871)),"",((VLOOKUP(D2871,Cardápio!$A$2:$C$16,3,0))*E2871)+IF(B2871="iFood",F2871*0.27,(VLOOKUP(VENDAS!C2871,Bairros!$A$2:$B$90,2,0))))</f>
        <v/>
      </c>
      <c r="J2871" s="7" t="str">
        <f t="shared" si="181"/>
        <v/>
      </c>
      <c r="K2871" s="9">
        <f t="shared" ca="1" si="182"/>
        <v>45404.878290162036</v>
      </c>
      <c r="L2871" s="10">
        <f t="shared" ca="1" si="183"/>
        <v>45404.878290046297</v>
      </c>
    </row>
    <row r="2872" spans="6:12" x14ac:dyDescent="0.25">
      <c r="F2872" s="11" t="str">
        <f>IF(ISBLANK(D2872),"",(VLOOKUP(D2872,Cardápio!$A$2:$B$16,2,0))*E2872)</f>
        <v/>
      </c>
      <c r="H2872" s="7" t="str">
        <f t="shared" si="180"/>
        <v/>
      </c>
      <c r="I2872" s="7" t="str">
        <f>IF(AND(ISBLANK(D2872),ISBLANK(C2872)),"",((VLOOKUP(D2872,Cardápio!$A$2:$C$16,3,0))*E2872)+IF(B2872="iFood",F2872*0.27,(VLOOKUP(VENDAS!C2872,Bairros!$A$2:$B$90,2,0))))</f>
        <v/>
      </c>
      <c r="J2872" s="7" t="str">
        <f t="shared" si="181"/>
        <v/>
      </c>
      <c r="K2872" s="9">
        <f t="shared" ca="1" si="182"/>
        <v>45404.878290162036</v>
      </c>
      <c r="L2872" s="10">
        <f t="shared" ca="1" si="183"/>
        <v>45404.878290046297</v>
      </c>
    </row>
    <row r="2873" spans="6:12" x14ac:dyDescent="0.25">
      <c r="F2873" s="11" t="str">
        <f>IF(ISBLANK(D2873),"",(VLOOKUP(D2873,Cardápio!$A$2:$B$16,2,0))*E2873)</f>
        <v/>
      </c>
      <c r="H2873" s="7" t="str">
        <f t="shared" si="180"/>
        <v/>
      </c>
      <c r="I2873" s="7" t="str">
        <f>IF(AND(ISBLANK(D2873),ISBLANK(C2873)),"",((VLOOKUP(D2873,Cardápio!$A$2:$C$16,3,0))*E2873)+IF(B2873="iFood",F2873*0.27,(VLOOKUP(VENDAS!C2873,Bairros!$A$2:$B$90,2,0))))</f>
        <v/>
      </c>
      <c r="J2873" s="7" t="str">
        <f t="shared" si="181"/>
        <v/>
      </c>
      <c r="K2873" s="9">
        <f t="shared" ca="1" si="182"/>
        <v>45404.878290277775</v>
      </c>
      <c r="L2873" s="10">
        <f t="shared" ca="1" si="183"/>
        <v>45404.878290046297</v>
      </c>
    </row>
    <row r="2874" spans="6:12" x14ac:dyDescent="0.25">
      <c r="F2874" s="11" t="str">
        <f>IF(ISBLANK(D2874),"",(VLOOKUP(D2874,Cardápio!$A$2:$B$16,2,0))*E2874)</f>
        <v/>
      </c>
      <c r="H2874" s="7" t="str">
        <f t="shared" si="180"/>
        <v/>
      </c>
      <c r="I2874" s="7" t="str">
        <f>IF(AND(ISBLANK(D2874),ISBLANK(C2874)),"",((VLOOKUP(D2874,Cardápio!$A$2:$C$16,3,0))*E2874)+IF(B2874="iFood",F2874*0.27,(VLOOKUP(VENDAS!C2874,Bairros!$A$2:$B$90,2,0))))</f>
        <v/>
      </c>
      <c r="J2874" s="7" t="str">
        <f t="shared" si="181"/>
        <v/>
      </c>
      <c r="K2874" s="9">
        <f t="shared" ca="1" si="182"/>
        <v>45404.878290162036</v>
      </c>
      <c r="L2874" s="10">
        <f t="shared" ca="1" si="183"/>
        <v>45404.878290046297</v>
      </c>
    </row>
    <row r="2875" spans="6:12" x14ac:dyDescent="0.25">
      <c r="F2875" s="11" t="str">
        <f>IF(ISBLANK(D2875),"",(VLOOKUP(D2875,Cardápio!$A$2:$B$16,2,0))*E2875)</f>
        <v/>
      </c>
      <c r="H2875" s="7" t="str">
        <f t="shared" si="180"/>
        <v/>
      </c>
      <c r="I2875" s="7" t="str">
        <f>IF(AND(ISBLANK(D2875),ISBLANK(C2875)),"",((VLOOKUP(D2875,Cardápio!$A$2:$C$16,3,0))*E2875)+IF(B2875="iFood",F2875*0.27,(VLOOKUP(VENDAS!C2875,Bairros!$A$2:$B$90,2,0))))</f>
        <v/>
      </c>
      <c r="J2875" s="7" t="str">
        <f t="shared" si="181"/>
        <v/>
      </c>
      <c r="K2875" s="9">
        <f t="shared" ca="1" si="182"/>
        <v>45404.878290162036</v>
      </c>
      <c r="L2875" s="10">
        <f t="shared" ca="1" si="183"/>
        <v>45404.878290046297</v>
      </c>
    </row>
    <row r="2876" spans="6:12" x14ac:dyDescent="0.25">
      <c r="F2876" s="11" t="str">
        <f>IF(ISBLANK(D2876),"",(VLOOKUP(D2876,Cardápio!$A$2:$B$16,2,0))*E2876)</f>
        <v/>
      </c>
      <c r="H2876" s="7" t="str">
        <f t="shared" si="180"/>
        <v/>
      </c>
      <c r="I2876" s="7" t="str">
        <f>IF(AND(ISBLANK(D2876),ISBLANK(C2876)),"",((VLOOKUP(D2876,Cardápio!$A$2:$C$16,3,0))*E2876)+IF(B2876="iFood",F2876*0.27,(VLOOKUP(VENDAS!C2876,Bairros!$A$2:$B$90,2,0))))</f>
        <v/>
      </c>
      <c r="J2876" s="7" t="str">
        <f t="shared" si="181"/>
        <v/>
      </c>
      <c r="K2876" s="9">
        <f t="shared" ca="1" si="182"/>
        <v>45404.878290162036</v>
      </c>
      <c r="L2876" s="10">
        <f t="shared" ca="1" si="183"/>
        <v>45404.878290046297</v>
      </c>
    </row>
    <row r="2877" spans="6:12" x14ac:dyDescent="0.25">
      <c r="F2877" s="11" t="str">
        <f>IF(ISBLANK(D2877),"",(VLOOKUP(D2877,Cardápio!$A$2:$B$16,2,0))*E2877)</f>
        <v/>
      </c>
      <c r="H2877" s="7" t="str">
        <f t="shared" si="180"/>
        <v/>
      </c>
      <c r="I2877" s="7" t="str">
        <f>IF(AND(ISBLANK(D2877),ISBLANK(C2877)),"",((VLOOKUP(D2877,Cardápio!$A$2:$C$16,3,0))*E2877)+IF(B2877="iFood",F2877*0.27,(VLOOKUP(VENDAS!C2877,Bairros!$A$2:$B$90,2,0))))</f>
        <v/>
      </c>
      <c r="J2877" s="7" t="str">
        <f t="shared" si="181"/>
        <v/>
      </c>
      <c r="K2877" s="9">
        <f t="shared" ca="1" si="182"/>
        <v>45404.878290277775</v>
      </c>
      <c r="L2877" s="10">
        <f t="shared" ca="1" si="183"/>
        <v>45404.878290046297</v>
      </c>
    </row>
    <row r="2878" spans="6:12" x14ac:dyDescent="0.25">
      <c r="F2878" s="11" t="str">
        <f>IF(ISBLANK(D2878),"",(VLOOKUP(D2878,Cardápio!$A$2:$B$16,2,0))*E2878)</f>
        <v/>
      </c>
      <c r="H2878" s="7" t="str">
        <f t="shared" si="180"/>
        <v/>
      </c>
      <c r="I2878" s="7" t="str">
        <f>IF(AND(ISBLANK(D2878),ISBLANK(C2878)),"",((VLOOKUP(D2878,Cardápio!$A$2:$C$16,3,0))*E2878)+IF(B2878="iFood",F2878*0.27,(VLOOKUP(VENDAS!C2878,Bairros!$A$2:$B$90,2,0))))</f>
        <v/>
      </c>
      <c r="J2878" s="7" t="str">
        <f t="shared" si="181"/>
        <v/>
      </c>
      <c r="K2878" s="9">
        <f t="shared" ca="1" si="182"/>
        <v>45404.878290162036</v>
      </c>
      <c r="L2878" s="10">
        <f t="shared" ca="1" si="183"/>
        <v>45404.878290046297</v>
      </c>
    </row>
    <row r="2879" spans="6:12" x14ac:dyDescent="0.25">
      <c r="F2879" s="11" t="str">
        <f>IF(ISBLANK(D2879),"",(VLOOKUP(D2879,Cardápio!$A$2:$B$16,2,0))*E2879)</f>
        <v/>
      </c>
      <c r="H2879" s="7" t="str">
        <f t="shared" si="180"/>
        <v/>
      </c>
      <c r="I2879" s="7" t="str">
        <f>IF(AND(ISBLANK(D2879),ISBLANK(C2879)),"",((VLOOKUP(D2879,Cardápio!$A$2:$C$16,3,0))*E2879)+IF(B2879="iFood",F2879*0.27,(VLOOKUP(VENDAS!C2879,Bairros!$A$2:$B$90,2,0))))</f>
        <v/>
      </c>
      <c r="J2879" s="7" t="str">
        <f t="shared" si="181"/>
        <v/>
      </c>
      <c r="K2879" s="9">
        <f t="shared" ca="1" si="182"/>
        <v>45404.878290162036</v>
      </c>
      <c r="L2879" s="10">
        <f t="shared" ca="1" si="183"/>
        <v>45404.878290046297</v>
      </c>
    </row>
    <row r="2880" spans="6:12" x14ac:dyDescent="0.25">
      <c r="F2880" s="11" t="str">
        <f>IF(ISBLANK(D2880),"",(VLOOKUP(D2880,Cardápio!$A$2:$B$16,2,0))*E2880)</f>
        <v/>
      </c>
      <c r="H2880" s="7" t="str">
        <f t="shared" si="180"/>
        <v/>
      </c>
      <c r="I2880" s="7" t="str">
        <f>IF(AND(ISBLANK(D2880),ISBLANK(C2880)),"",((VLOOKUP(D2880,Cardápio!$A$2:$C$16,3,0))*E2880)+IF(B2880="iFood",F2880*0.27,(VLOOKUP(VENDAS!C2880,Bairros!$A$2:$B$90,2,0))))</f>
        <v/>
      </c>
      <c r="J2880" s="7" t="str">
        <f t="shared" si="181"/>
        <v/>
      </c>
      <c r="K2880" s="9">
        <f t="shared" ca="1" si="182"/>
        <v>45404.878290162036</v>
      </c>
      <c r="L2880" s="10">
        <f t="shared" ca="1" si="183"/>
        <v>45404.878290046297</v>
      </c>
    </row>
    <row r="2881" spans="6:12" x14ac:dyDescent="0.25">
      <c r="F2881" s="11" t="str">
        <f>IF(ISBLANK(D2881),"",(VLOOKUP(D2881,Cardápio!$A$2:$B$16,2,0))*E2881)</f>
        <v/>
      </c>
      <c r="H2881" s="7" t="str">
        <f t="shared" si="180"/>
        <v/>
      </c>
      <c r="I2881" s="7" t="str">
        <f>IF(AND(ISBLANK(D2881),ISBLANK(C2881)),"",((VLOOKUP(D2881,Cardápio!$A$2:$C$16,3,0))*E2881)+IF(B2881="iFood",F2881*0.27,(VLOOKUP(VENDAS!C2881,Bairros!$A$2:$B$90,2,0))))</f>
        <v/>
      </c>
      <c r="J2881" s="7" t="str">
        <f t="shared" si="181"/>
        <v/>
      </c>
      <c r="K2881" s="9">
        <f t="shared" ca="1" si="182"/>
        <v>45404.878290277775</v>
      </c>
      <c r="L2881" s="10">
        <f t="shared" ca="1" si="183"/>
        <v>45404.878290046297</v>
      </c>
    </row>
    <row r="2882" spans="6:12" x14ac:dyDescent="0.25">
      <c r="F2882" s="11" t="str">
        <f>IF(ISBLANK(D2882),"",(VLOOKUP(D2882,Cardápio!$A$2:$B$16,2,0))*E2882)</f>
        <v/>
      </c>
      <c r="H2882" s="7" t="str">
        <f t="shared" si="180"/>
        <v/>
      </c>
      <c r="I2882" s="7" t="str">
        <f>IF(AND(ISBLANK(D2882),ISBLANK(C2882)),"",((VLOOKUP(D2882,Cardápio!$A$2:$C$16,3,0))*E2882)+IF(B2882="iFood",F2882*0.27,(VLOOKUP(VENDAS!C2882,Bairros!$A$2:$B$90,2,0))))</f>
        <v/>
      </c>
      <c r="J2882" s="7" t="str">
        <f t="shared" si="181"/>
        <v/>
      </c>
      <c r="K2882" s="9">
        <f t="shared" ca="1" si="182"/>
        <v>45404.878290162036</v>
      </c>
      <c r="L2882" s="10">
        <f t="shared" ca="1" si="183"/>
        <v>45404.878290046297</v>
      </c>
    </row>
    <row r="2883" spans="6:12" x14ac:dyDescent="0.25">
      <c r="F2883" s="11" t="str">
        <f>IF(ISBLANK(D2883),"",(VLOOKUP(D2883,Cardápio!$A$2:$B$16,2,0))*E2883)</f>
        <v/>
      </c>
      <c r="H2883" s="7" t="str">
        <f t="shared" si="180"/>
        <v/>
      </c>
      <c r="I2883" s="7" t="str">
        <f>IF(AND(ISBLANK(D2883),ISBLANK(C2883)),"",((VLOOKUP(D2883,Cardápio!$A$2:$C$16,3,0))*E2883)+IF(B2883="iFood",F2883*0.27,(VLOOKUP(VENDAS!C2883,Bairros!$A$2:$B$90,2,0))))</f>
        <v/>
      </c>
      <c r="J2883" s="7" t="str">
        <f t="shared" si="181"/>
        <v/>
      </c>
      <c r="K2883" s="9">
        <f t="shared" ca="1" si="182"/>
        <v>45404.878290162036</v>
      </c>
      <c r="L2883" s="10">
        <f t="shared" ca="1" si="183"/>
        <v>45404.878290046297</v>
      </c>
    </row>
    <row r="2884" spans="6:12" x14ac:dyDescent="0.25">
      <c r="F2884" s="11" t="str">
        <f>IF(ISBLANK(D2884),"",(VLOOKUP(D2884,Cardápio!$A$2:$B$16,2,0))*E2884)</f>
        <v/>
      </c>
      <c r="H2884" s="7" t="str">
        <f t="shared" si="180"/>
        <v/>
      </c>
      <c r="I2884" s="7" t="str">
        <f>IF(AND(ISBLANK(D2884),ISBLANK(C2884)),"",((VLOOKUP(D2884,Cardápio!$A$2:$C$16,3,0))*E2884)+IF(B2884="iFood",F2884*0.27,(VLOOKUP(VENDAS!C2884,Bairros!$A$2:$B$90,2,0))))</f>
        <v/>
      </c>
      <c r="J2884" s="7" t="str">
        <f t="shared" si="181"/>
        <v/>
      </c>
      <c r="K2884" s="9">
        <f t="shared" ca="1" si="182"/>
        <v>45404.878290162036</v>
      </c>
      <c r="L2884" s="10">
        <f t="shared" ca="1" si="183"/>
        <v>45404.878290046297</v>
      </c>
    </row>
    <row r="2885" spans="6:12" x14ac:dyDescent="0.25">
      <c r="F2885" s="11" t="str">
        <f>IF(ISBLANK(D2885),"",(VLOOKUP(D2885,Cardápio!$A$2:$B$16,2,0))*E2885)</f>
        <v/>
      </c>
      <c r="H2885" s="7" t="str">
        <f t="shared" si="180"/>
        <v/>
      </c>
      <c r="I2885" s="7" t="str">
        <f>IF(AND(ISBLANK(D2885),ISBLANK(C2885)),"",((VLOOKUP(D2885,Cardápio!$A$2:$C$16,3,0))*E2885)+IF(B2885="iFood",F2885*0.27,(VLOOKUP(VENDAS!C2885,Bairros!$A$2:$B$90,2,0))))</f>
        <v/>
      </c>
      <c r="J2885" s="7" t="str">
        <f t="shared" si="181"/>
        <v/>
      </c>
      <c r="K2885" s="9">
        <f t="shared" ca="1" si="182"/>
        <v>45404.878290277775</v>
      </c>
      <c r="L2885" s="10">
        <f t="shared" ca="1" si="183"/>
        <v>45404.878290046297</v>
      </c>
    </row>
    <row r="2886" spans="6:12" x14ac:dyDescent="0.25">
      <c r="F2886" s="11" t="str">
        <f>IF(ISBLANK(D2886),"",(VLOOKUP(D2886,Cardápio!$A$2:$B$16,2,0))*E2886)</f>
        <v/>
      </c>
      <c r="H2886" s="7" t="str">
        <f t="shared" si="180"/>
        <v/>
      </c>
      <c r="I2886" s="7" t="str">
        <f>IF(AND(ISBLANK(D2886),ISBLANK(C2886)),"",((VLOOKUP(D2886,Cardápio!$A$2:$C$16,3,0))*E2886)+IF(B2886="iFood",F2886*0.27,(VLOOKUP(VENDAS!C2886,Bairros!$A$2:$B$90,2,0))))</f>
        <v/>
      </c>
      <c r="J2886" s="7" t="str">
        <f t="shared" si="181"/>
        <v/>
      </c>
      <c r="K2886" s="9">
        <f t="shared" ca="1" si="182"/>
        <v>45404.878290162036</v>
      </c>
      <c r="L2886" s="10">
        <f t="shared" ca="1" si="183"/>
        <v>45404.878290046297</v>
      </c>
    </row>
    <row r="2887" spans="6:12" x14ac:dyDescent="0.25">
      <c r="F2887" s="11" t="str">
        <f>IF(ISBLANK(D2887),"",(VLOOKUP(D2887,Cardápio!$A$2:$B$16,2,0))*E2887)</f>
        <v/>
      </c>
      <c r="H2887" s="7" t="str">
        <f t="shared" si="180"/>
        <v/>
      </c>
      <c r="I2887" s="7" t="str">
        <f>IF(AND(ISBLANK(D2887),ISBLANK(C2887)),"",((VLOOKUP(D2887,Cardápio!$A$2:$C$16,3,0))*E2887)+IF(B2887="iFood",F2887*0.27,(VLOOKUP(VENDAS!C2887,Bairros!$A$2:$B$90,2,0))))</f>
        <v/>
      </c>
      <c r="J2887" s="7" t="str">
        <f t="shared" si="181"/>
        <v/>
      </c>
      <c r="K2887" s="9">
        <f t="shared" ca="1" si="182"/>
        <v>45404.878290162036</v>
      </c>
      <c r="L2887" s="10">
        <f t="shared" ca="1" si="183"/>
        <v>45404.878290046297</v>
      </c>
    </row>
    <row r="2888" spans="6:12" x14ac:dyDescent="0.25">
      <c r="F2888" s="11" t="str">
        <f>IF(ISBLANK(D2888),"",(VLOOKUP(D2888,Cardápio!$A$2:$B$16,2,0))*E2888)</f>
        <v/>
      </c>
      <c r="H2888" s="7" t="str">
        <f t="shared" si="180"/>
        <v/>
      </c>
      <c r="I2888" s="7" t="str">
        <f>IF(AND(ISBLANK(D2888),ISBLANK(C2888)),"",((VLOOKUP(D2888,Cardápio!$A$2:$C$16,3,0))*E2888)+IF(B2888="iFood",F2888*0.27,(VLOOKUP(VENDAS!C2888,Bairros!$A$2:$B$90,2,0))))</f>
        <v/>
      </c>
      <c r="J2888" s="7" t="str">
        <f t="shared" si="181"/>
        <v/>
      </c>
      <c r="K2888" s="9">
        <f t="shared" ca="1" si="182"/>
        <v>45404.878290162036</v>
      </c>
      <c r="L2888" s="10">
        <f t="shared" ca="1" si="183"/>
        <v>45404.878290046297</v>
      </c>
    </row>
    <row r="2889" spans="6:12" x14ac:dyDescent="0.25">
      <c r="F2889" s="11" t="str">
        <f>IF(ISBLANK(D2889),"",(VLOOKUP(D2889,Cardápio!$A$2:$B$16,2,0))*E2889)</f>
        <v/>
      </c>
      <c r="H2889" s="7" t="str">
        <f t="shared" si="180"/>
        <v/>
      </c>
      <c r="I2889" s="7" t="str">
        <f>IF(AND(ISBLANK(D2889),ISBLANK(C2889)),"",((VLOOKUP(D2889,Cardápio!$A$2:$C$16,3,0))*E2889)+IF(B2889="iFood",F2889*0.27,(VLOOKUP(VENDAS!C2889,Bairros!$A$2:$B$90,2,0))))</f>
        <v/>
      </c>
      <c r="J2889" s="7" t="str">
        <f t="shared" si="181"/>
        <v/>
      </c>
      <c r="K2889" s="9">
        <f t="shared" ca="1" si="182"/>
        <v>45404.878290277775</v>
      </c>
      <c r="L2889" s="10">
        <f t="shared" ca="1" si="183"/>
        <v>45404.878290046297</v>
      </c>
    </row>
    <row r="2890" spans="6:12" x14ac:dyDescent="0.25">
      <c r="F2890" s="11" t="str">
        <f>IF(ISBLANK(D2890),"",(VLOOKUP(D2890,Cardápio!$A$2:$B$16,2,0))*E2890)</f>
        <v/>
      </c>
      <c r="H2890" s="7" t="str">
        <f t="shared" si="180"/>
        <v/>
      </c>
      <c r="I2890" s="7" t="str">
        <f>IF(AND(ISBLANK(D2890),ISBLANK(C2890)),"",((VLOOKUP(D2890,Cardápio!$A$2:$C$16,3,0))*E2890)+IF(B2890="iFood",F2890*0.27,(VLOOKUP(VENDAS!C2890,Bairros!$A$2:$B$90,2,0))))</f>
        <v/>
      </c>
      <c r="J2890" s="7" t="str">
        <f t="shared" si="181"/>
        <v/>
      </c>
      <c r="K2890" s="9">
        <f t="shared" ca="1" si="182"/>
        <v>45404.878290162036</v>
      </c>
      <c r="L2890" s="10">
        <f t="shared" ca="1" si="183"/>
        <v>45404.878290046297</v>
      </c>
    </row>
    <row r="2891" spans="6:12" x14ac:dyDescent="0.25">
      <c r="F2891" s="11" t="str">
        <f>IF(ISBLANK(D2891),"",(VLOOKUP(D2891,Cardápio!$A$2:$B$16,2,0))*E2891)</f>
        <v/>
      </c>
      <c r="H2891" s="7" t="str">
        <f t="shared" si="180"/>
        <v/>
      </c>
      <c r="I2891" s="7" t="str">
        <f>IF(AND(ISBLANK(D2891),ISBLANK(C2891)),"",((VLOOKUP(D2891,Cardápio!$A$2:$C$16,3,0))*E2891)+IF(B2891="iFood",F2891*0.27,(VLOOKUP(VENDAS!C2891,Bairros!$A$2:$B$90,2,0))))</f>
        <v/>
      </c>
      <c r="J2891" s="7" t="str">
        <f t="shared" si="181"/>
        <v/>
      </c>
      <c r="K2891" s="9">
        <f t="shared" ca="1" si="182"/>
        <v>45404.878290162036</v>
      </c>
      <c r="L2891" s="10">
        <f t="shared" ca="1" si="183"/>
        <v>45404.878290046297</v>
      </c>
    </row>
    <row r="2892" spans="6:12" x14ac:dyDescent="0.25">
      <c r="F2892" s="11" t="str">
        <f>IF(ISBLANK(D2892),"",(VLOOKUP(D2892,Cardápio!$A$2:$B$16,2,0))*E2892)</f>
        <v/>
      </c>
      <c r="H2892" s="7" t="str">
        <f t="shared" si="180"/>
        <v/>
      </c>
      <c r="I2892" s="7" t="str">
        <f>IF(AND(ISBLANK(D2892),ISBLANK(C2892)),"",((VLOOKUP(D2892,Cardápio!$A$2:$C$16,3,0))*E2892)+IF(B2892="iFood",F2892*0.27,(VLOOKUP(VENDAS!C2892,Bairros!$A$2:$B$90,2,0))))</f>
        <v/>
      </c>
      <c r="J2892" s="7" t="str">
        <f t="shared" si="181"/>
        <v/>
      </c>
      <c r="K2892" s="9">
        <f t="shared" ca="1" si="182"/>
        <v>45404.878290162036</v>
      </c>
      <c r="L2892" s="10">
        <f t="shared" ca="1" si="183"/>
        <v>45404.878290046297</v>
      </c>
    </row>
    <row r="2893" spans="6:12" x14ac:dyDescent="0.25">
      <c r="F2893" s="11" t="str">
        <f>IF(ISBLANK(D2893),"",(VLOOKUP(D2893,Cardápio!$A$2:$B$16,2,0))*E2893)</f>
        <v/>
      </c>
      <c r="H2893" s="7" t="str">
        <f t="shared" si="180"/>
        <v/>
      </c>
      <c r="I2893" s="7" t="str">
        <f>IF(AND(ISBLANK(D2893),ISBLANK(C2893)),"",((VLOOKUP(D2893,Cardápio!$A$2:$C$16,3,0))*E2893)+IF(B2893="iFood",F2893*0.27,(VLOOKUP(VENDAS!C2893,Bairros!$A$2:$B$90,2,0))))</f>
        <v/>
      </c>
      <c r="J2893" s="7" t="str">
        <f t="shared" si="181"/>
        <v/>
      </c>
      <c r="K2893" s="9">
        <f t="shared" ca="1" si="182"/>
        <v>45404.878290277775</v>
      </c>
      <c r="L2893" s="10">
        <f t="shared" ca="1" si="183"/>
        <v>45404.878290046297</v>
      </c>
    </row>
    <row r="2894" spans="6:12" x14ac:dyDescent="0.25">
      <c r="F2894" s="11" t="str">
        <f>IF(ISBLANK(D2894),"",(VLOOKUP(D2894,Cardápio!$A$2:$B$16,2,0))*E2894)</f>
        <v/>
      </c>
      <c r="H2894" s="7" t="str">
        <f t="shared" si="180"/>
        <v/>
      </c>
      <c r="I2894" s="7" t="str">
        <f>IF(AND(ISBLANK(D2894),ISBLANK(C2894)),"",((VLOOKUP(D2894,Cardápio!$A$2:$C$16,3,0))*E2894)+IF(B2894="iFood",F2894*0.27,(VLOOKUP(VENDAS!C2894,Bairros!$A$2:$B$90,2,0))))</f>
        <v/>
      </c>
      <c r="J2894" s="7" t="str">
        <f t="shared" si="181"/>
        <v/>
      </c>
      <c r="K2894" s="9">
        <f t="shared" ca="1" si="182"/>
        <v>45404.878290162036</v>
      </c>
      <c r="L2894" s="10">
        <f t="shared" ca="1" si="183"/>
        <v>45404.878290046297</v>
      </c>
    </row>
    <row r="2895" spans="6:12" x14ac:dyDescent="0.25">
      <c r="F2895" s="11" t="str">
        <f>IF(ISBLANK(D2895),"",(VLOOKUP(D2895,Cardápio!$A$2:$B$16,2,0))*E2895)</f>
        <v/>
      </c>
      <c r="H2895" s="7" t="str">
        <f t="shared" si="180"/>
        <v/>
      </c>
      <c r="I2895" s="7" t="str">
        <f>IF(AND(ISBLANK(D2895),ISBLANK(C2895)),"",((VLOOKUP(D2895,Cardápio!$A$2:$C$16,3,0))*E2895)+IF(B2895="iFood",F2895*0.27,(VLOOKUP(VENDAS!C2895,Bairros!$A$2:$B$90,2,0))))</f>
        <v/>
      </c>
      <c r="J2895" s="7" t="str">
        <f t="shared" si="181"/>
        <v/>
      </c>
      <c r="K2895" s="9">
        <f t="shared" ca="1" si="182"/>
        <v>45404.878290162036</v>
      </c>
      <c r="L2895" s="10">
        <f t="shared" ca="1" si="183"/>
        <v>45404.878290046297</v>
      </c>
    </row>
    <row r="2896" spans="6:12" x14ac:dyDescent="0.25">
      <c r="F2896" s="11" t="str">
        <f>IF(ISBLANK(D2896),"",(VLOOKUP(D2896,Cardápio!$A$2:$B$16,2,0))*E2896)</f>
        <v/>
      </c>
      <c r="H2896" s="7" t="str">
        <f t="shared" si="180"/>
        <v/>
      </c>
      <c r="I2896" s="7" t="str">
        <f>IF(AND(ISBLANK(D2896),ISBLANK(C2896)),"",((VLOOKUP(D2896,Cardápio!$A$2:$C$16,3,0))*E2896)+IF(B2896="iFood",F2896*0.27,(VLOOKUP(VENDAS!C2896,Bairros!$A$2:$B$90,2,0))))</f>
        <v/>
      </c>
      <c r="J2896" s="7" t="str">
        <f t="shared" si="181"/>
        <v/>
      </c>
      <c r="K2896" s="9">
        <f t="shared" ca="1" si="182"/>
        <v>45404.878290162036</v>
      </c>
      <c r="L2896" s="10">
        <f t="shared" ca="1" si="183"/>
        <v>45404.878290046297</v>
      </c>
    </row>
    <row r="2897" spans="6:12" x14ac:dyDescent="0.25">
      <c r="F2897" s="11" t="str">
        <f>IF(ISBLANK(D2897),"",(VLOOKUP(D2897,Cardápio!$A$2:$B$16,2,0))*E2897)</f>
        <v/>
      </c>
      <c r="H2897" s="7" t="str">
        <f t="shared" si="180"/>
        <v/>
      </c>
      <c r="I2897" s="7" t="str">
        <f>IF(AND(ISBLANK(D2897),ISBLANK(C2897)),"",((VLOOKUP(D2897,Cardápio!$A$2:$C$16,3,0))*E2897)+IF(B2897="iFood",F2897*0.27,(VLOOKUP(VENDAS!C2897,Bairros!$A$2:$B$90,2,0))))</f>
        <v/>
      </c>
      <c r="J2897" s="7" t="str">
        <f t="shared" si="181"/>
        <v/>
      </c>
      <c r="K2897" s="9">
        <f t="shared" ca="1" si="182"/>
        <v>45404.878290277775</v>
      </c>
      <c r="L2897" s="10">
        <f t="shared" ca="1" si="183"/>
        <v>45404.878290046297</v>
      </c>
    </row>
    <row r="2898" spans="6:12" x14ac:dyDescent="0.25">
      <c r="F2898" s="11" t="str">
        <f>IF(ISBLANK(D2898),"",(VLOOKUP(D2898,Cardápio!$A$2:$B$16,2,0))*E2898)</f>
        <v/>
      </c>
      <c r="H2898" s="7" t="str">
        <f t="shared" si="180"/>
        <v/>
      </c>
      <c r="I2898" s="7" t="str">
        <f>IF(AND(ISBLANK(D2898),ISBLANK(C2898)),"",((VLOOKUP(D2898,Cardápio!$A$2:$C$16,3,0))*E2898)+IF(B2898="iFood",F2898*0.27,(VLOOKUP(VENDAS!C2898,Bairros!$A$2:$B$90,2,0))))</f>
        <v/>
      </c>
      <c r="J2898" s="7" t="str">
        <f t="shared" si="181"/>
        <v/>
      </c>
      <c r="K2898" s="9">
        <f t="shared" ca="1" si="182"/>
        <v>45404.878290162036</v>
      </c>
      <c r="L2898" s="10">
        <f t="shared" ca="1" si="183"/>
        <v>45404.878290046297</v>
      </c>
    </row>
    <row r="2899" spans="6:12" x14ac:dyDescent="0.25">
      <c r="F2899" s="11" t="str">
        <f>IF(ISBLANK(D2899),"",(VLOOKUP(D2899,Cardápio!$A$2:$B$16,2,0))*E2899)</f>
        <v/>
      </c>
      <c r="H2899" s="7" t="str">
        <f t="shared" si="180"/>
        <v/>
      </c>
      <c r="I2899" s="7" t="str">
        <f>IF(AND(ISBLANK(D2899),ISBLANK(C2899)),"",((VLOOKUP(D2899,Cardápio!$A$2:$C$16,3,0))*E2899)+IF(B2899="iFood",F2899*0.27,(VLOOKUP(VENDAS!C2899,Bairros!$A$2:$B$90,2,0))))</f>
        <v/>
      </c>
      <c r="J2899" s="7" t="str">
        <f t="shared" si="181"/>
        <v/>
      </c>
      <c r="K2899" s="9">
        <f t="shared" ca="1" si="182"/>
        <v>45404.878290162036</v>
      </c>
      <c r="L2899" s="10">
        <f t="shared" ca="1" si="183"/>
        <v>45404.878290046297</v>
      </c>
    </row>
    <row r="2900" spans="6:12" x14ac:dyDescent="0.25">
      <c r="F2900" s="11" t="str">
        <f>IF(ISBLANK(D2900),"",(VLOOKUP(D2900,Cardápio!$A$2:$B$16,2,0))*E2900)</f>
        <v/>
      </c>
      <c r="H2900" s="7" t="str">
        <f t="shared" si="180"/>
        <v/>
      </c>
      <c r="I2900" s="7" t="str">
        <f>IF(AND(ISBLANK(D2900),ISBLANK(C2900)),"",((VLOOKUP(D2900,Cardápio!$A$2:$C$16,3,0))*E2900)+IF(B2900="iFood",F2900*0.27,(VLOOKUP(VENDAS!C2900,Bairros!$A$2:$B$90,2,0))))</f>
        <v/>
      </c>
      <c r="J2900" s="7" t="str">
        <f t="shared" si="181"/>
        <v/>
      </c>
      <c r="K2900" s="9">
        <f t="shared" ca="1" si="182"/>
        <v>45404.878290162036</v>
      </c>
      <c r="L2900" s="10">
        <f t="shared" ca="1" si="183"/>
        <v>45404.878290046297</v>
      </c>
    </row>
    <row r="2901" spans="6:12" x14ac:dyDescent="0.25">
      <c r="F2901" s="11" t="str">
        <f>IF(ISBLANK(D2901),"",(VLOOKUP(D2901,Cardápio!$A$2:$B$16,2,0))*E2901)</f>
        <v/>
      </c>
      <c r="H2901" s="7" t="str">
        <f t="shared" si="180"/>
        <v/>
      </c>
      <c r="I2901" s="7" t="str">
        <f>IF(AND(ISBLANK(D2901),ISBLANK(C2901)),"",((VLOOKUP(D2901,Cardápio!$A$2:$C$16,3,0))*E2901)+IF(B2901="iFood",F2901*0.27,(VLOOKUP(VENDAS!C2901,Bairros!$A$2:$B$90,2,0))))</f>
        <v/>
      </c>
      <c r="J2901" s="7" t="str">
        <f t="shared" si="181"/>
        <v/>
      </c>
      <c r="K2901" s="9">
        <f t="shared" ca="1" si="182"/>
        <v>45404.878290277775</v>
      </c>
      <c r="L2901" s="10">
        <f t="shared" ca="1" si="183"/>
        <v>45404.878290046297</v>
      </c>
    </row>
    <row r="2902" spans="6:12" x14ac:dyDescent="0.25">
      <c r="F2902" s="11" t="str">
        <f>IF(ISBLANK(D2902),"",(VLOOKUP(D2902,Cardápio!$A$2:$B$16,2,0))*E2902)</f>
        <v/>
      </c>
      <c r="H2902" s="7" t="str">
        <f t="shared" si="180"/>
        <v/>
      </c>
      <c r="I2902" s="7" t="str">
        <f>IF(AND(ISBLANK(D2902),ISBLANK(C2902)),"",((VLOOKUP(D2902,Cardápio!$A$2:$C$16,3,0))*E2902)+IF(B2902="iFood",F2902*0.27,(VLOOKUP(VENDAS!C2902,Bairros!$A$2:$B$90,2,0))))</f>
        <v/>
      </c>
      <c r="J2902" s="7" t="str">
        <f t="shared" si="181"/>
        <v/>
      </c>
      <c r="K2902" s="9">
        <f t="shared" ca="1" si="182"/>
        <v>45404.878290162036</v>
      </c>
      <c r="L2902" s="10">
        <f t="shared" ca="1" si="183"/>
        <v>45404.878290046297</v>
      </c>
    </row>
    <row r="2903" spans="6:12" x14ac:dyDescent="0.25">
      <c r="F2903" s="11" t="str">
        <f>IF(ISBLANK(D2903),"",(VLOOKUP(D2903,Cardápio!$A$2:$B$16,2,0))*E2903)</f>
        <v/>
      </c>
      <c r="H2903" s="7" t="str">
        <f t="shared" si="180"/>
        <v/>
      </c>
      <c r="I2903" s="7" t="str">
        <f>IF(AND(ISBLANK(D2903),ISBLANK(C2903)),"",((VLOOKUP(D2903,Cardápio!$A$2:$C$16,3,0))*E2903)+IF(B2903="iFood",F2903*0.27,(VLOOKUP(VENDAS!C2903,Bairros!$A$2:$B$90,2,0))))</f>
        <v/>
      </c>
      <c r="J2903" s="7" t="str">
        <f t="shared" si="181"/>
        <v/>
      </c>
      <c r="K2903" s="9">
        <f t="shared" ca="1" si="182"/>
        <v>45404.878290162036</v>
      </c>
      <c r="L2903" s="10">
        <f t="shared" ca="1" si="183"/>
        <v>45404.878290046297</v>
      </c>
    </row>
    <row r="2904" spans="6:12" x14ac:dyDescent="0.25">
      <c r="F2904" s="11" t="str">
        <f>IF(ISBLANK(D2904),"",(VLOOKUP(D2904,Cardápio!$A$2:$B$16,2,0))*E2904)</f>
        <v/>
      </c>
      <c r="H2904" s="7" t="str">
        <f t="shared" si="180"/>
        <v/>
      </c>
      <c r="I2904" s="7" t="str">
        <f>IF(AND(ISBLANK(D2904),ISBLANK(C2904)),"",((VLOOKUP(D2904,Cardápio!$A$2:$C$16,3,0))*E2904)+IF(B2904="iFood",F2904*0.27,(VLOOKUP(VENDAS!C2904,Bairros!$A$2:$B$90,2,0))))</f>
        <v/>
      </c>
      <c r="J2904" s="7" t="str">
        <f t="shared" si="181"/>
        <v/>
      </c>
      <c r="K2904" s="9">
        <f t="shared" ca="1" si="182"/>
        <v>45404.878290162036</v>
      </c>
      <c r="L2904" s="10">
        <f t="shared" ca="1" si="183"/>
        <v>45404.878290046297</v>
      </c>
    </row>
    <row r="2905" spans="6:12" x14ac:dyDescent="0.25">
      <c r="F2905" s="11" t="str">
        <f>IF(ISBLANK(D2905),"",(VLOOKUP(D2905,Cardápio!$A$2:$B$16,2,0))*E2905)</f>
        <v/>
      </c>
      <c r="H2905" s="7" t="str">
        <f t="shared" si="180"/>
        <v/>
      </c>
      <c r="I2905" s="7" t="str">
        <f>IF(AND(ISBLANK(D2905),ISBLANK(C2905)),"",((VLOOKUP(D2905,Cardápio!$A$2:$C$16,3,0))*E2905)+IF(B2905="iFood",F2905*0.27,(VLOOKUP(VENDAS!C2905,Bairros!$A$2:$B$90,2,0))))</f>
        <v/>
      </c>
      <c r="J2905" s="7" t="str">
        <f t="shared" si="181"/>
        <v/>
      </c>
      <c r="K2905" s="9">
        <f t="shared" ca="1" si="182"/>
        <v>45404.878290277775</v>
      </c>
      <c r="L2905" s="10">
        <f t="shared" ca="1" si="183"/>
        <v>45404.878290046297</v>
      </c>
    </row>
    <row r="2906" spans="6:12" x14ac:dyDescent="0.25">
      <c r="F2906" s="11" t="str">
        <f>IF(ISBLANK(D2906),"",(VLOOKUP(D2906,Cardápio!$A$2:$B$16,2,0))*E2906)</f>
        <v/>
      </c>
      <c r="H2906" s="7" t="str">
        <f t="shared" si="180"/>
        <v/>
      </c>
      <c r="I2906" s="7" t="str">
        <f>IF(AND(ISBLANK(D2906),ISBLANK(C2906)),"",((VLOOKUP(D2906,Cardápio!$A$2:$C$16,3,0))*E2906)+IF(B2906="iFood",F2906*0.27,(VLOOKUP(VENDAS!C2906,Bairros!$A$2:$B$90,2,0))))</f>
        <v/>
      </c>
      <c r="J2906" s="7" t="str">
        <f t="shared" si="181"/>
        <v/>
      </c>
      <c r="K2906" s="9">
        <f t="shared" ca="1" si="182"/>
        <v>45404.878290162036</v>
      </c>
      <c r="L2906" s="10">
        <f t="shared" ca="1" si="183"/>
        <v>45404.878290046297</v>
      </c>
    </row>
    <row r="2907" spans="6:12" x14ac:dyDescent="0.25">
      <c r="F2907" s="11" t="str">
        <f>IF(ISBLANK(D2907),"",(VLOOKUP(D2907,Cardápio!$A$2:$B$16,2,0))*E2907)</f>
        <v/>
      </c>
      <c r="H2907" s="7" t="str">
        <f t="shared" si="180"/>
        <v/>
      </c>
      <c r="I2907" s="7" t="str">
        <f>IF(AND(ISBLANK(D2907),ISBLANK(C2907)),"",((VLOOKUP(D2907,Cardápio!$A$2:$C$16,3,0))*E2907)+IF(B2907="iFood",F2907*0.27,(VLOOKUP(VENDAS!C2907,Bairros!$A$2:$B$90,2,0))))</f>
        <v/>
      </c>
      <c r="J2907" s="7" t="str">
        <f t="shared" si="181"/>
        <v/>
      </c>
      <c r="K2907" s="9">
        <f t="shared" ca="1" si="182"/>
        <v>45404.878290162036</v>
      </c>
      <c r="L2907" s="10">
        <f t="shared" ca="1" si="183"/>
        <v>45404.878290046297</v>
      </c>
    </row>
    <row r="2908" spans="6:12" x14ac:dyDescent="0.25">
      <c r="F2908" s="11" t="str">
        <f>IF(ISBLANK(D2908),"",(VLOOKUP(D2908,Cardápio!$A$2:$B$16,2,0))*E2908)</f>
        <v/>
      </c>
      <c r="H2908" s="7" t="str">
        <f t="shared" si="180"/>
        <v/>
      </c>
      <c r="I2908" s="7" t="str">
        <f>IF(AND(ISBLANK(D2908),ISBLANK(C2908)),"",((VLOOKUP(D2908,Cardápio!$A$2:$C$16,3,0))*E2908)+IF(B2908="iFood",F2908*0.27,(VLOOKUP(VENDAS!C2908,Bairros!$A$2:$B$90,2,0))))</f>
        <v/>
      </c>
      <c r="J2908" s="7" t="str">
        <f t="shared" si="181"/>
        <v/>
      </c>
      <c r="K2908" s="9">
        <f t="shared" ca="1" si="182"/>
        <v>45404.878290162036</v>
      </c>
      <c r="L2908" s="10">
        <f t="shared" ca="1" si="183"/>
        <v>45404.878290046297</v>
      </c>
    </row>
    <row r="2909" spans="6:12" x14ac:dyDescent="0.25">
      <c r="F2909" s="11" t="str">
        <f>IF(ISBLANK(D2909),"",(VLOOKUP(D2909,Cardápio!$A$2:$B$16,2,0))*E2909)</f>
        <v/>
      </c>
      <c r="H2909" s="7" t="str">
        <f t="shared" si="180"/>
        <v/>
      </c>
      <c r="I2909" s="7" t="str">
        <f>IF(AND(ISBLANK(D2909),ISBLANK(C2909)),"",((VLOOKUP(D2909,Cardápio!$A$2:$C$16,3,0))*E2909)+IF(B2909="iFood",F2909*0.27,(VLOOKUP(VENDAS!C2909,Bairros!$A$2:$B$90,2,0))))</f>
        <v/>
      </c>
      <c r="J2909" s="7" t="str">
        <f t="shared" si="181"/>
        <v/>
      </c>
      <c r="K2909" s="9">
        <f t="shared" ca="1" si="182"/>
        <v>45404.878290277775</v>
      </c>
      <c r="L2909" s="10">
        <f t="shared" ca="1" si="183"/>
        <v>45404.878290046297</v>
      </c>
    </row>
    <row r="2910" spans="6:12" x14ac:dyDescent="0.25">
      <c r="F2910" s="11" t="str">
        <f>IF(ISBLANK(D2910),"",(VLOOKUP(D2910,Cardápio!$A$2:$B$16,2,0))*E2910)</f>
        <v/>
      </c>
      <c r="H2910" s="7" t="str">
        <f t="shared" si="180"/>
        <v/>
      </c>
      <c r="I2910" s="7" t="str">
        <f>IF(AND(ISBLANK(D2910),ISBLANK(C2910)),"",((VLOOKUP(D2910,Cardápio!$A$2:$C$16,3,0))*E2910)+IF(B2910="iFood",F2910*0.27,(VLOOKUP(VENDAS!C2910,Bairros!$A$2:$B$90,2,0))))</f>
        <v/>
      </c>
      <c r="J2910" s="7" t="str">
        <f t="shared" si="181"/>
        <v/>
      </c>
      <c r="K2910" s="9">
        <f t="shared" ca="1" si="182"/>
        <v>45404.878290162036</v>
      </c>
      <c r="L2910" s="10">
        <f t="shared" ca="1" si="183"/>
        <v>45404.878290046297</v>
      </c>
    </row>
    <row r="2911" spans="6:12" x14ac:dyDescent="0.25">
      <c r="F2911" s="11" t="str">
        <f>IF(ISBLANK(D2911),"",(VLOOKUP(D2911,Cardápio!$A$2:$B$16,2,0))*E2911)</f>
        <v/>
      </c>
      <c r="H2911" s="7" t="str">
        <f t="shared" si="180"/>
        <v/>
      </c>
      <c r="I2911" s="7" t="str">
        <f>IF(AND(ISBLANK(D2911),ISBLANK(C2911)),"",((VLOOKUP(D2911,Cardápio!$A$2:$C$16,3,0))*E2911)+IF(B2911="iFood",F2911*0.27,(VLOOKUP(VENDAS!C2911,Bairros!$A$2:$B$90,2,0))))</f>
        <v/>
      </c>
      <c r="J2911" s="7" t="str">
        <f t="shared" si="181"/>
        <v/>
      </c>
      <c r="K2911" s="9">
        <f t="shared" ca="1" si="182"/>
        <v>45404.878290162036</v>
      </c>
      <c r="L2911" s="10">
        <f t="shared" ca="1" si="183"/>
        <v>45404.878290046297</v>
      </c>
    </row>
    <row r="2912" spans="6:12" x14ac:dyDescent="0.25">
      <c r="F2912" s="11" t="str">
        <f>IF(ISBLANK(D2912),"",(VLOOKUP(D2912,Cardápio!$A$2:$B$16,2,0))*E2912)</f>
        <v/>
      </c>
      <c r="H2912" s="7" t="str">
        <f t="shared" si="180"/>
        <v/>
      </c>
      <c r="I2912" s="7" t="str">
        <f>IF(AND(ISBLANK(D2912),ISBLANK(C2912)),"",((VLOOKUP(D2912,Cardápio!$A$2:$C$16,3,0))*E2912)+IF(B2912="iFood",F2912*0.27,(VLOOKUP(VENDAS!C2912,Bairros!$A$2:$B$90,2,0))))</f>
        <v/>
      </c>
      <c r="J2912" s="7" t="str">
        <f t="shared" si="181"/>
        <v/>
      </c>
      <c r="K2912" s="9">
        <f t="shared" ca="1" si="182"/>
        <v>45404.878290162036</v>
      </c>
      <c r="L2912" s="10">
        <f t="shared" ca="1" si="183"/>
        <v>45404.878290046297</v>
      </c>
    </row>
    <row r="2913" spans="6:12" x14ac:dyDescent="0.25">
      <c r="F2913" s="11" t="str">
        <f>IF(ISBLANK(D2913),"",(VLOOKUP(D2913,Cardápio!$A$2:$B$16,2,0))*E2913)</f>
        <v/>
      </c>
      <c r="H2913" s="7" t="str">
        <f t="shared" si="180"/>
        <v/>
      </c>
      <c r="I2913" s="7" t="str">
        <f>IF(AND(ISBLANK(D2913),ISBLANK(C2913)),"",((VLOOKUP(D2913,Cardápio!$A$2:$C$16,3,0))*E2913)+IF(B2913="iFood",F2913*0.27,(VLOOKUP(VENDAS!C2913,Bairros!$A$2:$B$90,2,0))))</f>
        <v/>
      </c>
      <c r="J2913" s="7" t="str">
        <f t="shared" si="181"/>
        <v/>
      </c>
      <c r="K2913" s="9">
        <f t="shared" ca="1" si="182"/>
        <v>45404.878290277775</v>
      </c>
      <c r="L2913" s="10">
        <f t="shared" ca="1" si="183"/>
        <v>45404.878290046297</v>
      </c>
    </row>
    <row r="2914" spans="6:12" x14ac:dyDescent="0.25">
      <c r="F2914" s="11" t="str">
        <f>IF(ISBLANK(D2914),"",(VLOOKUP(D2914,Cardápio!$A$2:$B$16,2,0))*E2914)</f>
        <v/>
      </c>
      <c r="H2914" s="7" t="str">
        <f t="shared" si="180"/>
        <v/>
      </c>
      <c r="I2914" s="7" t="str">
        <f>IF(AND(ISBLANK(D2914),ISBLANK(C2914)),"",((VLOOKUP(D2914,Cardápio!$A$2:$C$16,3,0))*E2914)+IF(B2914="iFood",F2914*0.27,(VLOOKUP(VENDAS!C2914,Bairros!$A$2:$B$90,2,0))))</f>
        <v/>
      </c>
      <c r="J2914" s="7" t="str">
        <f t="shared" si="181"/>
        <v/>
      </c>
      <c r="K2914" s="9">
        <f t="shared" ca="1" si="182"/>
        <v>45404.878290162036</v>
      </c>
      <c r="L2914" s="10">
        <f t="shared" ca="1" si="183"/>
        <v>45404.878290046297</v>
      </c>
    </row>
    <row r="2915" spans="6:12" x14ac:dyDescent="0.25">
      <c r="F2915" s="11" t="str">
        <f>IF(ISBLANK(D2915),"",(VLOOKUP(D2915,Cardápio!$A$2:$B$16,2,0))*E2915)</f>
        <v/>
      </c>
      <c r="H2915" s="7" t="str">
        <f t="shared" si="180"/>
        <v/>
      </c>
      <c r="I2915" s="7" t="str">
        <f>IF(AND(ISBLANK(D2915),ISBLANK(C2915)),"",((VLOOKUP(D2915,Cardápio!$A$2:$C$16,3,0))*E2915)+IF(B2915="iFood",F2915*0.27,(VLOOKUP(VENDAS!C2915,Bairros!$A$2:$B$90,2,0))))</f>
        <v/>
      </c>
      <c r="J2915" s="7" t="str">
        <f t="shared" si="181"/>
        <v/>
      </c>
      <c r="K2915" s="9">
        <f t="shared" ca="1" si="182"/>
        <v>45404.878290162036</v>
      </c>
      <c r="L2915" s="10">
        <f t="shared" ca="1" si="183"/>
        <v>45404.878290046297</v>
      </c>
    </row>
    <row r="2916" spans="6:12" x14ac:dyDescent="0.25">
      <c r="F2916" s="11" t="str">
        <f>IF(ISBLANK(D2916),"",(VLOOKUP(D2916,Cardápio!$A$2:$B$16,2,0))*E2916)</f>
        <v/>
      </c>
      <c r="H2916" s="7" t="str">
        <f t="shared" si="180"/>
        <v/>
      </c>
      <c r="I2916" s="7" t="str">
        <f>IF(AND(ISBLANK(D2916),ISBLANK(C2916)),"",((VLOOKUP(D2916,Cardápio!$A$2:$C$16,3,0))*E2916)+IF(B2916="iFood",F2916*0.27,(VLOOKUP(VENDAS!C2916,Bairros!$A$2:$B$90,2,0))))</f>
        <v/>
      </c>
      <c r="J2916" s="7" t="str">
        <f t="shared" si="181"/>
        <v/>
      </c>
      <c r="K2916" s="9">
        <f t="shared" ca="1" si="182"/>
        <v>45404.878290162036</v>
      </c>
      <c r="L2916" s="10">
        <f t="shared" ca="1" si="183"/>
        <v>45404.878290046297</v>
      </c>
    </row>
    <row r="2917" spans="6:12" x14ac:dyDescent="0.25">
      <c r="F2917" s="11" t="str">
        <f>IF(ISBLANK(D2917),"",(VLOOKUP(D2917,Cardápio!$A$2:$B$16,2,0))*E2917)</f>
        <v/>
      </c>
      <c r="H2917" s="7" t="str">
        <f t="shared" si="180"/>
        <v/>
      </c>
      <c r="I2917" s="7" t="str">
        <f>IF(AND(ISBLANK(D2917),ISBLANK(C2917)),"",((VLOOKUP(D2917,Cardápio!$A$2:$C$16,3,0))*E2917)+IF(B2917="iFood",F2917*0.27,(VLOOKUP(VENDAS!C2917,Bairros!$A$2:$B$90,2,0))))</f>
        <v/>
      </c>
      <c r="J2917" s="7" t="str">
        <f t="shared" si="181"/>
        <v/>
      </c>
      <c r="K2917" s="9">
        <f t="shared" ca="1" si="182"/>
        <v>45404.878290277775</v>
      </c>
      <c r="L2917" s="10">
        <f t="shared" ca="1" si="183"/>
        <v>45404.878290046297</v>
      </c>
    </row>
    <row r="2918" spans="6:12" x14ac:dyDescent="0.25">
      <c r="F2918" s="11" t="str">
        <f>IF(ISBLANK(D2918),"",(VLOOKUP(D2918,Cardápio!$A$2:$B$16,2,0))*E2918)</f>
        <v/>
      </c>
      <c r="H2918" s="7" t="str">
        <f t="shared" si="180"/>
        <v/>
      </c>
      <c r="I2918" s="7" t="str">
        <f>IF(AND(ISBLANK(D2918),ISBLANK(C2918)),"",((VLOOKUP(D2918,Cardápio!$A$2:$C$16,3,0))*E2918)+IF(B2918="iFood",F2918*0.27,(VLOOKUP(VENDAS!C2918,Bairros!$A$2:$B$90,2,0))))</f>
        <v/>
      </c>
      <c r="J2918" s="7" t="str">
        <f t="shared" si="181"/>
        <v/>
      </c>
      <c r="K2918" s="9">
        <f t="shared" ca="1" si="182"/>
        <v>45404.878290162036</v>
      </c>
      <c r="L2918" s="10">
        <f t="shared" ca="1" si="183"/>
        <v>45404.878290046297</v>
      </c>
    </row>
    <row r="2919" spans="6:12" x14ac:dyDescent="0.25">
      <c r="F2919" s="11" t="str">
        <f>IF(ISBLANK(D2919),"",(VLOOKUP(D2919,Cardápio!$A$2:$B$16,2,0))*E2919)</f>
        <v/>
      </c>
      <c r="H2919" s="7" t="str">
        <f t="shared" si="180"/>
        <v/>
      </c>
      <c r="I2919" s="7" t="str">
        <f>IF(AND(ISBLANK(D2919),ISBLANK(C2919)),"",((VLOOKUP(D2919,Cardápio!$A$2:$C$16,3,0))*E2919)+IF(B2919="iFood",F2919*0.27,(VLOOKUP(VENDAS!C2919,Bairros!$A$2:$B$90,2,0))))</f>
        <v/>
      </c>
      <c r="J2919" s="7" t="str">
        <f t="shared" si="181"/>
        <v/>
      </c>
      <c r="K2919" s="9">
        <f t="shared" ca="1" si="182"/>
        <v>45404.878290162036</v>
      </c>
      <c r="L2919" s="10">
        <f t="shared" ca="1" si="183"/>
        <v>45404.878290046297</v>
      </c>
    </row>
    <row r="2920" spans="6:12" x14ac:dyDescent="0.25">
      <c r="F2920" s="11" t="str">
        <f>IF(ISBLANK(D2920),"",(VLOOKUP(D2920,Cardápio!$A$2:$B$16,2,0))*E2920)</f>
        <v/>
      </c>
      <c r="H2920" s="7" t="str">
        <f t="shared" si="180"/>
        <v/>
      </c>
      <c r="I2920" s="7" t="str">
        <f>IF(AND(ISBLANK(D2920),ISBLANK(C2920)),"",((VLOOKUP(D2920,Cardápio!$A$2:$C$16,3,0))*E2920)+IF(B2920="iFood",F2920*0.27,(VLOOKUP(VENDAS!C2920,Bairros!$A$2:$B$90,2,0))))</f>
        <v/>
      </c>
      <c r="J2920" s="7" t="str">
        <f t="shared" si="181"/>
        <v/>
      </c>
      <c r="K2920" s="9">
        <f t="shared" ca="1" si="182"/>
        <v>45404.878290162036</v>
      </c>
      <c r="L2920" s="10">
        <f t="shared" ca="1" si="183"/>
        <v>45404.878290046297</v>
      </c>
    </row>
    <row r="2921" spans="6:12" x14ac:dyDescent="0.25">
      <c r="F2921" s="11" t="str">
        <f>IF(ISBLANK(D2921),"",(VLOOKUP(D2921,Cardápio!$A$2:$B$16,2,0))*E2921)</f>
        <v/>
      </c>
      <c r="H2921" s="7" t="str">
        <f t="shared" si="180"/>
        <v/>
      </c>
      <c r="I2921" s="7" t="str">
        <f>IF(AND(ISBLANK(D2921),ISBLANK(C2921)),"",((VLOOKUP(D2921,Cardápio!$A$2:$C$16,3,0))*E2921)+IF(B2921="iFood",F2921*0.27,(VLOOKUP(VENDAS!C2921,Bairros!$A$2:$B$90,2,0))))</f>
        <v/>
      </c>
      <c r="J2921" s="7" t="str">
        <f t="shared" si="181"/>
        <v/>
      </c>
      <c r="K2921" s="9">
        <f t="shared" ca="1" si="182"/>
        <v>45404.878290277775</v>
      </c>
      <c r="L2921" s="10">
        <f t="shared" ca="1" si="183"/>
        <v>45404.878290046297</v>
      </c>
    </row>
    <row r="2922" spans="6:12" x14ac:dyDescent="0.25">
      <c r="F2922" s="11" t="str">
        <f>IF(ISBLANK(D2922),"",(VLOOKUP(D2922,Cardápio!$A$2:$B$16,2,0))*E2922)</f>
        <v/>
      </c>
      <c r="H2922" s="7" t="str">
        <f t="shared" si="180"/>
        <v/>
      </c>
      <c r="I2922" s="7" t="str">
        <f>IF(AND(ISBLANK(D2922),ISBLANK(C2922)),"",((VLOOKUP(D2922,Cardápio!$A$2:$C$16,3,0))*E2922)+IF(B2922="iFood",F2922*0.27,(VLOOKUP(VENDAS!C2922,Bairros!$A$2:$B$90,2,0))))</f>
        <v/>
      </c>
      <c r="J2922" s="7" t="str">
        <f t="shared" si="181"/>
        <v/>
      </c>
      <c r="K2922" s="9">
        <f t="shared" ca="1" si="182"/>
        <v>45404.878290162036</v>
      </c>
      <c r="L2922" s="10">
        <f t="shared" ca="1" si="183"/>
        <v>45404.878290046297</v>
      </c>
    </row>
    <row r="2923" spans="6:12" x14ac:dyDescent="0.25">
      <c r="F2923" s="11" t="str">
        <f>IF(ISBLANK(D2923),"",(VLOOKUP(D2923,Cardápio!$A$2:$B$16,2,0))*E2923)</f>
        <v/>
      </c>
      <c r="H2923" s="7" t="str">
        <f t="shared" si="180"/>
        <v/>
      </c>
      <c r="I2923" s="7" t="str">
        <f>IF(AND(ISBLANK(D2923),ISBLANK(C2923)),"",((VLOOKUP(D2923,Cardápio!$A$2:$C$16,3,0))*E2923)+IF(B2923="iFood",F2923*0.27,(VLOOKUP(VENDAS!C2923,Bairros!$A$2:$B$90,2,0))))</f>
        <v/>
      </c>
      <c r="J2923" s="7" t="str">
        <f t="shared" si="181"/>
        <v/>
      </c>
      <c r="K2923" s="9">
        <f t="shared" ca="1" si="182"/>
        <v>45404.878290162036</v>
      </c>
      <c r="L2923" s="10">
        <f t="shared" ca="1" si="183"/>
        <v>45404.878290046297</v>
      </c>
    </row>
    <row r="2924" spans="6:12" x14ac:dyDescent="0.25">
      <c r="F2924" s="11" t="str">
        <f>IF(ISBLANK(D2924),"",(VLOOKUP(D2924,Cardápio!$A$2:$B$16,2,0))*E2924)</f>
        <v/>
      </c>
      <c r="H2924" s="7" t="str">
        <f t="shared" si="180"/>
        <v/>
      </c>
      <c r="I2924" s="7" t="str">
        <f>IF(AND(ISBLANK(D2924),ISBLANK(C2924)),"",((VLOOKUP(D2924,Cardápio!$A$2:$C$16,3,0))*E2924)+IF(B2924="iFood",F2924*0.27,(VLOOKUP(VENDAS!C2924,Bairros!$A$2:$B$90,2,0))))</f>
        <v/>
      </c>
      <c r="J2924" s="7" t="str">
        <f t="shared" si="181"/>
        <v/>
      </c>
      <c r="K2924" s="9">
        <f t="shared" ca="1" si="182"/>
        <v>45404.878290162036</v>
      </c>
      <c r="L2924" s="10">
        <f t="shared" ca="1" si="183"/>
        <v>45404.878290046297</v>
      </c>
    </row>
    <row r="2925" spans="6:12" x14ac:dyDescent="0.25">
      <c r="F2925" s="11" t="str">
        <f>IF(ISBLANK(D2925),"",(VLOOKUP(D2925,Cardápio!$A$2:$B$16,2,0))*E2925)</f>
        <v/>
      </c>
      <c r="H2925" s="7" t="str">
        <f t="shared" si="180"/>
        <v/>
      </c>
      <c r="I2925" s="7" t="str">
        <f>IF(AND(ISBLANK(D2925),ISBLANK(C2925)),"",((VLOOKUP(D2925,Cardápio!$A$2:$C$16,3,0))*E2925)+IF(B2925="iFood",F2925*0.27,(VLOOKUP(VENDAS!C2925,Bairros!$A$2:$B$90,2,0))))</f>
        <v/>
      </c>
      <c r="J2925" s="7" t="str">
        <f t="shared" si="181"/>
        <v/>
      </c>
      <c r="K2925" s="9">
        <f t="shared" ca="1" si="182"/>
        <v>45404.878290277775</v>
      </c>
      <c r="L2925" s="10">
        <f t="shared" ca="1" si="183"/>
        <v>45404.878290046297</v>
      </c>
    </row>
    <row r="2926" spans="6:12" x14ac:dyDescent="0.25">
      <c r="F2926" s="11" t="str">
        <f>IF(ISBLANK(D2926),"",(VLOOKUP(D2926,Cardápio!$A$2:$B$16,2,0))*E2926)</f>
        <v/>
      </c>
      <c r="H2926" s="7" t="str">
        <f t="shared" si="180"/>
        <v/>
      </c>
      <c r="I2926" s="7" t="str">
        <f>IF(AND(ISBLANK(D2926),ISBLANK(C2926)),"",((VLOOKUP(D2926,Cardápio!$A$2:$C$16,3,0))*E2926)+IF(B2926="iFood",F2926*0.27,(VLOOKUP(VENDAS!C2926,Bairros!$A$2:$B$90,2,0))))</f>
        <v/>
      </c>
      <c r="J2926" s="7" t="str">
        <f t="shared" si="181"/>
        <v/>
      </c>
      <c r="K2926" s="9">
        <f t="shared" ca="1" si="182"/>
        <v>45404.878290162036</v>
      </c>
      <c r="L2926" s="10">
        <f t="shared" ca="1" si="183"/>
        <v>45404.878290046297</v>
      </c>
    </row>
    <row r="2927" spans="6:12" x14ac:dyDescent="0.25">
      <c r="F2927" s="11" t="str">
        <f>IF(ISBLANK(D2927),"",(VLOOKUP(D2927,Cardápio!$A$2:$B$16,2,0))*E2927)</f>
        <v/>
      </c>
      <c r="H2927" s="7" t="str">
        <f t="shared" si="180"/>
        <v/>
      </c>
      <c r="I2927" s="7" t="str">
        <f>IF(AND(ISBLANK(D2927),ISBLANK(C2927)),"",((VLOOKUP(D2927,Cardápio!$A$2:$C$16,3,0))*E2927)+IF(B2927="iFood",F2927*0.27,(VLOOKUP(VENDAS!C2927,Bairros!$A$2:$B$90,2,0))))</f>
        <v/>
      </c>
      <c r="J2927" s="7" t="str">
        <f t="shared" si="181"/>
        <v/>
      </c>
      <c r="K2927" s="9">
        <f t="shared" ca="1" si="182"/>
        <v>45404.878290162036</v>
      </c>
      <c r="L2927" s="10">
        <f t="shared" ca="1" si="183"/>
        <v>45404.878290046297</v>
      </c>
    </row>
    <row r="2928" spans="6:12" x14ac:dyDescent="0.25">
      <c r="F2928" s="11" t="str">
        <f>IF(ISBLANK(D2928),"",(VLOOKUP(D2928,Cardápio!$A$2:$B$16,2,0))*E2928)</f>
        <v/>
      </c>
      <c r="H2928" s="7" t="str">
        <f t="shared" si="180"/>
        <v/>
      </c>
      <c r="I2928" s="7" t="str">
        <f>IF(AND(ISBLANK(D2928),ISBLANK(C2928)),"",((VLOOKUP(D2928,Cardápio!$A$2:$C$16,3,0))*E2928)+IF(B2928="iFood",F2928*0.27,(VLOOKUP(VENDAS!C2928,Bairros!$A$2:$B$90,2,0))))</f>
        <v/>
      </c>
      <c r="J2928" s="7" t="str">
        <f t="shared" si="181"/>
        <v/>
      </c>
      <c r="K2928" s="9">
        <f t="shared" ca="1" si="182"/>
        <v>45404.878290162036</v>
      </c>
      <c r="L2928" s="10">
        <f t="shared" ca="1" si="183"/>
        <v>45404.878290046297</v>
      </c>
    </row>
    <row r="2929" spans="6:12" x14ac:dyDescent="0.25">
      <c r="F2929" s="11" t="str">
        <f>IF(ISBLANK(D2929),"",(VLOOKUP(D2929,Cardápio!$A$2:$B$16,2,0))*E2929)</f>
        <v/>
      </c>
      <c r="H2929" s="7" t="str">
        <f t="shared" si="180"/>
        <v/>
      </c>
      <c r="I2929" s="7" t="str">
        <f>IF(AND(ISBLANK(D2929),ISBLANK(C2929)),"",((VLOOKUP(D2929,Cardápio!$A$2:$C$16,3,0))*E2929)+IF(B2929="iFood",F2929*0.27,(VLOOKUP(VENDAS!C2929,Bairros!$A$2:$B$90,2,0))))</f>
        <v/>
      </c>
      <c r="J2929" s="7" t="str">
        <f t="shared" si="181"/>
        <v/>
      </c>
      <c r="K2929" s="9">
        <f t="shared" ca="1" si="182"/>
        <v>45404.878290277775</v>
      </c>
      <c r="L2929" s="10">
        <f t="shared" ca="1" si="183"/>
        <v>45404.878290046297</v>
      </c>
    </row>
    <row r="2930" spans="6:12" x14ac:dyDescent="0.25">
      <c r="F2930" s="11" t="str">
        <f>IF(ISBLANK(D2930),"",(VLOOKUP(D2930,Cardápio!$A$2:$B$16,2,0))*E2930)</f>
        <v/>
      </c>
      <c r="H2930" s="7" t="str">
        <f t="shared" si="180"/>
        <v/>
      </c>
      <c r="I2930" s="7" t="str">
        <f>IF(AND(ISBLANK(D2930),ISBLANK(C2930)),"",((VLOOKUP(D2930,Cardápio!$A$2:$C$16,3,0))*E2930)+IF(B2930="iFood",F2930*0.27,(VLOOKUP(VENDAS!C2930,Bairros!$A$2:$B$90,2,0))))</f>
        <v/>
      </c>
      <c r="J2930" s="7" t="str">
        <f t="shared" si="181"/>
        <v/>
      </c>
      <c r="K2930" s="9">
        <f t="shared" ca="1" si="182"/>
        <v>45404.878290162036</v>
      </c>
      <c r="L2930" s="10">
        <f t="shared" ca="1" si="183"/>
        <v>45404.878290046297</v>
      </c>
    </row>
    <row r="2931" spans="6:12" x14ac:dyDescent="0.25">
      <c r="F2931" s="11" t="str">
        <f>IF(ISBLANK(D2931),"",(VLOOKUP(D2931,Cardápio!$A$2:$B$16,2,0))*E2931)</f>
        <v/>
      </c>
      <c r="H2931" s="7" t="str">
        <f t="shared" si="180"/>
        <v/>
      </c>
      <c r="I2931" s="7" t="str">
        <f>IF(AND(ISBLANK(D2931),ISBLANK(C2931)),"",((VLOOKUP(D2931,Cardápio!$A$2:$C$16,3,0))*E2931)+IF(B2931="iFood",F2931*0.27,(VLOOKUP(VENDAS!C2931,Bairros!$A$2:$B$90,2,0))))</f>
        <v/>
      </c>
      <c r="J2931" s="7" t="str">
        <f t="shared" si="181"/>
        <v/>
      </c>
      <c r="K2931" s="9">
        <f t="shared" ca="1" si="182"/>
        <v>45404.878290162036</v>
      </c>
      <c r="L2931" s="10">
        <f t="shared" ca="1" si="183"/>
        <v>45404.878290046297</v>
      </c>
    </row>
    <row r="2932" spans="6:12" x14ac:dyDescent="0.25">
      <c r="F2932" s="11" t="str">
        <f>IF(ISBLANK(D2932),"",(VLOOKUP(D2932,Cardápio!$A$2:$B$16,2,0))*E2932)</f>
        <v/>
      </c>
      <c r="H2932" s="7" t="str">
        <f t="shared" si="180"/>
        <v/>
      </c>
      <c r="I2932" s="7" t="str">
        <f>IF(AND(ISBLANK(D2932),ISBLANK(C2932)),"",((VLOOKUP(D2932,Cardápio!$A$2:$C$16,3,0))*E2932)+IF(B2932="iFood",F2932*0.27,(VLOOKUP(VENDAS!C2932,Bairros!$A$2:$B$90,2,0))))</f>
        <v/>
      </c>
      <c r="J2932" s="7" t="str">
        <f t="shared" si="181"/>
        <v/>
      </c>
      <c r="K2932" s="9">
        <f t="shared" ca="1" si="182"/>
        <v>45404.878290162036</v>
      </c>
      <c r="L2932" s="10">
        <f t="shared" ca="1" si="183"/>
        <v>45404.878290046297</v>
      </c>
    </row>
    <row r="2933" spans="6:12" x14ac:dyDescent="0.25">
      <c r="F2933" s="11" t="str">
        <f>IF(ISBLANK(D2933),"",(VLOOKUP(D2933,Cardápio!$A$2:$B$16,2,0))*E2933)</f>
        <v/>
      </c>
      <c r="H2933" s="7" t="str">
        <f t="shared" ref="H2933:H2996" si="184">IF(ISBLANK(D2933),"",F2933-G2933)</f>
        <v/>
      </c>
      <c r="I2933" s="7" t="str">
        <f>IF(AND(ISBLANK(D2933),ISBLANK(C2933)),"",((VLOOKUP(D2933,Cardápio!$A$2:$C$16,3,0))*E2933)+IF(B2933="iFood",F2933*0.27,(VLOOKUP(VENDAS!C2933,Bairros!$A$2:$B$90,2,0))))</f>
        <v/>
      </c>
      <c r="J2933" s="7" t="str">
        <f t="shared" ref="J2933:J2996" si="185">IF(OR(AND(ISBLANK(H2933),ISBLANK(I2933)),(AND(H2933="",I2933=""))),"",H2933-I2933)</f>
        <v/>
      </c>
      <c r="K2933" s="9">
        <f t="shared" ref="K2933:K2996" ca="1" si="186">IF(D2933&lt;&gt;"",K2933,NOW())</f>
        <v>45404.878290277775</v>
      </c>
      <c r="L2933" s="10">
        <f t="shared" ref="L2933:L2996" ca="1" si="187">IF(D2933&lt;&gt;"",L2933,NOW())</f>
        <v>45404.878290046297</v>
      </c>
    </row>
    <row r="2934" spans="6:12" x14ac:dyDescent="0.25">
      <c r="F2934" s="11" t="str">
        <f>IF(ISBLANK(D2934),"",(VLOOKUP(D2934,Cardápio!$A$2:$B$16,2,0))*E2934)</f>
        <v/>
      </c>
      <c r="H2934" s="7" t="str">
        <f t="shared" si="184"/>
        <v/>
      </c>
      <c r="I2934" s="7" t="str">
        <f>IF(AND(ISBLANK(D2934),ISBLANK(C2934)),"",((VLOOKUP(D2934,Cardápio!$A$2:$C$16,3,0))*E2934)+IF(B2934="iFood",F2934*0.27,(VLOOKUP(VENDAS!C2934,Bairros!$A$2:$B$90,2,0))))</f>
        <v/>
      </c>
      <c r="J2934" s="7" t="str">
        <f t="shared" si="185"/>
        <v/>
      </c>
      <c r="K2934" s="9">
        <f t="shared" ca="1" si="186"/>
        <v>45404.878290162036</v>
      </c>
      <c r="L2934" s="10">
        <f t="shared" ca="1" si="187"/>
        <v>45404.878290046297</v>
      </c>
    </row>
    <row r="2935" spans="6:12" x14ac:dyDescent="0.25">
      <c r="F2935" s="11" t="str">
        <f>IF(ISBLANK(D2935),"",(VLOOKUP(D2935,Cardápio!$A$2:$B$16,2,0))*E2935)</f>
        <v/>
      </c>
      <c r="H2935" s="7" t="str">
        <f t="shared" si="184"/>
        <v/>
      </c>
      <c r="I2935" s="7" t="str">
        <f>IF(AND(ISBLANK(D2935),ISBLANK(C2935)),"",((VLOOKUP(D2935,Cardápio!$A$2:$C$16,3,0))*E2935)+IF(B2935="iFood",F2935*0.27,(VLOOKUP(VENDAS!C2935,Bairros!$A$2:$B$90,2,0))))</f>
        <v/>
      </c>
      <c r="J2935" s="7" t="str">
        <f t="shared" si="185"/>
        <v/>
      </c>
      <c r="K2935" s="9">
        <f t="shared" ca="1" si="186"/>
        <v>45404.878290162036</v>
      </c>
      <c r="L2935" s="10">
        <f t="shared" ca="1" si="187"/>
        <v>45404.878290046297</v>
      </c>
    </row>
    <row r="2936" spans="6:12" x14ac:dyDescent="0.25">
      <c r="F2936" s="11" t="str">
        <f>IF(ISBLANK(D2936),"",(VLOOKUP(D2936,Cardápio!$A$2:$B$16,2,0))*E2936)</f>
        <v/>
      </c>
      <c r="H2936" s="7" t="str">
        <f t="shared" si="184"/>
        <v/>
      </c>
      <c r="I2936" s="7" t="str">
        <f>IF(AND(ISBLANK(D2936),ISBLANK(C2936)),"",((VLOOKUP(D2936,Cardápio!$A$2:$C$16,3,0))*E2936)+IF(B2936="iFood",F2936*0.27,(VLOOKUP(VENDAS!C2936,Bairros!$A$2:$B$90,2,0))))</f>
        <v/>
      </c>
      <c r="J2936" s="7" t="str">
        <f t="shared" si="185"/>
        <v/>
      </c>
      <c r="K2936" s="9">
        <f t="shared" ca="1" si="186"/>
        <v>45404.878290162036</v>
      </c>
      <c r="L2936" s="10">
        <f t="shared" ca="1" si="187"/>
        <v>45404.878290046297</v>
      </c>
    </row>
    <row r="2937" spans="6:12" x14ac:dyDescent="0.25">
      <c r="F2937" s="11" t="str">
        <f>IF(ISBLANK(D2937),"",(VLOOKUP(D2937,Cardápio!$A$2:$B$16,2,0))*E2937)</f>
        <v/>
      </c>
      <c r="H2937" s="7" t="str">
        <f t="shared" si="184"/>
        <v/>
      </c>
      <c r="I2937" s="7" t="str">
        <f>IF(AND(ISBLANK(D2937),ISBLANK(C2937)),"",((VLOOKUP(D2937,Cardápio!$A$2:$C$16,3,0))*E2937)+IF(B2937="iFood",F2937*0.27,(VLOOKUP(VENDAS!C2937,Bairros!$A$2:$B$90,2,0))))</f>
        <v/>
      </c>
      <c r="J2937" s="7" t="str">
        <f t="shared" si="185"/>
        <v/>
      </c>
      <c r="K2937" s="9">
        <f t="shared" ca="1" si="186"/>
        <v>45404.878290277775</v>
      </c>
      <c r="L2937" s="10">
        <f t="shared" ca="1" si="187"/>
        <v>45404.878290046297</v>
      </c>
    </row>
    <row r="2938" spans="6:12" x14ac:dyDescent="0.25">
      <c r="F2938" s="11" t="str">
        <f>IF(ISBLANK(D2938),"",(VLOOKUP(D2938,Cardápio!$A$2:$B$16,2,0))*E2938)</f>
        <v/>
      </c>
      <c r="H2938" s="7" t="str">
        <f t="shared" si="184"/>
        <v/>
      </c>
      <c r="I2938" s="7" t="str">
        <f>IF(AND(ISBLANK(D2938),ISBLANK(C2938)),"",((VLOOKUP(D2938,Cardápio!$A$2:$C$16,3,0))*E2938)+IF(B2938="iFood",F2938*0.27,(VLOOKUP(VENDAS!C2938,Bairros!$A$2:$B$90,2,0))))</f>
        <v/>
      </c>
      <c r="J2938" s="7" t="str">
        <f t="shared" si="185"/>
        <v/>
      </c>
      <c r="K2938" s="9">
        <f t="shared" ca="1" si="186"/>
        <v>45404.878290162036</v>
      </c>
      <c r="L2938" s="10">
        <f t="shared" ca="1" si="187"/>
        <v>45404.878290046297</v>
      </c>
    </row>
    <row r="2939" spans="6:12" x14ac:dyDescent="0.25">
      <c r="F2939" s="11" t="str">
        <f>IF(ISBLANK(D2939),"",(VLOOKUP(D2939,Cardápio!$A$2:$B$16,2,0))*E2939)</f>
        <v/>
      </c>
      <c r="H2939" s="7" t="str">
        <f t="shared" si="184"/>
        <v/>
      </c>
      <c r="I2939" s="7" t="str">
        <f>IF(AND(ISBLANK(D2939),ISBLANK(C2939)),"",((VLOOKUP(D2939,Cardápio!$A$2:$C$16,3,0))*E2939)+IF(B2939="iFood",F2939*0.27,(VLOOKUP(VENDAS!C2939,Bairros!$A$2:$B$90,2,0))))</f>
        <v/>
      </c>
      <c r="J2939" s="7" t="str">
        <f t="shared" si="185"/>
        <v/>
      </c>
      <c r="K2939" s="9">
        <f t="shared" ca="1" si="186"/>
        <v>45404.878290162036</v>
      </c>
      <c r="L2939" s="10">
        <f t="shared" ca="1" si="187"/>
        <v>45404.878290046297</v>
      </c>
    </row>
    <row r="2940" spans="6:12" x14ac:dyDescent="0.25">
      <c r="F2940" s="11" t="str">
        <f>IF(ISBLANK(D2940),"",(VLOOKUP(D2940,Cardápio!$A$2:$B$16,2,0))*E2940)</f>
        <v/>
      </c>
      <c r="H2940" s="7" t="str">
        <f t="shared" si="184"/>
        <v/>
      </c>
      <c r="I2940" s="7" t="str">
        <f>IF(AND(ISBLANK(D2940),ISBLANK(C2940)),"",((VLOOKUP(D2940,Cardápio!$A$2:$C$16,3,0))*E2940)+IF(B2940="iFood",F2940*0.27,(VLOOKUP(VENDAS!C2940,Bairros!$A$2:$B$90,2,0))))</f>
        <v/>
      </c>
      <c r="J2940" s="7" t="str">
        <f t="shared" si="185"/>
        <v/>
      </c>
      <c r="K2940" s="9">
        <f t="shared" ca="1" si="186"/>
        <v>45404.878290162036</v>
      </c>
      <c r="L2940" s="10">
        <f t="shared" ca="1" si="187"/>
        <v>45404.878290046297</v>
      </c>
    </row>
    <row r="2941" spans="6:12" x14ac:dyDescent="0.25">
      <c r="F2941" s="11" t="str">
        <f>IF(ISBLANK(D2941),"",(VLOOKUP(D2941,Cardápio!$A$2:$B$16,2,0))*E2941)</f>
        <v/>
      </c>
      <c r="H2941" s="7" t="str">
        <f t="shared" si="184"/>
        <v/>
      </c>
      <c r="I2941" s="7" t="str">
        <f>IF(AND(ISBLANK(D2941),ISBLANK(C2941)),"",((VLOOKUP(D2941,Cardápio!$A$2:$C$16,3,0))*E2941)+IF(B2941="iFood",F2941*0.27,(VLOOKUP(VENDAS!C2941,Bairros!$A$2:$B$90,2,0))))</f>
        <v/>
      </c>
      <c r="J2941" s="7" t="str">
        <f t="shared" si="185"/>
        <v/>
      </c>
      <c r="K2941" s="9">
        <f t="shared" ca="1" si="186"/>
        <v>45404.878290277775</v>
      </c>
      <c r="L2941" s="10">
        <f t="shared" ca="1" si="187"/>
        <v>45404.878290046297</v>
      </c>
    </row>
    <row r="2942" spans="6:12" x14ac:dyDescent="0.25">
      <c r="F2942" s="11" t="str">
        <f>IF(ISBLANK(D2942),"",(VLOOKUP(D2942,Cardápio!$A$2:$B$16,2,0))*E2942)</f>
        <v/>
      </c>
      <c r="H2942" s="7" t="str">
        <f t="shared" si="184"/>
        <v/>
      </c>
      <c r="I2942" s="7" t="str">
        <f>IF(AND(ISBLANK(D2942),ISBLANK(C2942)),"",((VLOOKUP(D2942,Cardápio!$A$2:$C$16,3,0))*E2942)+IF(B2942="iFood",F2942*0.27,(VLOOKUP(VENDAS!C2942,Bairros!$A$2:$B$90,2,0))))</f>
        <v/>
      </c>
      <c r="J2942" s="7" t="str">
        <f t="shared" si="185"/>
        <v/>
      </c>
      <c r="K2942" s="9">
        <f t="shared" ca="1" si="186"/>
        <v>45404.878290162036</v>
      </c>
      <c r="L2942" s="10">
        <f t="shared" ca="1" si="187"/>
        <v>45404.878290046297</v>
      </c>
    </row>
    <row r="2943" spans="6:12" x14ac:dyDescent="0.25">
      <c r="F2943" s="11" t="str">
        <f>IF(ISBLANK(D2943),"",(VLOOKUP(D2943,Cardápio!$A$2:$B$16,2,0))*E2943)</f>
        <v/>
      </c>
      <c r="H2943" s="7" t="str">
        <f t="shared" si="184"/>
        <v/>
      </c>
      <c r="I2943" s="7" t="str">
        <f>IF(AND(ISBLANK(D2943),ISBLANK(C2943)),"",((VLOOKUP(D2943,Cardápio!$A$2:$C$16,3,0))*E2943)+IF(B2943="iFood",F2943*0.27,(VLOOKUP(VENDAS!C2943,Bairros!$A$2:$B$90,2,0))))</f>
        <v/>
      </c>
      <c r="J2943" s="7" t="str">
        <f t="shared" si="185"/>
        <v/>
      </c>
      <c r="K2943" s="9">
        <f t="shared" ca="1" si="186"/>
        <v>45404.878290162036</v>
      </c>
      <c r="L2943" s="10">
        <f t="shared" ca="1" si="187"/>
        <v>45404.878290046297</v>
      </c>
    </row>
    <row r="2944" spans="6:12" x14ac:dyDescent="0.25">
      <c r="F2944" s="11" t="str">
        <f>IF(ISBLANK(D2944),"",(VLOOKUP(D2944,Cardápio!$A$2:$B$16,2,0))*E2944)</f>
        <v/>
      </c>
      <c r="H2944" s="7" t="str">
        <f t="shared" si="184"/>
        <v/>
      </c>
      <c r="I2944" s="7" t="str">
        <f>IF(AND(ISBLANK(D2944),ISBLANK(C2944)),"",((VLOOKUP(D2944,Cardápio!$A$2:$C$16,3,0))*E2944)+IF(B2944="iFood",F2944*0.27,(VLOOKUP(VENDAS!C2944,Bairros!$A$2:$B$90,2,0))))</f>
        <v/>
      </c>
      <c r="J2944" s="7" t="str">
        <f t="shared" si="185"/>
        <v/>
      </c>
      <c r="K2944" s="9">
        <f t="shared" ca="1" si="186"/>
        <v>45404.878290162036</v>
      </c>
      <c r="L2944" s="10">
        <f t="shared" ca="1" si="187"/>
        <v>45404.878290046297</v>
      </c>
    </row>
    <row r="2945" spans="6:12" x14ac:dyDescent="0.25">
      <c r="F2945" s="11" t="str">
        <f>IF(ISBLANK(D2945),"",(VLOOKUP(D2945,Cardápio!$A$2:$B$16,2,0))*E2945)</f>
        <v/>
      </c>
      <c r="H2945" s="7" t="str">
        <f t="shared" si="184"/>
        <v/>
      </c>
      <c r="I2945" s="7" t="str">
        <f>IF(AND(ISBLANK(D2945),ISBLANK(C2945)),"",((VLOOKUP(D2945,Cardápio!$A$2:$C$16,3,0))*E2945)+IF(B2945="iFood",F2945*0.27,(VLOOKUP(VENDAS!C2945,Bairros!$A$2:$B$90,2,0))))</f>
        <v/>
      </c>
      <c r="J2945" s="7" t="str">
        <f t="shared" si="185"/>
        <v/>
      </c>
      <c r="K2945" s="9">
        <f t="shared" ca="1" si="186"/>
        <v>45404.878290277775</v>
      </c>
      <c r="L2945" s="10">
        <f t="shared" ca="1" si="187"/>
        <v>45404.878290046297</v>
      </c>
    </row>
    <row r="2946" spans="6:12" x14ac:dyDescent="0.25">
      <c r="F2946" s="11" t="str">
        <f>IF(ISBLANK(D2946),"",(VLOOKUP(D2946,Cardápio!$A$2:$B$16,2,0))*E2946)</f>
        <v/>
      </c>
      <c r="H2946" s="7" t="str">
        <f t="shared" si="184"/>
        <v/>
      </c>
      <c r="I2946" s="7" t="str">
        <f>IF(AND(ISBLANK(D2946),ISBLANK(C2946)),"",((VLOOKUP(D2946,Cardápio!$A$2:$C$16,3,0))*E2946)+IF(B2946="iFood",F2946*0.27,(VLOOKUP(VENDAS!C2946,Bairros!$A$2:$B$90,2,0))))</f>
        <v/>
      </c>
      <c r="J2946" s="7" t="str">
        <f t="shared" si="185"/>
        <v/>
      </c>
      <c r="K2946" s="9">
        <f t="shared" ca="1" si="186"/>
        <v>45404.878290162036</v>
      </c>
      <c r="L2946" s="10">
        <f t="shared" ca="1" si="187"/>
        <v>45404.878290046297</v>
      </c>
    </row>
    <row r="2947" spans="6:12" x14ac:dyDescent="0.25">
      <c r="F2947" s="11" t="str">
        <f>IF(ISBLANK(D2947),"",(VLOOKUP(D2947,Cardápio!$A$2:$B$16,2,0))*E2947)</f>
        <v/>
      </c>
      <c r="H2947" s="7" t="str">
        <f t="shared" si="184"/>
        <v/>
      </c>
      <c r="I2947" s="7" t="str">
        <f>IF(AND(ISBLANK(D2947),ISBLANK(C2947)),"",((VLOOKUP(D2947,Cardápio!$A$2:$C$16,3,0))*E2947)+IF(B2947="iFood",F2947*0.27,(VLOOKUP(VENDAS!C2947,Bairros!$A$2:$B$90,2,0))))</f>
        <v/>
      </c>
      <c r="J2947" s="7" t="str">
        <f t="shared" si="185"/>
        <v/>
      </c>
      <c r="K2947" s="9">
        <f t="shared" ca="1" si="186"/>
        <v>45404.878290162036</v>
      </c>
      <c r="L2947" s="10">
        <f t="shared" ca="1" si="187"/>
        <v>45404.878290046297</v>
      </c>
    </row>
    <row r="2948" spans="6:12" x14ac:dyDescent="0.25">
      <c r="F2948" s="11" t="str">
        <f>IF(ISBLANK(D2948),"",(VLOOKUP(D2948,Cardápio!$A$2:$B$16,2,0))*E2948)</f>
        <v/>
      </c>
      <c r="H2948" s="7" t="str">
        <f t="shared" si="184"/>
        <v/>
      </c>
      <c r="I2948" s="7" t="str">
        <f>IF(AND(ISBLANK(D2948),ISBLANK(C2948)),"",((VLOOKUP(D2948,Cardápio!$A$2:$C$16,3,0))*E2948)+IF(B2948="iFood",F2948*0.27,(VLOOKUP(VENDAS!C2948,Bairros!$A$2:$B$90,2,0))))</f>
        <v/>
      </c>
      <c r="J2948" s="7" t="str">
        <f t="shared" si="185"/>
        <v/>
      </c>
      <c r="K2948" s="9">
        <f t="shared" ca="1" si="186"/>
        <v>45404.878290162036</v>
      </c>
      <c r="L2948" s="10">
        <f t="shared" ca="1" si="187"/>
        <v>45404.878290046297</v>
      </c>
    </row>
    <row r="2949" spans="6:12" x14ac:dyDescent="0.25">
      <c r="F2949" s="11" t="str">
        <f>IF(ISBLANK(D2949),"",(VLOOKUP(D2949,Cardápio!$A$2:$B$16,2,0))*E2949)</f>
        <v/>
      </c>
      <c r="H2949" s="7" t="str">
        <f t="shared" si="184"/>
        <v/>
      </c>
      <c r="I2949" s="7" t="str">
        <f>IF(AND(ISBLANK(D2949),ISBLANK(C2949)),"",((VLOOKUP(D2949,Cardápio!$A$2:$C$16,3,0))*E2949)+IF(B2949="iFood",F2949*0.27,(VLOOKUP(VENDAS!C2949,Bairros!$A$2:$B$90,2,0))))</f>
        <v/>
      </c>
      <c r="J2949" s="7" t="str">
        <f t="shared" si="185"/>
        <v/>
      </c>
      <c r="K2949" s="9">
        <f t="shared" ca="1" si="186"/>
        <v>45404.878290277775</v>
      </c>
      <c r="L2949" s="10">
        <f t="shared" ca="1" si="187"/>
        <v>45404.878290046297</v>
      </c>
    </row>
    <row r="2950" spans="6:12" x14ac:dyDescent="0.25">
      <c r="F2950" s="11" t="str">
        <f>IF(ISBLANK(D2950),"",(VLOOKUP(D2950,Cardápio!$A$2:$B$16,2,0))*E2950)</f>
        <v/>
      </c>
      <c r="H2950" s="7" t="str">
        <f t="shared" si="184"/>
        <v/>
      </c>
      <c r="I2950" s="7" t="str">
        <f>IF(AND(ISBLANK(D2950),ISBLANK(C2950)),"",((VLOOKUP(D2950,Cardápio!$A$2:$C$16,3,0))*E2950)+IF(B2950="iFood",F2950*0.27,(VLOOKUP(VENDAS!C2950,Bairros!$A$2:$B$90,2,0))))</f>
        <v/>
      </c>
      <c r="J2950" s="7" t="str">
        <f t="shared" si="185"/>
        <v/>
      </c>
      <c r="K2950" s="9">
        <f t="shared" ca="1" si="186"/>
        <v>45404.878290162036</v>
      </c>
      <c r="L2950" s="10">
        <f t="shared" ca="1" si="187"/>
        <v>45404.878290046297</v>
      </c>
    </row>
    <row r="2951" spans="6:12" x14ac:dyDescent="0.25">
      <c r="F2951" s="11" t="str">
        <f>IF(ISBLANK(D2951),"",(VLOOKUP(D2951,Cardápio!$A$2:$B$16,2,0))*E2951)</f>
        <v/>
      </c>
      <c r="H2951" s="7" t="str">
        <f t="shared" si="184"/>
        <v/>
      </c>
      <c r="I2951" s="7" t="str">
        <f>IF(AND(ISBLANK(D2951),ISBLANK(C2951)),"",((VLOOKUP(D2951,Cardápio!$A$2:$C$16,3,0))*E2951)+IF(B2951="iFood",F2951*0.27,(VLOOKUP(VENDAS!C2951,Bairros!$A$2:$B$90,2,0))))</f>
        <v/>
      </c>
      <c r="J2951" s="7" t="str">
        <f t="shared" si="185"/>
        <v/>
      </c>
      <c r="K2951" s="9">
        <f t="shared" ca="1" si="186"/>
        <v>45404.878290162036</v>
      </c>
      <c r="L2951" s="10">
        <f t="shared" ca="1" si="187"/>
        <v>45404.878290046297</v>
      </c>
    </row>
    <row r="2952" spans="6:12" x14ac:dyDescent="0.25">
      <c r="F2952" s="11" t="str">
        <f>IF(ISBLANK(D2952),"",(VLOOKUP(D2952,Cardápio!$A$2:$B$16,2,0))*E2952)</f>
        <v/>
      </c>
      <c r="H2952" s="7" t="str">
        <f t="shared" si="184"/>
        <v/>
      </c>
      <c r="I2952" s="7" t="str">
        <f>IF(AND(ISBLANK(D2952),ISBLANK(C2952)),"",((VLOOKUP(D2952,Cardápio!$A$2:$C$16,3,0))*E2952)+IF(B2952="iFood",F2952*0.27,(VLOOKUP(VENDAS!C2952,Bairros!$A$2:$B$90,2,0))))</f>
        <v/>
      </c>
      <c r="J2952" s="7" t="str">
        <f t="shared" si="185"/>
        <v/>
      </c>
      <c r="K2952" s="9">
        <f t="shared" ca="1" si="186"/>
        <v>45404.878290162036</v>
      </c>
      <c r="L2952" s="10">
        <f t="shared" ca="1" si="187"/>
        <v>45404.878290046297</v>
      </c>
    </row>
    <row r="2953" spans="6:12" x14ac:dyDescent="0.25">
      <c r="F2953" s="11" t="str">
        <f>IF(ISBLANK(D2953),"",(VLOOKUP(D2953,Cardápio!$A$2:$B$16,2,0))*E2953)</f>
        <v/>
      </c>
      <c r="H2953" s="7" t="str">
        <f t="shared" si="184"/>
        <v/>
      </c>
      <c r="I2953" s="7" t="str">
        <f>IF(AND(ISBLANK(D2953),ISBLANK(C2953)),"",((VLOOKUP(D2953,Cardápio!$A$2:$C$16,3,0))*E2953)+IF(B2953="iFood",F2953*0.27,(VLOOKUP(VENDAS!C2953,Bairros!$A$2:$B$90,2,0))))</f>
        <v/>
      </c>
      <c r="J2953" s="7" t="str">
        <f t="shared" si="185"/>
        <v/>
      </c>
      <c r="K2953" s="9">
        <f t="shared" ca="1" si="186"/>
        <v>45404.878290277775</v>
      </c>
      <c r="L2953" s="10">
        <f t="shared" ca="1" si="187"/>
        <v>45404.878290046297</v>
      </c>
    </row>
    <row r="2954" spans="6:12" x14ac:dyDescent="0.25">
      <c r="F2954" s="11" t="str">
        <f>IF(ISBLANK(D2954),"",(VLOOKUP(D2954,Cardápio!$A$2:$B$16,2,0))*E2954)</f>
        <v/>
      </c>
      <c r="H2954" s="7" t="str">
        <f t="shared" si="184"/>
        <v/>
      </c>
      <c r="I2954" s="7" t="str">
        <f>IF(AND(ISBLANK(D2954),ISBLANK(C2954)),"",((VLOOKUP(D2954,Cardápio!$A$2:$C$16,3,0))*E2954)+IF(B2954="iFood",F2954*0.27,(VLOOKUP(VENDAS!C2954,Bairros!$A$2:$B$90,2,0))))</f>
        <v/>
      </c>
      <c r="J2954" s="7" t="str">
        <f t="shared" si="185"/>
        <v/>
      </c>
      <c r="K2954" s="9">
        <f t="shared" ca="1" si="186"/>
        <v>45404.878290162036</v>
      </c>
      <c r="L2954" s="10">
        <f t="shared" ca="1" si="187"/>
        <v>45404.878290046297</v>
      </c>
    </row>
    <row r="2955" spans="6:12" x14ac:dyDescent="0.25">
      <c r="F2955" s="11" t="str">
        <f>IF(ISBLANK(D2955),"",(VLOOKUP(D2955,Cardápio!$A$2:$B$16,2,0))*E2955)</f>
        <v/>
      </c>
      <c r="H2955" s="7" t="str">
        <f t="shared" si="184"/>
        <v/>
      </c>
      <c r="I2955" s="7" t="str">
        <f>IF(AND(ISBLANK(D2955),ISBLANK(C2955)),"",((VLOOKUP(D2955,Cardápio!$A$2:$C$16,3,0))*E2955)+IF(B2955="iFood",F2955*0.27,(VLOOKUP(VENDAS!C2955,Bairros!$A$2:$B$90,2,0))))</f>
        <v/>
      </c>
      <c r="J2955" s="7" t="str">
        <f t="shared" si="185"/>
        <v/>
      </c>
      <c r="K2955" s="9">
        <f t="shared" ca="1" si="186"/>
        <v>45404.878290162036</v>
      </c>
      <c r="L2955" s="10">
        <f t="shared" ca="1" si="187"/>
        <v>45404.878290046297</v>
      </c>
    </row>
    <row r="2956" spans="6:12" x14ac:dyDescent="0.25">
      <c r="F2956" s="11" t="str">
        <f>IF(ISBLANK(D2956),"",(VLOOKUP(D2956,Cardápio!$A$2:$B$16,2,0))*E2956)</f>
        <v/>
      </c>
      <c r="H2956" s="7" t="str">
        <f t="shared" si="184"/>
        <v/>
      </c>
      <c r="I2956" s="7" t="str">
        <f>IF(AND(ISBLANK(D2956),ISBLANK(C2956)),"",((VLOOKUP(D2956,Cardápio!$A$2:$C$16,3,0))*E2956)+IF(B2956="iFood",F2956*0.27,(VLOOKUP(VENDAS!C2956,Bairros!$A$2:$B$90,2,0))))</f>
        <v/>
      </c>
      <c r="J2956" s="7" t="str">
        <f t="shared" si="185"/>
        <v/>
      </c>
      <c r="K2956" s="9">
        <f t="shared" ca="1" si="186"/>
        <v>45404.878290162036</v>
      </c>
      <c r="L2956" s="10">
        <f t="shared" ca="1" si="187"/>
        <v>45404.878290046297</v>
      </c>
    </row>
    <row r="2957" spans="6:12" x14ac:dyDescent="0.25">
      <c r="F2957" s="11" t="str">
        <f>IF(ISBLANK(D2957),"",(VLOOKUP(D2957,Cardápio!$A$2:$B$16,2,0))*E2957)</f>
        <v/>
      </c>
      <c r="H2957" s="7" t="str">
        <f t="shared" si="184"/>
        <v/>
      </c>
      <c r="I2957" s="7" t="str">
        <f>IF(AND(ISBLANK(D2957),ISBLANK(C2957)),"",((VLOOKUP(D2957,Cardápio!$A$2:$C$16,3,0))*E2957)+IF(B2957="iFood",F2957*0.27,(VLOOKUP(VENDAS!C2957,Bairros!$A$2:$B$90,2,0))))</f>
        <v/>
      </c>
      <c r="J2957" s="7" t="str">
        <f t="shared" si="185"/>
        <v/>
      </c>
      <c r="K2957" s="9">
        <f t="shared" ca="1" si="186"/>
        <v>45404.878290277775</v>
      </c>
      <c r="L2957" s="10">
        <f t="shared" ca="1" si="187"/>
        <v>45404.878290046297</v>
      </c>
    </row>
    <row r="2958" spans="6:12" x14ac:dyDescent="0.25">
      <c r="F2958" s="11" t="str">
        <f>IF(ISBLANK(D2958),"",(VLOOKUP(D2958,Cardápio!$A$2:$B$16,2,0))*E2958)</f>
        <v/>
      </c>
      <c r="H2958" s="7" t="str">
        <f t="shared" si="184"/>
        <v/>
      </c>
      <c r="I2958" s="7" t="str">
        <f>IF(AND(ISBLANK(D2958),ISBLANK(C2958)),"",((VLOOKUP(D2958,Cardápio!$A$2:$C$16,3,0))*E2958)+IF(B2958="iFood",F2958*0.27,(VLOOKUP(VENDAS!C2958,Bairros!$A$2:$B$90,2,0))))</f>
        <v/>
      </c>
      <c r="J2958" s="7" t="str">
        <f t="shared" si="185"/>
        <v/>
      </c>
      <c r="K2958" s="9">
        <f t="shared" ca="1" si="186"/>
        <v>45404.878290162036</v>
      </c>
      <c r="L2958" s="10">
        <f t="shared" ca="1" si="187"/>
        <v>45404.878290046297</v>
      </c>
    </row>
    <row r="2959" spans="6:12" x14ac:dyDescent="0.25">
      <c r="F2959" s="11" t="str">
        <f>IF(ISBLANK(D2959),"",(VLOOKUP(D2959,Cardápio!$A$2:$B$16,2,0))*E2959)</f>
        <v/>
      </c>
      <c r="H2959" s="7" t="str">
        <f t="shared" si="184"/>
        <v/>
      </c>
      <c r="I2959" s="7" t="str">
        <f>IF(AND(ISBLANK(D2959),ISBLANK(C2959)),"",((VLOOKUP(D2959,Cardápio!$A$2:$C$16,3,0))*E2959)+IF(B2959="iFood",F2959*0.27,(VLOOKUP(VENDAS!C2959,Bairros!$A$2:$B$90,2,0))))</f>
        <v/>
      </c>
      <c r="J2959" s="7" t="str">
        <f t="shared" si="185"/>
        <v/>
      </c>
      <c r="K2959" s="9">
        <f t="shared" ca="1" si="186"/>
        <v>45404.878290162036</v>
      </c>
      <c r="L2959" s="10">
        <f t="shared" ca="1" si="187"/>
        <v>45404.878290046297</v>
      </c>
    </row>
    <row r="2960" spans="6:12" x14ac:dyDescent="0.25">
      <c r="F2960" s="11" t="str">
        <f>IF(ISBLANK(D2960),"",(VLOOKUP(D2960,Cardápio!$A$2:$B$16,2,0))*E2960)</f>
        <v/>
      </c>
      <c r="H2960" s="7" t="str">
        <f t="shared" si="184"/>
        <v/>
      </c>
      <c r="I2960" s="7" t="str">
        <f>IF(AND(ISBLANK(D2960),ISBLANK(C2960)),"",((VLOOKUP(D2960,Cardápio!$A$2:$C$16,3,0))*E2960)+IF(B2960="iFood",F2960*0.27,(VLOOKUP(VENDAS!C2960,Bairros!$A$2:$B$90,2,0))))</f>
        <v/>
      </c>
      <c r="J2960" s="7" t="str">
        <f t="shared" si="185"/>
        <v/>
      </c>
      <c r="K2960" s="9">
        <f t="shared" ca="1" si="186"/>
        <v>45404.878290162036</v>
      </c>
      <c r="L2960" s="10">
        <f t="shared" ca="1" si="187"/>
        <v>45404.878290046297</v>
      </c>
    </row>
    <row r="2961" spans="6:12" x14ac:dyDescent="0.25">
      <c r="F2961" s="11" t="str">
        <f>IF(ISBLANK(D2961),"",(VLOOKUP(D2961,Cardápio!$A$2:$B$16,2,0))*E2961)</f>
        <v/>
      </c>
      <c r="H2961" s="7" t="str">
        <f t="shared" si="184"/>
        <v/>
      </c>
      <c r="I2961" s="7" t="str">
        <f>IF(AND(ISBLANK(D2961),ISBLANK(C2961)),"",((VLOOKUP(D2961,Cardápio!$A$2:$C$16,3,0))*E2961)+IF(B2961="iFood",F2961*0.27,(VLOOKUP(VENDAS!C2961,Bairros!$A$2:$B$90,2,0))))</f>
        <v/>
      </c>
      <c r="J2961" s="7" t="str">
        <f t="shared" si="185"/>
        <v/>
      </c>
      <c r="K2961" s="9">
        <f t="shared" ca="1" si="186"/>
        <v>45404.878290277775</v>
      </c>
      <c r="L2961" s="10">
        <f t="shared" ca="1" si="187"/>
        <v>45404.878290046297</v>
      </c>
    </row>
    <row r="2962" spans="6:12" x14ac:dyDescent="0.25">
      <c r="F2962" s="11" t="str">
        <f>IF(ISBLANK(D2962),"",(VLOOKUP(D2962,Cardápio!$A$2:$B$16,2,0))*E2962)</f>
        <v/>
      </c>
      <c r="H2962" s="7" t="str">
        <f t="shared" si="184"/>
        <v/>
      </c>
      <c r="I2962" s="7" t="str">
        <f>IF(AND(ISBLANK(D2962),ISBLANK(C2962)),"",((VLOOKUP(D2962,Cardápio!$A$2:$C$16,3,0))*E2962)+IF(B2962="iFood",F2962*0.27,(VLOOKUP(VENDAS!C2962,Bairros!$A$2:$B$90,2,0))))</f>
        <v/>
      </c>
      <c r="J2962" s="7" t="str">
        <f t="shared" si="185"/>
        <v/>
      </c>
      <c r="K2962" s="9">
        <f t="shared" ca="1" si="186"/>
        <v>45404.878290162036</v>
      </c>
      <c r="L2962" s="10">
        <f t="shared" ca="1" si="187"/>
        <v>45404.878290046297</v>
      </c>
    </row>
    <row r="2963" spans="6:12" x14ac:dyDescent="0.25">
      <c r="F2963" s="11" t="str">
        <f>IF(ISBLANK(D2963),"",(VLOOKUP(D2963,Cardápio!$A$2:$B$16,2,0))*E2963)</f>
        <v/>
      </c>
      <c r="H2963" s="7" t="str">
        <f t="shared" si="184"/>
        <v/>
      </c>
      <c r="I2963" s="7" t="str">
        <f>IF(AND(ISBLANK(D2963),ISBLANK(C2963)),"",((VLOOKUP(D2963,Cardápio!$A$2:$C$16,3,0))*E2963)+IF(B2963="iFood",F2963*0.27,(VLOOKUP(VENDAS!C2963,Bairros!$A$2:$B$90,2,0))))</f>
        <v/>
      </c>
      <c r="J2963" s="7" t="str">
        <f t="shared" si="185"/>
        <v/>
      </c>
      <c r="K2963" s="9">
        <f t="shared" ca="1" si="186"/>
        <v>45404.878290162036</v>
      </c>
      <c r="L2963" s="10">
        <f t="shared" ca="1" si="187"/>
        <v>45404.878290046297</v>
      </c>
    </row>
    <row r="2964" spans="6:12" x14ac:dyDescent="0.25">
      <c r="F2964" s="11" t="str">
        <f>IF(ISBLANK(D2964),"",(VLOOKUP(D2964,Cardápio!$A$2:$B$16,2,0))*E2964)</f>
        <v/>
      </c>
      <c r="H2964" s="7" t="str">
        <f t="shared" si="184"/>
        <v/>
      </c>
      <c r="I2964" s="7" t="str">
        <f>IF(AND(ISBLANK(D2964),ISBLANK(C2964)),"",((VLOOKUP(D2964,Cardápio!$A$2:$C$16,3,0))*E2964)+IF(B2964="iFood",F2964*0.27,(VLOOKUP(VENDAS!C2964,Bairros!$A$2:$B$90,2,0))))</f>
        <v/>
      </c>
      <c r="J2964" s="7" t="str">
        <f t="shared" si="185"/>
        <v/>
      </c>
      <c r="K2964" s="9">
        <f t="shared" ca="1" si="186"/>
        <v>45404.878290162036</v>
      </c>
      <c r="L2964" s="10">
        <f t="shared" ca="1" si="187"/>
        <v>45404.878290046297</v>
      </c>
    </row>
    <row r="2965" spans="6:12" x14ac:dyDescent="0.25">
      <c r="F2965" s="11" t="str">
        <f>IF(ISBLANK(D2965),"",(VLOOKUP(D2965,Cardápio!$A$2:$B$16,2,0))*E2965)</f>
        <v/>
      </c>
      <c r="H2965" s="7" t="str">
        <f t="shared" si="184"/>
        <v/>
      </c>
      <c r="I2965" s="7" t="str">
        <f>IF(AND(ISBLANK(D2965),ISBLANK(C2965)),"",((VLOOKUP(D2965,Cardápio!$A$2:$C$16,3,0))*E2965)+IF(B2965="iFood",F2965*0.27,(VLOOKUP(VENDAS!C2965,Bairros!$A$2:$B$90,2,0))))</f>
        <v/>
      </c>
      <c r="J2965" s="7" t="str">
        <f t="shared" si="185"/>
        <v/>
      </c>
      <c r="K2965" s="9">
        <f t="shared" ca="1" si="186"/>
        <v>45404.878290277775</v>
      </c>
      <c r="L2965" s="10">
        <f t="shared" ca="1" si="187"/>
        <v>45404.878290046297</v>
      </c>
    </row>
    <row r="2966" spans="6:12" x14ac:dyDescent="0.25">
      <c r="F2966" s="11" t="str">
        <f>IF(ISBLANK(D2966),"",(VLOOKUP(D2966,Cardápio!$A$2:$B$16,2,0))*E2966)</f>
        <v/>
      </c>
      <c r="H2966" s="7" t="str">
        <f t="shared" si="184"/>
        <v/>
      </c>
      <c r="I2966" s="7" t="str">
        <f>IF(AND(ISBLANK(D2966),ISBLANK(C2966)),"",((VLOOKUP(D2966,Cardápio!$A$2:$C$16,3,0))*E2966)+IF(B2966="iFood",F2966*0.27,(VLOOKUP(VENDAS!C2966,Bairros!$A$2:$B$90,2,0))))</f>
        <v/>
      </c>
      <c r="J2966" s="7" t="str">
        <f t="shared" si="185"/>
        <v/>
      </c>
      <c r="K2966" s="9">
        <f t="shared" ca="1" si="186"/>
        <v>45404.878290162036</v>
      </c>
      <c r="L2966" s="10">
        <f t="shared" ca="1" si="187"/>
        <v>45404.878290046297</v>
      </c>
    </row>
    <row r="2967" spans="6:12" x14ac:dyDescent="0.25">
      <c r="F2967" s="11" t="str">
        <f>IF(ISBLANK(D2967),"",(VLOOKUP(D2967,Cardápio!$A$2:$B$16,2,0))*E2967)</f>
        <v/>
      </c>
      <c r="H2967" s="7" t="str">
        <f t="shared" si="184"/>
        <v/>
      </c>
      <c r="I2967" s="7" t="str">
        <f>IF(AND(ISBLANK(D2967),ISBLANK(C2967)),"",((VLOOKUP(D2967,Cardápio!$A$2:$C$16,3,0))*E2967)+IF(B2967="iFood",F2967*0.27,(VLOOKUP(VENDAS!C2967,Bairros!$A$2:$B$90,2,0))))</f>
        <v/>
      </c>
      <c r="J2967" s="7" t="str">
        <f t="shared" si="185"/>
        <v/>
      </c>
      <c r="K2967" s="9">
        <f t="shared" ca="1" si="186"/>
        <v>45404.878290162036</v>
      </c>
      <c r="L2967" s="10">
        <f t="shared" ca="1" si="187"/>
        <v>45404.878290046297</v>
      </c>
    </row>
    <row r="2968" spans="6:12" x14ac:dyDescent="0.25">
      <c r="F2968" s="11" t="str">
        <f>IF(ISBLANK(D2968),"",(VLOOKUP(D2968,Cardápio!$A$2:$B$16,2,0))*E2968)</f>
        <v/>
      </c>
      <c r="H2968" s="7" t="str">
        <f t="shared" si="184"/>
        <v/>
      </c>
      <c r="I2968" s="7" t="str">
        <f>IF(AND(ISBLANK(D2968),ISBLANK(C2968)),"",((VLOOKUP(D2968,Cardápio!$A$2:$C$16,3,0))*E2968)+IF(B2968="iFood",F2968*0.27,(VLOOKUP(VENDAS!C2968,Bairros!$A$2:$B$90,2,0))))</f>
        <v/>
      </c>
      <c r="J2968" s="7" t="str">
        <f t="shared" si="185"/>
        <v/>
      </c>
      <c r="K2968" s="9">
        <f t="shared" ca="1" si="186"/>
        <v>45404.878290162036</v>
      </c>
      <c r="L2968" s="10">
        <f t="shared" ca="1" si="187"/>
        <v>45404.878290046297</v>
      </c>
    </row>
    <row r="2969" spans="6:12" x14ac:dyDescent="0.25">
      <c r="F2969" s="11" t="str">
        <f>IF(ISBLANK(D2969),"",(VLOOKUP(D2969,Cardápio!$A$2:$B$16,2,0))*E2969)</f>
        <v/>
      </c>
      <c r="H2969" s="7" t="str">
        <f t="shared" si="184"/>
        <v/>
      </c>
      <c r="I2969" s="7" t="str">
        <f>IF(AND(ISBLANK(D2969),ISBLANK(C2969)),"",((VLOOKUP(D2969,Cardápio!$A$2:$C$16,3,0))*E2969)+IF(B2969="iFood",F2969*0.27,(VLOOKUP(VENDAS!C2969,Bairros!$A$2:$B$90,2,0))))</f>
        <v/>
      </c>
      <c r="J2969" s="7" t="str">
        <f t="shared" si="185"/>
        <v/>
      </c>
      <c r="K2969" s="9">
        <f t="shared" ca="1" si="186"/>
        <v>45404.878290277775</v>
      </c>
      <c r="L2969" s="10">
        <f t="shared" ca="1" si="187"/>
        <v>45404.878290046297</v>
      </c>
    </row>
    <row r="2970" spans="6:12" x14ac:dyDescent="0.25">
      <c r="F2970" s="11" t="str">
        <f>IF(ISBLANK(D2970),"",(VLOOKUP(D2970,Cardápio!$A$2:$B$16,2,0))*E2970)</f>
        <v/>
      </c>
      <c r="H2970" s="7" t="str">
        <f t="shared" si="184"/>
        <v/>
      </c>
      <c r="I2970" s="7" t="str">
        <f>IF(AND(ISBLANK(D2970),ISBLANK(C2970)),"",((VLOOKUP(D2970,Cardápio!$A$2:$C$16,3,0))*E2970)+IF(B2970="iFood",F2970*0.27,(VLOOKUP(VENDAS!C2970,Bairros!$A$2:$B$90,2,0))))</f>
        <v/>
      </c>
      <c r="J2970" s="7" t="str">
        <f t="shared" si="185"/>
        <v/>
      </c>
      <c r="K2970" s="9">
        <f t="shared" ca="1" si="186"/>
        <v>45404.878290162036</v>
      </c>
      <c r="L2970" s="10">
        <f t="shared" ca="1" si="187"/>
        <v>45404.878290046297</v>
      </c>
    </row>
    <row r="2971" spans="6:12" x14ac:dyDescent="0.25">
      <c r="F2971" s="11" t="str">
        <f>IF(ISBLANK(D2971),"",(VLOOKUP(D2971,Cardápio!$A$2:$B$16,2,0))*E2971)</f>
        <v/>
      </c>
      <c r="H2971" s="7" t="str">
        <f t="shared" si="184"/>
        <v/>
      </c>
      <c r="I2971" s="7" t="str">
        <f>IF(AND(ISBLANK(D2971),ISBLANK(C2971)),"",((VLOOKUP(D2971,Cardápio!$A$2:$C$16,3,0))*E2971)+IF(B2971="iFood",F2971*0.27,(VLOOKUP(VENDAS!C2971,Bairros!$A$2:$B$90,2,0))))</f>
        <v/>
      </c>
      <c r="J2971" s="7" t="str">
        <f t="shared" si="185"/>
        <v/>
      </c>
      <c r="K2971" s="9">
        <f t="shared" ca="1" si="186"/>
        <v>45404.878290162036</v>
      </c>
      <c r="L2971" s="10">
        <f t="shared" ca="1" si="187"/>
        <v>45404.878290046297</v>
      </c>
    </row>
    <row r="2972" spans="6:12" x14ac:dyDescent="0.25">
      <c r="F2972" s="11" t="str">
        <f>IF(ISBLANK(D2972),"",(VLOOKUP(D2972,Cardápio!$A$2:$B$16,2,0))*E2972)</f>
        <v/>
      </c>
      <c r="H2972" s="7" t="str">
        <f t="shared" si="184"/>
        <v/>
      </c>
      <c r="I2972" s="7" t="str">
        <f>IF(AND(ISBLANK(D2972),ISBLANK(C2972)),"",((VLOOKUP(D2972,Cardápio!$A$2:$C$16,3,0))*E2972)+IF(B2972="iFood",F2972*0.27,(VLOOKUP(VENDAS!C2972,Bairros!$A$2:$B$90,2,0))))</f>
        <v/>
      </c>
      <c r="J2972" s="7" t="str">
        <f t="shared" si="185"/>
        <v/>
      </c>
      <c r="K2972" s="9">
        <f t="shared" ca="1" si="186"/>
        <v>45404.878290162036</v>
      </c>
      <c r="L2972" s="10">
        <f t="shared" ca="1" si="187"/>
        <v>45404.878290046297</v>
      </c>
    </row>
    <row r="2973" spans="6:12" x14ac:dyDescent="0.25">
      <c r="F2973" s="11" t="str">
        <f>IF(ISBLANK(D2973),"",(VLOOKUP(D2973,Cardápio!$A$2:$B$16,2,0))*E2973)</f>
        <v/>
      </c>
      <c r="H2973" s="7" t="str">
        <f t="shared" si="184"/>
        <v/>
      </c>
      <c r="I2973" s="7" t="str">
        <f>IF(AND(ISBLANK(D2973),ISBLANK(C2973)),"",((VLOOKUP(D2973,Cardápio!$A$2:$C$16,3,0))*E2973)+IF(B2973="iFood",F2973*0.27,(VLOOKUP(VENDAS!C2973,Bairros!$A$2:$B$90,2,0))))</f>
        <v/>
      </c>
      <c r="J2973" s="7" t="str">
        <f t="shared" si="185"/>
        <v/>
      </c>
      <c r="K2973" s="9">
        <f t="shared" ca="1" si="186"/>
        <v>45404.878290277775</v>
      </c>
      <c r="L2973" s="10">
        <f t="shared" ca="1" si="187"/>
        <v>45404.878290046297</v>
      </c>
    </row>
    <row r="2974" spans="6:12" x14ac:dyDescent="0.25">
      <c r="F2974" s="11" t="str">
        <f>IF(ISBLANK(D2974),"",(VLOOKUP(D2974,Cardápio!$A$2:$B$16,2,0))*E2974)</f>
        <v/>
      </c>
      <c r="H2974" s="7" t="str">
        <f t="shared" si="184"/>
        <v/>
      </c>
      <c r="I2974" s="7" t="str">
        <f>IF(AND(ISBLANK(D2974),ISBLANK(C2974)),"",((VLOOKUP(D2974,Cardápio!$A$2:$C$16,3,0))*E2974)+IF(B2974="iFood",F2974*0.27,(VLOOKUP(VENDAS!C2974,Bairros!$A$2:$B$90,2,0))))</f>
        <v/>
      </c>
      <c r="J2974" s="7" t="str">
        <f t="shared" si="185"/>
        <v/>
      </c>
      <c r="K2974" s="9">
        <f t="shared" ca="1" si="186"/>
        <v>45404.878290162036</v>
      </c>
      <c r="L2974" s="10">
        <f t="shared" ca="1" si="187"/>
        <v>45404.878290046297</v>
      </c>
    </row>
    <row r="2975" spans="6:12" x14ac:dyDescent="0.25">
      <c r="F2975" s="11" t="str">
        <f>IF(ISBLANK(D2975),"",(VLOOKUP(D2975,Cardápio!$A$2:$B$16,2,0))*E2975)</f>
        <v/>
      </c>
      <c r="H2975" s="7" t="str">
        <f t="shared" si="184"/>
        <v/>
      </c>
      <c r="I2975" s="7" t="str">
        <f>IF(AND(ISBLANK(D2975),ISBLANK(C2975)),"",((VLOOKUP(D2975,Cardápio!$A$2:$C$16,3,0))*E2975)+IF(B2975="iFood",F2975*0.27,(VLOOKUP(VENDAS!C2975,Bairros!$A$2:$B$90,2,0))))</f>
        <v/>
      </c>
      <c r="J2975" s="7" t="str">
        <f t="shared" si="185"/>
        <v/>
      </c>
      <c r="K2975" s="9">
        <f t="shared" ca="1" si="186"/>
        <v>45404.878290162036</v>
      </c>
      <c r="L2975" s="10">
        <f t="shared" ca="1" si="187"/>
        <v>45404.878290046297</v>
      </c>
    </row>
    <row r="2976" spans="6:12" x14ac:dyDescent="0.25">
      <c r="F2976" s="11" t="str">
        <f>IF(ISBLANK(D2976),"",(VLOOKUP(D2976,Cardápio!$A$2:$B$16,2,0))*E2976)</f>
        <v/>
      </c>
      <c r="H2976" s="7" t="str">
        <f t="shared" si="184"/>
        <v/>
      </c>
      <c r="I2976" s="7" t="str">
        <f>IF(AND(ISBLANK(D2976),ISBLANK(C2976)),"",((VLOOKUP(D2976,Cardápio!$A$2:$C$16,3,0))*E2976)+IF(B2976="iFood",F2976*0.27,(VLOOKUP(VENDAS!C2976,Bairros!$A$2:$B$90,2,0))))</f>
        <v/>
      </c>
      <c r="J2976" s="7" t="str">
        <f t="shared" si="185"/>
        <v/>
      </c>
      <c r="K2976" s="9">
        <f t="shared" ca="1" si="186"/>
        <v>45404.878290162036</v>
      </c>
      <c r="L2976" s="10">
        <f t="shared" ca="1" si="187"/>
        <v>45404.878290046297</v>
      </c>
    </row>
    <row r="2977" spans="6:12" x14ac:dyDescent="0.25">
      <c r="F2977" s="11" t="str">
        <f>IF(ISBLANK(D2977),"",(VLOOKUP(D2977,Cardápio!$A$2:$B$16,2,0))*E2977)</f>
        <v/>
      </c>
      <c r="H2977" s="7" t="str">
        <f t="shared" si="184"/>
        <v/>
      </c>
      <c r="I2977" s="7" t="str">
        <f>IF(AND(ISBLANK(D2977),ISBLANK(C2977)),"",((VLOOKUP(D2977,Cardápio!$A$2:$C$16,3,0))*E2977)+IF(B2977="iFood",F2977*0.27,(VLOOKUP(VENDAS!C2977,Bairros!$A$2:$B$90,2,0))))</f>
        <v/>
      </c>
      <c r="J2977" s="7" t="str">
        <f t="shared" si="185"/>
        <v/>
      </c>
      <c r="K2977" s="9">
        <f t="shared" ca="1" si="186"/>
        <v>45404.878290277775</v>
      </c>
      <c r="L2977" s="10">
        <f t="shared" ca="1" si="187"/>
        <v>45404.878290046297</v>
      </c>
    </row>
    <row r="2978" spans="6:12" x14ac:dyDescent="0.25">
      <c r="F2978" s="11" t="str">
        <f>IF(ISBLANK(D2978),"",(VLOOKUP(D2978,Cardápio!$A$2:$B$16,2,0))*E2978)</f>
        <v/>
      </c>
      <c r="H2978" s="7" t="str">
        <f t="shared" si="184"/>
        <v/>
      </c>
      <c r="I2978" s="7" t="str">
        <f>IF(AND(ISBLANK(D2978),ISBLANK(C2978)),"",((VLOOKUP(D2978,Cardápio!$A$2:$C$16,3,0))*E2978)+IF(B2978="iFood",F2978*0.27,(VLOOKUP(VENDAS!C2978,Bairros!$A$2:$B$90,2,0))))</f>
        <v/>
      </c>
      <c r="J2978" s="7" t="str">
        <f t="shared" si="185"/>
        <v/>
      </c>
      <c r="K2978" s="9">
        <f t="shared" ca="1" si="186"/>
        <v>45404.878290162036</v>
      </c>
      <c r="L2978" s="10">
        <f t="shared" ca="1" si="187"/>
        <v>45404.878290046297</v>
      </c>
    </row>
    <row r="2979" spans="6:12" x14ac:dyDescent="0.25">
      <c r="F2979" s="11" t="str">
        <f>IF(ISBLANK(D2979),"",(VLOOKUP(D2979,Cardápio!$A$2:$B$16,2,0))*E2979)</f>
        <v/>
      </c>
      <c r="H2979" s="7" t="str">
        <f t="shared" si="184"/>
        <v/>
      </c>
      <c r="I2979" s="7" t="str">
        <f>IF(AND(ISBLANK(D2979),ISBLANK(C2979)),"",((VLOOKUP(D2979,Cardápio!$A$2:$C$16,3,0))*E2979)+IF(B2979="iFood",F2979*0.27,(VLOOKUP(VENDAS!C2979,Bairros!$A$2:$B$90,2,0))))</f>
        <v/>
      </c>
      <c r="J2979" s="7" t="str">
        <f t="shared" si="185"/>
        <v/>
      </c>
      <c r="K2979" s="9">
        <f t="shared" ca="1" si="186"/>
        <v>45404.878290162036</v>
      </c>
      <c r="L2979" s="10">
        <f t="shared" ca="1" si="187"/>
        <v>45404.878290046297</v>
      </c>
    </row>
    <row r="2980" spans="6:12" x14ac:dyDescent="0.25">
      <c r="F2980" s="11" t="str">
        <f>IF(ISBLANK(D2980),"",(VLOOKUP(D2980,Cardápio!$A$2:$B$16,2,0))*E2980)</f>
        <v/>
      </c>
      <c r="H2980" s="7" t="str">
        <f t="shared" si="184"/>
        <v/>
      </c>
      <c r="I2980" s="7" t="str">
        <f>IF(AND(ISBLANK(D2980),ISBLANK(C2980)),"",((VLOOKUP(D2980,Cardápio!$A$2:$C$16,3,0))*E2980)+IF(B2980="iFood",F2980*0.27,(VLOOKUP(VENDAS!C2980,Bairros!$A$2:$B$90,2,0))))</f>
        <v/>
      </c>
      <c r="J2980" s="7" t="str">
        <f t="shared" si="185"/>
        <v/>
      </c>
      <c r="K2980" s="9">
        <f t="shared" ca="1" si="186"/>
        <v>45404.878290162036</v>
      </c>
      <c r="L2980" s="10">
        <f t="shared" ca="1" si="187"/>
        <v>45404.878290046297</v>
      </c>
    </row>
    <row r="2981" spans="6:12" x14ac:dyDescent="0.25">
      <c r="F2981" s="11" t="str">
        <f>IF(ISBLANK(D2981),"",(VLOOKUP(D2981,Cardápio!$A$2:$B$16,2,0))*E2981)</f>
        <v/>
      </c>
      <c r="H2981" s="7" t="str">
        <f t="shared" si="184"/>
        <v/>
      </c>
      <c r="I2981" s="7" t="str">
        <f>IF(AND(ISBLANK(D2981),ISBLANK(C2981)),"",((VLOOKUP(D2981,Cardápio!$A$2:$C$16,3,0))*E2981)+IF(B2981="iFood",F2981*0.27,(VLOOKUP(VENDAS!C2981,Bairros!$A$2:$B$90,2,0))))</f>
        <v/>
      </c>
      <c r="J2981" s="7" t="str">
        <f t="shared" si="185"/>
        <v/>
      </c>
      <c r="K2981" s="9">
        <f t="shared" ca="1" si="186"/>
        <v>45404.878290277775</v>
      </c>
      <c r="L2981" s="10">
        <f t="shared" ca="1" si="187"/>
        <v>45404.878290046297</v>
      </c>
    </row>
    <row r="2982" spans="6:12" x14ac:dyDescent="0.25">
      <c r="F2982" s="11" t="str">
        <f>IF(ISBLANK(D2982),"",(VLOOKUP(D2982,Cardápio!$A$2:$B$16,2,0))*E2982)</f>
        <v/>
      </c>
      <c r="H2982" s="7" t="str">
        <f t="shared" si="184"/>
        <v/>
      </c>
      <c r="I2982" s="7" t="str">
        <f>IF(AND(ISBLANK(D2982),ISBLANK(C2982)),"",((VLOOKUP(D2982,Cardápio!$A$2:$C$16,3,0))*E2982)+IF(B2982="iFood",F2982*0.27,(VLOOKUP(VENDAS!C2982,Bairros!$A$2:$B$90,2,0))))</f>
        <v/>
      </c>
      <c r="J2982" s="7" t="str">
        <f t="shared" si="185"/>
        <v/>
      </c>
      <c r="K2982" s="9">
        <f t="shared" ca="1" si="186"/>
        <v>45404.878290162036</v>
      </c>
      <c r="L2982" s="10">
        <f t="shared" ca="1" si="187"/>
        <v>45404.878290046297</v>
      </c>
    </row>
    <row r="2983" spans="6:12" x14ac:dyDescent="0.25">
      <c r="F2983" s="11" t="str">
        <f>IF(ISBLANK(D2983),"",(VLOOKUP(D2983,Cardápio!$A$2:$B$16,2,0))*E2983)</f>
        <v/>
      </c>
      <c r="H2983" s="7" t="str">
        <f t="shared" si="184"/>
        <v/>
      </c>
      <c r="I2983" s="7" t="str">
        <f>IF(AND(ISBLANK(D2983),ISBLANK(C2983)),"",((VLOOKUP(D2983,Cardápio!$A$2:$C$16,3,0))*E2983)+IF(B2983="iFood",F2983*0.27,(VLOOKUP(VENDAS!C2983,Bairros!$A$2:$B$90,2,0))))</f>
        <v/>
      </c>
      <c r="J2983" s="7" t="str">
        <f t="shared" si="185"/>
        <v/>
      </c>
      <c r="K2983" s="9">
        <f t="shared" ca="1" si="186"/>
        <v>45404.878290162036</v>
      </c>
      <c r="L2983" s="10">
        <f t="shared" ca="1" si="187"/>
        <v>45404.878290046297</v>
      </c>
    </row>
    <row r="2984" spans="6:12" x14ac:dyDescent="0.25">
      <c r="F2984" s="11" t="str">
        <f>IF(ISBLANK(D2984),"",(VLOOKUP(D2984,Cardápio!$A$2:$B$16,2,0))*E2984)</f>
        <v/>
      </c>
      <c r="H2984" s="7" t="str">
        <f t="shared" si="184"/>
        <v/>
      </c>
      <c r="I2984" s="7" t="str">
        <f>IF(AND(ISBLANK(D2984),ISBLANK(C2984)),"",((VLOOKUP(D2984,Cardápio!$A$2:$C$16,3,0))*E2984)+IF(B2984="iFood",F2984*0.27,(VLOOKUP(VENDAS!C2984,Bairros!$A$2:$B$90,2,0))))</f>
        <v/>
      </c>
      <c r="J2984" s="7" t="str">
        <f t="shared" si="185"/>
        <v/>
      </c>
      <c r="K2984" s="9">
        <f t="shared" ca="1" si="186"/>
        <v>45404.878290162036</v>
      </c>
      <c r="L2984" s="10">
        <f t="shared" ca="1" si="187"/>
        <v>45404.878290046297</v>
      </c>
    </row>
    <row r="2985" spans="6:12" x14ac:dyDescent="0.25">
      <c r="F2985" s="11" t="str">
        <f>IF(ISBLANK(D2985),"",(VLOOKUP(D2985,Cardápio!$A$2:$B$16,2,0))*E2985)</f>
        <v/>
      </c>
      <c r="H2985" s="7" t="str">
        <f t="shared" si="184"/>
        <v/>
      </c>
      <c r="I2985" s="7" t="str">
        <f>IF(AND(ISBLANK(D2985),ISBLANK(C2985)),"",((VLOOKUP(D2985,Cardápio!$A$2:$C$16,3,0))*E2985)+IF(B2985="iFood",F2985*0.27,(VLOOKUP(VENDAS!C2985,Bairros!$A$2:$B$90,2,0))))</f>
        <v/>
      </c>
      <c r="J2985" s="7" t="str">
        <f t="shared" si="185"/>
        <v/>
      </c>
      <c r="K2985" s="9">
        <f t="shared" ca="1" si="186"/>
        <v>45404.878290277775</v>
      </c>
      <c r="L2985" s="10">
        <f t="shared" ca="1" si="187"/>
        <v>45404.878290046297</v>
      </c>
    </row>
    <row r="2986" spans="6:12" x14ac:dyDescent="0.25">
      <c r="F2986" s="11" t="str">
        <f>IF(ISBLANK(D2986),"",(VLOOKUP(D2986,Cardápio!$A$2:$B$16,2,0))*E2986)</f>
        <v/>
      </c>
      <c r="H2986" s="7" t="str">
        <f t="shared" si="184"/>
        <v/>
      </c>
      <c r="I2986" s="7" t="str">
        <f>IF(AND(ISBLANK(D2986),ISBLANK(C2986)),"",((VLOOKUP(D2986,Cardápio!$A$2:$C$16,3,0))*E2986)+IF(B2986="iFood",F2986*0.27,(VLOOKUP(VENDAS!C2986,Bairros!$A$2:$B$90,2,0))))</f>
        <v/>
      </c>
      <c r="J2986" s="7" t="str">
        <f t="shared" si="185"/>
        <v/>
      </c>
      <c r="K2986" s="9">
        <f t="shared" ca="1" si="186"/>
        <v>45404.878290162036</v>
      </c>
      <c r="L2986" s="10">
        <f t="shared" ca="1" si="187"/>
        <v>45404.878290046297</v>
      </c>
    </row>
    <row r="2987" spans="6:12" x14ac:dyDescent="0.25">
      <c r="F2987" s="11" t="str">
        <f>IF(ISBLANK(D2987),"",(VLOOKUP(D2987,Cardápio!$A$2:$B$16,2,0))*E2987)</f>
        <v/>
      </c>
      <c r="H2987" s="7" t="str">
        <f t="shared" si="184"/>
        <v/>
      </c>
      <c r="I2987" s="7" t="str">
        <f>IF(AND(ISBLANK(D2987),ISBLANK(C2987)),"",((VLOOKUP(D2987,Cardápio!$A$2:$C$16,3,0))*E2987)+IF(B2987="iFood",F2987*0.27,(VLOOKUP(VENDAS!C2987,Bairros!$A$2:$B$90,2,0))))</f>
        <v/>
      </c>
      <c r="J2987" s="7" t="str">
        <f t="shared" si="185"/>
        <v/>
      </c>
      <c r="K2987" s="9">
        <f t="shared" ca="1" si="186"/>
        <v>45404.878290162036</v>
      </c>
      <c r="L2987" s="10">
        <f t="shared" ca="1" si="187"/>
        <v>45404.878290046297</v>
      </c>
    </row>
    <row r="2988" spans="6:12" x14ac:dyDescent="0.25">
      <c r="F2988" s="11" t="str">
        <f>IF(ISBLANK(D2988),"",(VLOOKUP(D2988,Cardápio!$A$2:$B$16,2,0))*E2988)</f>
        <v/>
      </c>
      <c r="H2988" s="7" t="str">
        <f t="shared" si="184"/>
        <v/>
      </c>
      <c r="I2988" s="7" t="str">
        <f>IF(AND(ISBLANK(D2988),ISBLANK(C2988)),"",((VLOOKUP(D2988,Cardápio!$A$2:$C$16,3,0))*E2988)+IF(B2988="iFood",F2988*0.27,(VLOOKUP(VENDAS!C2988,Bairros!$A$2:$B$90,2,0))))</f>
        <v/>
      </c>
      <c r="J2988" s="7" t="str">
        <f t="shared" si="185"/>
        <v/>
      </c>
      <c r="K2988" s="9">
        <f t="shared" ca="1" si="186"/>
        <v>45404.878290162036</v>
      </c>
      <c r="L2988" s="10">
        <f t="shared" ca="1" si="187"/>
        <v>45404.878290046297</v>
      </c>
    </row>
    <row r="2989" spans="6:12" x14ac:dyDescent="0.25">
      <c r="F2989" s="11" t="str">
        <f>IF(ISBLANK(D2989),"",(VLOOKUP(D2989,Cardápio!$A$2:$B$16,2,0))*E2989)</f>
        <v/>
      </c>
      <c r="H2989" s="7" t="str">
        <f t="shared" si="184"/>
        <v/>
      </c>
      <c r="I2989" s="7" t="str">
        <f>IF(AND(ISBLANK(D2989),ISBLANK(C2989)),"",((VLOOKUP(D2989,Cardápio!$A$2:$C$16,3,0))*E2989)+IF(B2989="iFood",F2989*0.27,(VLOOKUP(VENDAS!C2989,Bairros!$A$2:$B$90,2,0))))</f>
        <v/>
      </c>
      <c r="J2989" s="7" t="str">
        <f t="shared" si="185"/>
        <v/>
      </c>
      <c r="K2989" s="9">
        <f t="shared" ca="1" si="186"/>
        <v>45404.878290277775</v>
      </c>
      <c r="L2989" s="10">
        <f t="shared" ca="1" si="187"/>
        <v>45404.878290046297</v>
      </c>
    </row>
    <row r="2990" spans="6:12" x14ac:dyDescent="0.25">
      <c r="F2990" s="11" t="str">
        <f>IF(ISBLANK(D2990),"",(VLOOKUP(D2990,Cardápio!$A$2:$B$16,2,0))*E2990)</f>
        <v/>
      </c>
      <c r="H2990" s="7" t="str">
        <f t="shared" si="184"/>
        <v/>
      </c>
      <c r="I2990" s="7" t="str">
        <f>IF(AND(ISBLANK(D2990),ISBLANK(C2990)),"",((VLOOKUP(D2990,Cardápio!$A$2:$C$16,3,0))*E2990)+IF(B2990="iFood",F2990*0.27,(VLOOKUP(VENDAS!C2990,Bairros!$A$2:$B$90,2,0))))</f>
        <v/>
      </c>
      <c r="J2990" s="7" t="str">
        <f t="shared" si="185"/>
        <v/>
      </c>
      <c r="K2990" s="9">
        <f t="shared" ca="1" si="186"/>
        <v>45404.878290162036</v>
      </c>
      <c r="L2990" s="10">
        <f t="shared" ca="1" si="187"/>
        <v>45404.878290046297</v>
      </c>
    </row>
    <row r="2991" spans="6:12" x14ac:dyDescent="0.25">
      <c r="F2991" s="11" t="str">
        <f>IF(ISBLANK(D2991),"",(VLOOKUP(D2991,Cardápio!$A$2:$B$16,2,0))*E2991)</f>
        <v/>
      </c>
      <c r="H2991" s="7" t="str">
        <f t="shared" si="184"/>
        <v/>
      </c>
      <c r="I2991" s="7" t="str">
        <f>IF(AND(ISBLANK(D2991),ISBLANK(C2991)),"",((VLOOKUP(D2991,Cardápio!$A$2:$C$16,3,0))*E2991)+IF(B2991="iFood",F2991*0.27,(VLOOKUP(VENDAS!C2991,Bairros!$A$2:$B$90,2,0))))</f>
        <v/>
      </c>
      <c r="J2991" s="7" t="str">
        <f t="shared" si="185"/>
        <v/>
      </c>
      <c r="K2991" s="9">
        <f t="shared" ca="1" si="186"/>
        <v>45404.878290162036</v>
      </c>
      <c r="L2991" s="10">
        <f t="shared" ca="1" si="187"/>
        <v>45404.878290046297</v>
      </c>
    </row>
    <row r="2992" spans="6:12" x14ac:dyDescent="0.25">
      <c r="F2992" s="11" t="str">
        <f>IF(ISBLANK(D2992),"",(VLOOKUP(D2992,Cardápio!$A$2:$B$16,2,0))*E2992)</f>
        <v/>
      </c>
      <c r="H2992" s="7" t="str">
        <f t="shared" si="184"/>
        <v/>
      </c>
      <c r="I2992" s="7" t="str">
        <f>IF(AND(ISBLANK(D2992),ISBLANK(C2992)),"",((VLOOKUP(D2992,Cardápio!$A$2:$C$16,3,0))*E2992)+IF(B2992="iFood",F2992*0.27,(VLOOKUP(VENDAS!C2992,Bairros!$A$2:$B$90,2,0))))</f>
        <v/>
      </c>
      <c r="J2992" s="7" t="str">
        <f t="shared" si="185"/>
        <v/>
      </c>
      <c r="K2992" s="9">
        <f t="shared" ca="1" si="186"/>
        <v>45404.878290162036</v>
      </c>
      <c r="L2992" s="10">
        <f t="shared" ca="1" si="187"/>
        <v>45404.878290046297</v>
      </c>
    </row>
    <row r="2993" spans="6:12" x14ac:dyDescent="0.25">
      <c r="F2993" s="11" t="str">
        <f>IF(ISBLANK(D2993),"",(VLOOKUP(D2993,Cardápio!$A$2:$B$16,2,0))*E2993)</f>
        <v/>
      </c>
      <c r="H2993" s="7" t="str">
        <f t="shared" si="184"/>
        <v/>
      </c>
      <c r="I2993" s="7" t="str">
        <f>IF(AND(ISBLANK(D2993),ISBLANK(C2993)),"",((VLOOKUP(D2993,Cardápio!$A$2:$C$16,3,0))*E2993)+IF(B2993="iFood",F2993*0.27,(VLOOKUP(VENDAS!C2993,Bairros!$A$2:$B$90,2,0))))</f>
        <v/>
      </c>
      <c r="J2993" s="7" t="str">
        <f t="shared" si="185"/>
        <v/>
      </c>
      <c r="K2993" s="9">
        <f t="shared" ca="1" si="186"/>
        <v>45404.878290277775</v>
      </c>
      <c r="L2993" s="10">
        <f t="shared" ca="1" si="187"/>
        <v>45404.878290046297</v>
      </c>
    </row>
    <row r="2994" spans="6:12" x14ac:dyDescent="0.25">
      <c r="F2994" s="11" t="str">
        <f>IF(ISBLANK(D2994),"",(VLOOKUP(D2994,Cardápio!$A$2:$B$16,2,0))*E2994)</f>
        <v/>
      </c>
      <c r="H2994" s="7" t="str">
        <f t="shared" si="184"/>
        <v/>
      </c>
      <c r="I2994" s="7" t="str">
        <f>IF(AND(ISBLANK(D2994),ISBLANK(C2994)),"",((VLOOKUP(D2994,Cardápio!$A$2:$C$16,3,0))*E2994)+IF(B2994="iFood",F2994*0.27,(VLOOKUP(VENDAS!C2994,Bairros!$A$2:$B$90,2,0))))</f>
        <v/>
      </c>
      <c r="J2994" s="7" t="str">
        <f t="shared" si="185"/>
        <v/>
      </c>
      <c r="K2994" s="9">
        <f t="shared" ca="1" si="186"/>
        <v>45404.878290162036</v>
      </c>
      <c r="L2994" s="10">
        <f t="shared" ca="1" si="187"/>
        <v>45404.878290046297</v>
      </c>
    </row>
    <row r="2995" spans="6:12" x14ac:dyDescent="0.25">
      <c r="F2995" s="11" t="str">
        <f>IF(ISBLANK(D2995),"",(VLOOKUP(D2995,Cardápio!$A$2:$B$16,2,0))*E2995)</f>
        <v/>
      </c>
      <c r="H2995" s="7" t="str">
        <f t="shared" si="184"/>
        <v/>
      </c>
      <c r="I2995" s="7" t="str">
        <f>IF(AND(ISBLANK(D2995),ISBLANK(C2995)),"",((VLOOKUP(D2995,Cardápio!$A$2:$C$16,3,0))*E2995)+IF(B2995="iFood",F2995*0.27,(VLOOKUP(VENDAS!C2995,Bairros!$A$2:$B$90,2,0))))</f>
        <v/>
      </c>
      <c r="J2995" s="7" t="str">
        <f t="shared" si="185"/>
        <v/>
      </c>
      <c r="K2995" s="9">
        <f t="shared" ca="1" si="186"/>
        <v>45404.878290162036</v>
      </c>
      <c r="L2995" s="10">
        <f t="shared" ca="1" si="187"/>
        <v>45404.878290046297</v>
      </c>
    </row>
    <row r="2996" spans="6:12" x14ac:dyDescent="0.25">
      <c r="F2996" s="11" t="str">
        <f>IF(ISBLANK(D2996),"",(VLOOKUP(D2996,Cardápio!$A$2:$B$16,2,0))*E2996)</f>
        <v/>
      </c>
      <c r="H2996" s="7" t="str">
        <f t="shared" si="184"/>
        <v/>
      </c>
      <c r="I2996" s="7" t="str">
        <f>IF(AND(ISBLANK(D2996),ISBLANK(C2996)),"",((VLOOKUP(D2996,Cardápio!$A$2:$C$16,3,0))*E2996)+IF(B2996="iFood",F2996*0.27,(VLOOKUP(VENDAS!C2996,Bairros!$A$2:$B$90,2,0))))</f>
        <v/>
      </c>
      <c r="J2996" s="7" t="str">
        <f t="shared" si="185"/>
        <v/>
      </c>
      <c r="K2996" s="9">
        <f t="shared" ca="1" si="186"/>
        <v>45404.878290162036</v>
      </c>
      <c r="L2996" s="10">
        <f t="shared" ca="1" si="187"/>
        <v>45404.878290046297</v>
      </c>
    </row>
    <row r="2997" spans="6:12" x14ac:dyDescent="0.25">
      <c r="F2997" s="11" t="str">
        <f>IF(ISBLANK(D2997),"",(VLOOKUP(D2997,Cardápio!$A$2:$B$16,2,0))*E2997)</f>
        <v/>
      </c>
      <c r="H2997" s="7" t="str">
        <f t="shared" ref="H2997:H3060" si="188">IF(ISBLANK(D2997),"",F2997-G2997)</f>
        <v/>
      </c>
      <c r="I2997" s="7" t="str">
        <f>IF(AND(ISBLANK(D2997),ISBLANK(C2997)),"",((VLOOKUP(D2997,Cardápio!$A$2:$C$16,3,0))*E2997)+IF(B2997="iFood",F2997*0.27,(VLOOKUP(VENDAS!C2997,Bairros!$A$2:$B$90,2,0))))</f>
        <v/>
      </c>
      <c r="J2997" s="7" t="str">
        <f t="shared" ref="J2997:J3060" si="189">IF(OR(AND(ISBLANK(H2997),ISBLANK(I2997)),(AND(H2997="",I2997=""))),"",H2997-I2997)</f>
        <v/>
      </c>
      <c r="K2997" s="9">
        <f t="shared" ref="K2997:K3060" ca="1" si="190">IF(D2997&lt;&gt;"",K2997,NOW())</f>
        <v>45404.878290277775</v>
      </c>
      <c r="L2997" s="10">
        <f t="shared" ref="L2997:L3060" ca="1" si="191">IF(D2997&lt;&gt;"",L2997,NOW())</f>
        <v>45404.878290046297</v>
      </c>
    </row>
    <row r="2998" spans="6:12" x14ac:dyDescent="0.25">
      <c r="F2998" s="11" t="str">
        <f>IF(ISBLANK(D2998),"",(VLOOKUP(D2998,Cardápio!$A$2:$B$16,2,0))*E2998)</f>
        <v/>
      </c>
      <c r="H2998" s="7" t="str">
        <f t="shared" si="188"/>
        <v/>
      </c>
      <c r="I2998" s="7" t="str">
        <f>IF(AND(ISBLANK(D2998),ISBLANK(C2998)),"",((VLOOKUP(D2998,Cardápio!$A$2:$C$16,3,0))*E2998)+IF(B2998="iFood",F2998*0.27,(VLOOKUP(VENDAS!C2998,Bairros!$A$2:$B$90,2,0))))</f>
        <v/>
      </c>
      <c r="J2998" s="7" t="str">
        <f t="shared" si="189"/>
        <v/>
      </c>
      <c r="K2998" s="9">
        <f t="shared" ca="1" si="190"/>
        <v>45404.878290162036</v>
      </c>
      <c r="L2998" s="10">
        <f t="shared" ca="1" si="191"/>
        <v>45404.878290046297</v>
      </c>
    </row>
    <row r="2999" spans="6:12" x14ac:dyDescent="0.25">
      <c r="F2999" s="11" t="str">
        <f>IF(ISBLANK(D2999),"",(VLOOKUP(D2999,Cardápio!$A$2:$B$16,2,0))*E2999)</f>
        <v/>
      </c>
      <c r="H2999" s="7" t="str">
        <f t="shared" si="188"/>
        <v/>
      </c>
      <c r="I2999" s="7" t="str">
        <f>IF(AND(ISBLANK(D2999),ISBLANK(C2999)),"",((VLOOKUP(D2999,Cardápio!$A$2:$C$16,3,0))*E2999)+IF(B2999="iFood",F2999*0.27,(VLOOKUP(VENDAS!C2999,Bairros!$A$2:$B$90,2,0))))</f>
        <v/>
      </c>
      <c r="J2999" s="7" t="str">
        <f t="shared" si="189"/>
        <v/>
      </c>
      <c r="K2999" s="9">
        <f t="shared" ca="1" si="190"/>
        <v>45404.878290162036</v>
      </c>
      <c r="L2999" s="10">
        <f t="shared" ca="1" si="191"/>
        <v>45404.878290046297</v>
      </c>
    </row>
    <row r="3000" spans="6:12" x14ac:dyDescent="0.25">
      <c r="F3000" s="11" t="str">
        <f>IF(ISBLANK(D3000),"",(VLOOKUP(D3000,Cardápio!$A$2:$B$16,2,0))*E3000)</f>
        <v/>
      </c>
      <c r="H3000" s="7" t="str">
        <f t="shared" si="188"/>
        <v/>
      </c>
      <c r="I3000" s="7" t="str">
        <f>IF(AND(ISBLANK(D3000),ISBLANK(C3000)),"",((VLOOKUP(D3000,Cardápio!$A$2:$C$16,3,0))*E3000)+IF(B3000="iFood",F3000*0.27,(VLOOKUP(VENDAS!C3000,Bairros!$A$2:$B$90,2,0))))</f>
        <v/>
      </c>
      <c r="J3000" s="7" t="str">
        <f t="shared" si="189"/>
        <v/>
      </c>
      <c r="K3000" s="9">
        <f t="shared" ca="1" si="190"/>
        <v>45404.878290162036</v>
      </c>
      <c r="L3000" s="10">
        <f t="shared" ca="1" si="191"/>
        <v>45404.878290046297</v>
      </c>
    </row>
    <row r="3001" spans="6:12" x14ac:dyDescent="0.25">
      <c r="F3001" s="11" t="str">
        <f>IF(ISBLANK(D3001),"",(VLOOKUP(D3001,Cardápio!$A$2:$B$16,2,0))*E3001)</f>
        <v/>
      </c>
      <c r="H3001" s="7" t="str">
        <f t="shared" si="188"/>
        <v/>
      </c>
      <c r="I3001" s="7" t="str">
        <f>IF(AND(ISBLANK(D3001),ISBLANK(C3001)),"",((VLOOKUP(D3001,Cardápio!$A$2:$C$16,3,0))*E3001)+IF(B3001="iFood",F3001*0.27,(VLOOKUP(VENDAS!C3001,Bairros!$A$2:$B$90,2,0))))</f>
        <v/>
      </c>
      <c r="J3001" s="7" t="str">
        <f t="shared" si="189"/>
        <v/>
      </c>
      <c r="K3001" s="9">
        <f t="shared" ca="1" si="190"/>
        <v>45404.878290277775</v>
      </c>
      <c r="L3001" s="10">
        <f t="shared" ca="1" si="191"/>
        <v>45404.878290046297</v>
      </c>
    </row>
    <row r="3002" spans="6:12" x14ac:dyDescent="0.25">
      <c r="F3002" s="11" t="str">
        <f>IF(ISBLANK(D3002),"",(VLOOKUP(D3002,Cardápio!$A$2:$B$16,2,0))*E3002)</f>
        <v/>
      </c>
      <c r="H3002" s="7" t="str">
        <f t="shared" si="188"/>
        <v/>
      </c>
      <c r="I3002" s="7" t="str">
        <f>IF(AND(ISBLANK(D3002),ISBLANK(C3002)),"",((VLOOKUP(D3002,Cardápio!$A$2:$C$16,3,0))*E3002)+IF(B3002="iFood",F3002*0.27,(VLOOKUP(VENDAS!C3002,Bairros!$A$2:$B$90,2,0))))</f>
        <v/>
      </c>
      <c r="J3002" s="7" t="str">
        <f t="shared" si="189"/>
        <v/>
      </c>
      <c r="K3002" s="9">
        <f t="shared" ca="1" si="190"/>
        <v>45404.878290162036</v>
      </c>
      <c r="L3002" s="10">
        <f t="shared" ca="1" si="191"/>
        <v>45404.878290046297</v>
      </c>
    </row>
    <row r="3003" spans="6:12" x14ac:dyDescent="0.25">
      <c r="F3003" s="11" t="str">
        <f>IF(ISBLANK(D3003),"",(VLOOKUP(D3003,Cardápio!$A$2:$B$16,2,0))*E3003)</f>
        <v/>
      </c>
      <c r="H3003" s="7" t="str">
        <f t="shared" si="188"/>
        <v/>
      </c>
      <c r="I3003" s="7" t="str">
        <f>IF(AND(ISBLANK(D3003),ISBLANK(C3003)),"",((VLOOKUP(D3003,Cardápio!$A$2:$C$16,3,0))*E3003)+IF(B3003="iFood",F3003*0.27,(VLOOKUP(VENDAS!C3003,Bairros!$A$2:$B$90,2,0))))</f>
        <v/>
      </c>
      <c r="J3003" s="7" t="str">
        <f t="shared" si="189"/>
        <v/>
      </c>
      <c r="K3003" s="9">
        <f t="shared" ca="1" si="190"/>
        <v>45404.878290162036</v>
      </c>
      <c r="L3003" s="10">
        <f t="shared" ca="1" si="191"/>
        <v>45404.878290046297</v>
      </c>
    </row>
    <row r="3004" spans="6:12" x14ac:dyDescent="0.25">
      <c r="F3004" s="11" t="str">
        <f>IF(ISBLANK(D3004),"",(VLOOKUP(D3004,Cardápio!$A$2:$B$16,2,0))*E3004)</f>
        <v/>
      </c>
      <c r="H3004" s="7" t="str">
        <f t="shared" si="188"/>
        <v/>
      </c>
      <c r="I3004" s="7" t="str">
        <f>IF(AND(ISBLANK(D3004),ISBLANK(C3004)),"",((VLOOKUP(D3004,Cardápio!$A$2:$C$16,3,0))*E3004)+IF(B3004="iFood",F3004*0.27,(VLOOKUP(VENDAS!C3004,Bairros!$A$2:$B$90,2,0))))</f>
        <v/>
      </c>
      <c r="J3004" s="7" t="str">
        <f t="shared" si="189"/>
        <v/>
      </c>
      <c r="K3004" s="9">
        <f t="shared" ca="1" si="190"/>
        <v>45404.878290162036</v>
      </c>
      <c r="L3004" s="10">
        <f t="shared" ca="1" si="191"/>
        <v>45404.878290046297</v>
      </c>
    </row>
    <row r="3005" spans="6:12" x14ac:dyDescent="0.25">
      <c r="F3005" s="11" t="str">
        <f>IF(ISBLANK(D3005),"",(VLOOKUP(D3005,Cardápio!$A$2:$B$16,2,0))*E3005)</f>
        <v/>
      </c>
      <c r="H3005" s="7" t="str">
        <f t="shared" si="188"/>
        <v/>
      </c>
      <c r="I3005" s="7" t="str">
        <f>IF(AND(ISBLANK(D3005),ISBLANK(C3005)),"",((VLOOKUP(D3005,Cardápio!$A$2:$C$16,3,0))*E3005)+IF(B3005="iFood",F3005*0.27,(VLOOKUP(VENDAS!C3005,Bairros!$A$2:$B$90,2,0))))</f>
        <v/>
      </c>
      <c r="J3005" s="7" t="str">
        <f t="shared" si="189"/>
        <v/>
      </c>
      <c r="K3005" s="9">
        <f t="shared" ca="1" si="190"/>
        <v>45404.878290277775</v>
      </c>
      <c r="L3005" s="10">
        <f t="shared" ca="1" si="191"/>
        <v>45404.878290046297</v>
      </c>
    </row>
    <row r="3006" spans="6:12" x14ac:dyDescent="0.25">
      <c r="F3006" s="11" t="str">
        <f>IF(ISBLANK(D3006),"",(VLOOKUP(D3006,Cardápio!$A$2:$B$16,2,0))*E3006)</f>
        <v/>
      </c>
      <c r="H3006" s="7" t="str">
        <f t="shared" si="188"/>
        <v/>
      </c>
      <c r="I3006" s="7" t="str">
        <f>IF(AND(ISBLANK(D3006),ISBLANK(C3006)),"",((VLOOKUP(D3006,Cardápio!$A$2:$C$16,3,0))*E3006)+IF(B3006="iFood",F3006*0.27,(VLOOKUP(VENDAS!C3006,Bairros!$A$2:$B$90,2,0))))</f>
        <v/>
      </c>
      <c r="J3006" s="7" t="str">
        <f t="shared" si="189"/>
        <v/>
      </c>
      <c r="K3006" s="9">
        <f t="shared" ca="1" si="190"/>
        <v>45404.878290162036</v>
      </c>
      <c r="L3006" s="10">
        <f t="shared" ca="1" si="191"/>
        <v>45404.878290046297</v>
      </c>
    </row>
    <row r="3007" spans="6:12" x14ac:dyDescent="0.25">
      <c r="F3007" s="11" t="str">
        <f>IF(ISBLANK(D3007),"",(VLOOKUP(D3007,Cardápio!$A$2:$B$16,2,0))*E3007)</f>
        <v/>
      </c>
      <c r="H3007" s="7" t="str">
        <f t="shared" si="188"/>
        <v/>
      </c>
      <c r="I3007" s="7" t="str">
        <f>IF(AND(ISBLANK(D3007),ISBLANK(C3007)),"",((VLOOKUP(D3007,Cardápio!$A$2:$C$16,3,0))*E3007)+IF(B3007="iFood",F3007*0.27,(VLOOKUP(VENDAS!C3007,Bairros!$A$2:$B$90,2,0))))</f>
        <v/>
      </c>
      <c r="J3007" s="7" t="str">
        <f t="shared" si="189"/>
        <v/>
      </c>
      <c r="K3007" s="9">
        <f t="shared" ca="1" si="190"/>
        <v>45404.878290162036</v>
      </c>
      <c r="L3007" s="10">
        <f t="shared" ca="1" si="191"/>
        <v>45404.878290046297</v>
      </c>
    </row>
    <row r="3008" spans="6:12" x14ac:dyDescent="0.25">
      <c r="F3008" s="11" t="str">
        <f>IF(ISBLANK(D3008),"",(VLOOKUP(D3008,Cardápio!$A$2:$B$16,2,0))*E3008)</f>
        <v/>
      </c>
      <c r="H3008" s="7" t="str">
        <f t="shared" si="188"/>
        <v/>
      </c>
      <c r="I3008" s="7" t="str">
        <f>IF(AND(ISBLANK(D3008),ISBLANK(C3008)),"",((VLOOKUP(D3008,Cardápio!$A$2:$C$16,3,0))*E3008)+IF(B3008="iFood",F3008*0.27,(VLOOKUP(VENDAS!C3008,Bairros!$A$2:$B$90,2,0))))</f>
        <v/>
      </c>
      <c r="J3008" s="7" t="str">
        <f t="shared" si="189"/>
        <v/>
      </c>
      <c r="K3008" s="9">
        <f t="shared" ca="1" si="190"/>
        <v>45404.878290162036</v>
      </c>
      <c r="L3008" s="10">
        <f t="shared" ca="1" si="191"/>
        <v>45404.878290046297</v>
      </c>
    </row>
    <row r="3009" spans="6:12" x14ac:dyDescent="0.25">
      <c r="F3009" s="11" t="str">
        <f>IF(ISBLANK(D3009),"",(VLOOKUP(D3009,Cardápio!$A$2:$B$16,2,0))*E3009)</f>
        <v/>
      </c>
      <c r="H3009" s="7" t="str">
        <f t="shared" si="188"/>
        <v/>
      </c>
      <c r="I3009" s="7" t="str">
        <f>IF(AND(ISBLANK(D3009),ISBLANK(C3009)),"",((VLOOKUP(D3009,Cardápio!$A$2:$C$16,3,0))*E3009)+IF(B3009="iFood",F3009*0.27,(VLOOKUP(VENDAS!C3009,Bairros!$A$2:$B$90,2,0))))</f>
        <v/>
      </c>
      <c r="J3009" s="7" t="str">
        <f t="shared" si="189"/>
        <v/>
      </c>
      <c r="K3009" s="9">
        <f t="shared" ca="1" si="190"/>
        <v>45404.878290277775</v>
      </c>
      <c r="L3009" s="10">
        <f t="shared" ca="1" si="191"/>
        <v>45404.878290046297</v>
      </c>
    </row>
    <row r="3010" spans="6:12" x14ac:dyDescent="0.25">
      <c r="F3010" s="11" t="str">
        <f>IF(ISBLANK(D3010),"",(VLOOKUP(D3010,Cardápio!$A$2:$B$16,2,0))*E3010)</f>
        <v/>
      </c>
      <c r="H3010" s="7" t="str">
        <f t="shared" si="188"/>
        <v/>
      </c>
      <c r="I3010" s="7" t="str">
        <f>IF(AND(ISBLANK(D3010),ISBLANK(C3010)),"",((VLOOKUP(D3010,Cardápio!$A$2:$C$16,3,0))*E3010)+IF(B3010="iFood",F3010*0.27,(VLOOKUP(VENDAS!C3010,Bairros!$A$2:$B$90,2,0))))</f>
        <v/>
      </c>
      <c r="J3010" s="7" t="str">
        <f t="shared" si="189"/>
        <v/>
      </c>
      <c r="K3010" s="9">
        <f t="shared" ca="1" si="190"/>
        <v>45404.878290162036</v>
      </c>
      <c r="L3010" s="10">
        <f t="shared" ca="1" si="191"/>
        <v>45404.878290046297</v>
      </c>
    </row>
    <row r="3011" spans="6:12" x14ac:dyDescent="0.25">
      <c r="F3011" s="11" t="str">
        <f>IF(ISBLANK(D3011),"",(VLOOKUP(D3011,Cardápio!$A$2:$B$16,2,0))*E3011)</f>
        <v/>
      </c>
      <c r="H3011" s="7" t="str">
        <f t="shared" si="188"/>
        <v/>
      </c>
      <c r="I3011" s="7" t="str">
        <f>IF(AND(ISBLANK(D3011),ISBLANK(C3011)),"",((VLOOKUP(D3011,Cardápio!$A$2:$C$16,3,0))*E3011)+IF(B3011="iFood",F3011*0.27,(VLOOKUP(VENDAS!C3011,Bairros!$A$2:$B$90,2,0))))</f>
        <v/>
      </c>
      <c r="J3011" s="7" t="str">
        <f t="shared" si="189"/>
        <v/>
      </c>
      <c r="K3011" s="9">
        <f t="shared" ca="1" si="190"/>
        <v>45404.878290162036</v>
      </c>
      <c r="L3011" s="10">
        <f t="shared" ca="1" si="191"/>
        <v>45404.878290046297</v>
      </c>
    </row>
    <row r="3012" spans="6:12" x14ac:dyDescent="0.25">
      <c r="F3012" s="11" t="str">
        <f>IF(ISBLANK(D3012),"",(VLOOKUP(D3012,Cardápio!$A$2:$B$16,2,0))*E3012)</f>
        <v/>
      </c>
      <c r="H3012" s="7" t="str">
        <f t="shared" si="188"/>
        <v/>
      </c>
      <c r="I3012" s="7" t="str">
        <f>IF(AND(ISBLANK(D3012),ISBLANK(C3012)),"",((VLOOKUP(D3012,Cardápio!$A$2:$C$16,3,0))*E3012)+IF(B3012="iFood",F3012*0.27,(VLOOKUP(VENDAS!C3012,Bairros!$A$2:$B$90,2,0))))</f>
        <v/>
      </c>
      <c r="J3012" s="7" t="str">
        <f t="shared" si="189"/>
        <v/>
      </c>
      <c r="K3012" s="9">
        <f t="shared" ca="1" si="190"/>
        <v>45404.878290162036</v>
      </c>
      <c r="L3012" s="10">
        <f t="shared" ca="1" si="191"/>
        <v>45404.878290046297</v>
      </c>
    </row>
    <row r="3013" spans="6:12" x14ac:dyDescent="0.25">
      <c r="F3013" s="11" t="str">
        <f>IF(ISBLANK(D3013),"",(VLOOKUP(D3013,Cardápio!$A$2:$B$16,2,0))*E3013)</f>
        <v/>
      </c>
      <c r="H3013" s="7" t="str">
        <f t="shared" si="188"/>
        <v/>
      </c>
      <c r="I3013" s="7" t="str">
        <f>IF(AND(ISBLANK(D3013),ISBLANK(C3013)),"",((VLOOKUP(D3013,Cardápio!$A$2:$C$16,3,0))*E3013)+IF(B3013="iFood",F3013*0.27,(VLOOKUP(VENDAS!C3013,Bairros!$A$2:$B$90,2,0))))</f>
        <v/>
      </c>
      <c r="J3013" s="7" t="str">
        <f t="shared" si="189"/>
        <v/>
      </c>
      <c r="K3013" s="9">
        <f t="shared" ca="1" si="190"/>
        <v>45404.878290277775</v>
      </c>
      <c r="L3013" s="10">
        <f t="shared" ca="1" si="191"/>
        <v>45404.878290046297</v>
      </c>
    </row>
    <row r="3014" spans="6:12" x14ac:dyDescent="0.25">
      <c r="F3014" s="11" t="str">
        <f>IF(ISBLANK(D3014),"",(VLOOKUP(D3014,Cardápio!$A$2:$B$16,2,0))*E3014)</f>
        <v/>
      </c>
      <c r="H3014" s="7" t="str">
        <f t="shared" si="188"/>
        <v/>
      </c>
      <c r="I3014" s="7" t="str">
        <f>IF(AND(ISBLANK(D3014),ISBLANK(C3014)),"",((VLOOKUP(D3014,Cardápio!$A$2:$C$16,3,0))*E3014)+IF(B3014="iFood",F3014*0.27,(VLOOKUP(VENDAS!C3014,Bairros!$A$2:$B$90,2,0))))</f>
        <v/>
      </c>
      <c r="J3014" s="7" t="str">
        <f t="shared" si="189"/>
        <v/>
      </c>
      <c r="K3014" s="9">
        <f t="shared" ca="1" si="190"/>
        <v>45404.878290162036</v>
      </c>
      <c r="L3014" s="10">
        <f t="shared" ca="1" si="191"/>
        <v>45404.878290046297</v>
      </c>
    </row>
    <row r="3015" spans="6:12" x14ac:dyDescent="0.25">
      <c r="F3015" s="11" t="str">
        <f>IF(ISBLANK(D3015),"",(VLOOKUP(D3015,Cardápio!$A$2:$B$16,2,0))*E3015)</f>
        <v/>
      </c>
      <c r="H3015" s="7" t="str">
        <f t="shared" si="188"/>
        <v/>
      </c>
      <c r="I3015" s="7" t="str">
        <f>IF(AND(ISBLANK(D3015),ISBLANK(C3015)),"",((VLOOKUP(D3015,Cardápio!$A$2:$C$16,3,0))*E3015)+IF(B3015="iFood",F3015*0.27,(VLOOKUP(VENDAS!C3015,Bairros!$A$2:$B$90,2,0))))</f>
        <v/>
      </c>
      <c r="J3015" s="7" t="str">
        <f t="shared" si="189"/>
        <v/>
      </c>
      <c r="K3015" s="9">
        <f t="shared" ca="1" si="190"/>
        <v>45404.878290162036</v>
      </c>
      <c r="L3015" s="10">
        <f t="shared" ca="1" si="191"/>
        <v>45404.878290046297</v>
      </c>
    </row>
    <row r="3016" spans="6:12" x14ac:dyDescent="0.25">
      <c r="F3016" s="11" t="str">
        <f>IF(ISBLANK(D3016),"",(VLOOKUP(D3016,Cardápio!$A$2:$B$16,2,0))*E3016)</f>
        <v/>
      </c>
      <c r="H3016" s="7" t="str">
        <f t="shared" si="188"/>
        <v/>
      </c>
      <c r="I3016" s="7" t="str">
        <f>IF(AND(ISBLANK(D3016),ISBLANK(C3016)),"",((VLOOKUP(D3016,Cardápio!$A$2:$C$16,3,0))*E3016)+IF(B3016="iFood",F3016*0.27,(VLOOKUP(VENDAS!C3016,Bairros!$A$2:$B$90,2,0))))</f>
        <v/>
      </c>
      <c r="J3016" s="7" t="str">
        <f t="shared" si="189"/>
        <v/>
      </c>
      <c r="K3016" s="9">
        <f t="shared" ca="1" si="190"/>
        <v>45404.878290162036</v>
      </c>
      <c r="L3016" s="10">
        <f t="shared" ca="1" si="191"/>
        <v>45404.878290046297</v>
      </c>
    </row>
    <row r="3017" spans="6:12" x14ac:dyDescent="0.25">
      <c r="F3017" s="11" t="str">
        <f>IF(ISBLANK(D3017),"",(VLOOKUP(D3017,Cardápio!$A$2:$B$16,2,0))*E3017)</f>
        <v/>
      </c>
      <c r="H3017" s="7" t="str">
        <f t="shared" si="188"/>
        <v/>
      </c>
      <c r="I3017" s="7" t="str">
        <f>IF(AND(ISBLANK(D3017),ISBLANK(C3017)),"",((VLOOKUP(D3017,Cardápio!$A$2:$C$16,3,0))*E3017)+IF(B3017="iFood",F3017*0.27,(VLOOKUP(VENDAS!C3017,Bairros!$A$2:$B$90,2,0))))</f>
        <v/>
      </c>
      <c r="J3017" s="7" t="str">
        <f t="shared" si="189"/>
        <v/>
      </c>
      <c r="K3017" s="9">
        <f t="shared" ca="1" si="190"/>
        <v>45404.878290277775</v>
      </c>
      <c r="L3017" s="10">
        <f t="shared" ca="1" si="191"/>
        <v>45404.878290046297</v>
      </c>
    </row>
    <row r="3018" spans="6:12" x14ac:dyDescent="0.25">
      <c r="F3018" s="11" t="str">
        <f>IF(ISBLANK(D3018),"",(VLOOKUP(D3018,Cardápio!$A$2:$B$16,2,0))*E3018)</f>
        <v/>
      </c>
      <c r="H3018" s="7" t="str">
        <f t="shared" si="188"/>
        <v/>
      </c>
      <c r="I3018" s="7" t="str">
        <f>IF(AND(ISBLANK(D3018),ISBLANK(C3018)),"",((VLOOKUP(D3018,Cardápio!$A$2:$C$16,3,0))*E3018)+IF(B3018="iFood",F3018*0.27,(VLOOKUP(VENDAS!C3018,Bairros!$A$2:$B$90,2,0))))</f>
        <v/>
      </c>
      <c r="J3018" s="7" t="str">
        <f t="shared" si="189"/>
        <v/>
      </c>
      <c r="K3018" s="9">
        <f t="shared" ca="1" si="190"/>
        <v>45404.878290162036</v>
      </c>
      <c r="L3018" s="10">
        <f t="shared" ca="1" si="191"/>
        <v>45404.878290046297</v>
      </c>
    </row>
    <row r="3019" spans="6:12" x14ac:dyDescent="0.25">
      <c r="F3019" s="11" t="str">
        <f>IF(ISBLANK(D3019),"",(VLOOKUP(D3019,Cardápio!$A$2:$B$16,2,0))*E3019)</f>
        <v/>
      </c>
      <c r="H3019" s="7" t="str">
        <f t="shared" si="188"/>
        <v/>
      </c>
      <c r="I3019" s="7" t="str">
        <f>IF(AND(ISBLANK(D3019),ISBLANK(C3019)),"",((VLOOKUP(D3019,Cardápio!$A$2:$C$16,3,0))*E3019)+IF(B3019="iFood",F3019*0.27,(VLOOKUP(VENDAS!C3019,Bairros!$A$2:$B$90,2,0))))</f>
        <v/>
      </c>
      <c r="J3019" s="7" t="str">
        <f t="shared" si="189"/>
        <v/>
      </c>
      <c r="K3019" s="9">
        <f t="shared" ca="1" si="190"/>
        <v>45404.878290162036</v>
      </c>
      <c r="L3019" s="10">
        <f t="shared" ca="1" si="191"/>
        <v>45404.878290046297</v>
      </c>
    </row>
    <row r="3020" spans="6:12" x14ac:dyDescent="0.25">
      <c r="F3020" s="11" t="str">
        <f>IF(ISBLANK(D3020),"",(VLOOKUP(D3020,Cardápio!$A$2:$B$16,2,0))*E3020)</f>
        <v/>
      </c>
      <c r="H3020" s="7" t="str">
        <f t="shared" si="188"/>
        <v/>
      </c>
      <c r="I3020" s="7" t="str">
        <f>IF(AND(ISBLANK(D3020),ISBLANK(C3020)),"",((VLOOKUP(D3020,Cardápio!$A$2:$C$16,3,0))*E3020)+IF(B3020="iFood",F3020*0.27,(VLOOKUP(VENDAS!C3020,Bairros!$A$2:$B$90,2,0))))</f>
        <v/>
      </c>
      <c r="J3020" s="7" t="str">
        <f t="shared" si="189"/>
        <v/>
      </c>
      <c r="K3020" s="9">
        <f t="shared" ca="1" si="190"/>
        <v>45404.878290162036</v>
      </c>
      <c r="L3020" s="10">
        <f t="shared" ca="1" si="191"/>
        <v>45404.878290046297</v>
      </c>
    </row>
    <row r="3021" spans="6:12" x14ac:dyDescent="0.25">
      <c r="F3021" s="11" t="str">
        <f>IF(ISBLANK(D3021),"",(VLOOKUP(D3021,Cardápio!$A$2:$B$16,2,0))*E3021)</f>
        <v/>
      </c>
      <c r="H3021" s="7" t="str">
        <f t="shared" si="188"/>
        <v/>
      </c>
      <c r="I3021" s="7" t="str">
        <f>IF(AND(ISBLANK(D3021),ISBLANK(C3021)),"",((VLOOKUP(D3021,Cardápio!$A$2:$C$16,3,0))*E3021)+IF(B3021="iFood",F3021*0.27,(VLOOKUP(VENDAS!C3021,Bairros!$A$2:$B$90,2,0))))</f>
        <v/>
      </c>
      <c r="J3021" s="7" t="str">
        <f t="shared" si="189"/>
        <v/>
      </c>
      <c r="K3021" s="9">
        <f t="shared" ca="1" si="190"/>
        <v>45404.878290277775</v>
      </c>
      <c r="L3021" s="10">
        <f t="shared" ca="1" si="191"/>
        <v>45404.878290046297</v>
      </c>
    </row>
    <row r="3022" spans="6:12" x14ac:dyDescent="0.25">
      <c r="F3022" s="11" t="str">
        <f>IF(ISBLANK(D3022),"",(VLOOKUP(D3022,Cardápio!$A$2:$B$16,2,0))*E3022)</f>
        <v/>
      </c>
      <c r="H3022" s="7" t="str">
        <f t="shared" si="188"/>
        <v/>
      </c>
      <c r="I3022" s="7" t="str">
        <f>IF(AND(ISBLANK(D3022),ISBLANK(C3022)),"",((VLOOKUP(D3022,Cardápio!$A$2:$C$16,3,0))*E3022)+IF(B3022="iFood",F3022*0.27,(VLOOKUP(VENDAS!C3022,Bairros!$A$2:$B$90,2,0))))</f>
        <v/>
      </c>
      <c r="J3022" s="7" t="str">
        <f t="shared" si="189"/>
        <v/>
      </c>
      <c r="K3022" s="9">
        <f t="shared" ca="1" si="190"/>
        <v>45404.878290162036</v>
      </c>
      <c r="L3022" s="10">
        <f t="shared" ca="1" si="191"/>
        <v>45404.878290046297</v>
      </c>
    </row>
    <row r="3023" spans="6:12" x14ac:dyDescent="0.25">
      <c r="F3023" s="11" t="str">
        <f>IF(ISBLANK(D3023),"",(VLOOKUP(D3023,Cardápio!$A$2:$B$16,2,0))*E3023)</f>
        <v/>
      </c>
      <c r="H3023" s="7" t="str">
        <f t="shared" si="188"/>
        <v/>
      </c>
      <c r="I3023" s="7" t="str">
        <f>IF(AND(ISBLANK(D3023),ISBLANK(C3023)),"",((VLOOKUP(D3023,Cardápio!$A$2:$C$16,3,0))*E3023)+IF(B3023="iFood",F3023*0.27,(VLOOKUP(VENDAS!C3023,Bairros!$A$2:$B$90,2,0))))</f>
        <v/>
      </c>
      <c r="J3023" s="7" t="str">
        <f t="shared" si="189"/>
        <v/>
      </c>
      <c r="K3023" s="9">
        <f t="shared" ca="1" si="190"/>
        <v>45404.878290162036</v>
      </c>
      <c r="L3023" s="10">
        <f t="shared" ca="1" si="191"/>
        <v>45404.878290046297</v>
      </c>
    </row>
    <row r="3024" spans="6:12" x14ac:dyDescent="0.25">
      <c r="F3024" s="11" t="str">
        <f>IF(ISBLANK(D3024),"",(VLOOKUP(D3024,Cardápio!$A$2:$B$16,2,0))*E3024)</f>
        <v/>
      </c>
      <c r="H3024" s="7" t="str">
        <f t="shared" si="188"/>
        <v/>
      </c>
      <c r="I3024" s="7" t="str">
        <f>IF(AND(ISBLANK(D3024),ISBLANK(C3024)),"",((VLOOKUP(D3024,Cardápio!$A$2:$C$16,3,0))*E3024)+IF(B3024="iFood",F3024*0.27,(VLOOKUP(VENDAS!C3024,Bairros!$A$2:$B$90,2,0))))</f>
        <v/>
      </c>
      <c r="J3024" s="7" t="str">
        <f t="shared" si="189"/>
        <v/>
      </c>
      <c r="K3024" s="9">
        <f t="shared" ca="1" si="190"/>
        <v>45404.878290162036</v>
      </c>
      <c r="L3024" s="10">
        <f t="shared" ca="1" si="191"/>
        <v>45404.878290046297</v>
      </c>
    </row>
    <row r="3025" spans="6:12" x14ac:dyDescent="0.25">
      <c r="F3025" s="11" t="str">
        <f>IF(ISBLANK(D3025),"",(VLOOKUP(D3025,Cardápio!$A$2:$B$16,2,0))*E3025)</f>
        <v/>
      </c>
      <c r="H3025" s="7" t="str">
        <f t="shared" si="188"/>
        <v/>
      </c>
      <c r="I3025" s="7" t="str">
        <f>IF(AND(ISBLANK(D3025),ISBLANK(C3025)),"",((VLOOKUP(D3025,Cardápio!$A$2:$C$16,3,0))*E3025)+IF(B3025="iFood",F3025*0.27,(VLOOKUP(VENDAS!C3025,Bairros!$A$2:$B$90,2,0))))</f>
        <v/>
      </c>
      <c r="J3025" s="7" t="str">
        <f t="shared" si="189"/>
        <v/>
      </c>
      <c r="K3025" s="9">
        <f t="shared" ca="1" si="190"/>
        <v>45404.878290277775</v>
      </c>
      <c r="L3025" s="10">
        <f t="shared" ca="1" si="191"/>
        <v>45404.878290046297</v>
      </c>
    </row>
    <row r="3026" spans="6:12" x14ac:dyDescent="0.25">
      <c r="F3026" s="11" t="str">
        <f>IF(ISBLANK(D3026),"",(VLOOKUP(D3026,Cardápio!$A$2:$B$16,2,0))*E3026)</f>
        <v/>
      </c>
      <c r="H3026" s="7" t="str">
        <f t="shared" si="188"/>
        <v/>
      </c>
      <c r="I3026" s="7" t="str">
        <f>IF(AND(ISBLANK(D3026),ISBLANK(C3026)),"",((VLOOKUP(D3026,Cardápio!$A$2:$C$16,3,0))*E3026)+IF(B3026="iFood",F3026*0.27,(VLOOKUP(VENDAS!C3026,Bairros!$A$2:$B$90,2,0))))</f>
        <v/>
      </c>
      <c r="J3026" s="7" t="str">
        <f t="shared" si="189"/>
        <v/>
      </c>
      <c r="K3026" s="9">
        <f t="shared" ca="1" si="190"/>
        <v>45404.878290162036</v>
      </c>
      <c r="L3026" s="10">
        <f t="shared" ca="1" si="191"/>
        <v>45404.878290046297</v>
      </c>
    </row>
    <row r="3027" spans="6:12" x14ac:dyDescent="0.25">
      <c r="F3027" s="11" t="str">
        <f>IF(ISBLANK(D3027),"",(VLOOKUP(D3027,Cardápio!$A$2:$B$16,2,0))*E3027)</f>
        <v/>
      </c>
      <c r="H3027" s="7" t="str">
        <f t="shared" si="188"/>
        <v/>
      </c>
      <c r="I3027" s="7" t="str">
        <f>IF(AND(ISBLANK(D3027),ISBLANK(C3027)),"",((VLOOKUP(D3027,Cardápio!$A$2:$C$16,3,0))*E3027)+IF(B3027="iFood",F3027*0.27,(VLOOKUP(VENDAS!C3027,Bairros!$A$2:$B$90,2,0))))</f>
        <v/>
      </c>
      <c r="J3027" s="7" t="str">
        <f t="shared" si="189"/>
        <v/>
      </c>
      <c r="K3027" s="9">
        <f t="shared" ca="1" si="190"/>
        <v>45404.878290162036</v>
      </c>
      <c r="L3027" s="10">
        <f t="shared" ca="1" si="191"/>
        <v>45404.878290046297</v>
      </c>
    </row>
    <row r="3028" spans="6:12" x14ac:dyDescent="0.25">
      <c r="F3028" s="11" t="str">
        <f>IF(ISBLANK(D3028),"",(VLOOKUP(D3028,Cardápio!$A$2:$B$16,2,0))*E3028)</f>
        <v/>
      </c>
      <c r="H3028" s="7" t="str">
        <f t="shared" si="188"/>
        <v/>
      </c>
      <c r="I3028" s="7" t="str">
        <f>IF(AND(ISBLANK(D3028),ISBLANK(C3028)),"",((VLOOKUP(D3028,Cardápio!$A$2:$C$16,3,0))*E3028)+IF(B3028="iFood",F3028*0.27,(VLOOKUP(VENDAS!C3028,Bairros!$A$2:$B$90,2,0))))</f>
        <v/>
      </c>
      <c r="J3028" s="7" t="str">
        <f t="shared" si="189"/>
        <v/>
      </c>
      <c r="K3028" s="9">
        <f t="shared" ca="1" si="190"/>
        <v>45404.878290162036</v>
      </c>
      <c r="L3028" s="10">
        <f t="shared" ca="1" si="191"/>
        <v>45404.878290046297</v>
      </c>
    </row>
    <row r="3029" spans="6:12" x14ac:dyDescent="0.25">
      <c r="F3029" s="11" t="str">
        <f>IF(ISBLANK(D3029),"",(VLOOKUP(D3029,Cardápio!$A$2:$B$16,2,0))*E3029)</f>
        <v/>
      </c>
      <c r="H3029" s="7" t="str">
        <f t="shared" si="188"/>
        <v/>
      </c>
      <c r="I3029" s="7" t="str">
        <f>IF(AND(ISBLANK(D3029),ISBLANK(C3029)),"",((VLOOKUP(D3029,Cardápio!$A$2:$C$16,3,0))*E3029)+IF(B3029="iFood",F3029*0.27,(VLOOKUP(VENDAS!C3029,Bairros!$A$2:$B$90,2,0))))</f>
        <v/>
      </c>
      <c r="J3029" s="7" t="str">
        <f t="shared" si="189"/>
        <v/>
      </c>
      <c r="K3029" s="9">
        <f t="shared" ca="1" si="190"/>
        <v>45404.878290277775</v>
      </c>
      <c r="L3029" s="10">
        <f t="shared" ca="1" si="191"/>
        <v>45404.878290046297</v>
      </c>
    </row>
    <row r="3030" spans="6:12" x14ac:dyDescent="0.25">
      <c r="F3030" s="11" t="str">
        <f>IF(ISBLANK(D3030),"",(VLOOKUP(D3030,Cardápio!$A$2:$B$16,2,0))*E3030)</f>
        <v/>
      </c>
      <c r="H3030" s="7" t="str">
        <f t="shared" si="188"/>
        <v/>
      </c>
      <c r="I3030" s="7" t="str">
        <f>IF(AND(ISBLANK(D3030),ISBLANK(C3030)),"",((VLOOKUP(D3030,Cardápio!$A$2:$C$16,3,0))*E3030)+IF(B3030="iFood",F3030*0.27,(VLOOKUP(VENDAS!C3030,Bairros!$A$2:$B$90,2,0))))</f>
        <v/>
      </c>
      <c r="J3030" s="7" t="str">
        <f t="shared" si="189"/>
        <v/>
      </c>
      <c r="K3030" s="9">
        <f t="shared" ca="1" si="190"/>
        <v>45404.878290162036</v>
      </c>
      <c r="L3030" s="10">
        <f t="shared" ca="1" si="191"/>
        <v>45404.878290046297</v>
      </c>
    </row>
    <row r="3031" spans="6:12" x14ac:dyDescent="0.25">
      <c r="F3031" s="11" t="str">
        <f>IF(ISBLANK(D3031),"",(VLOOKUP(D3031,Cardápio!$A$2:$B$16,2,0))*E3031)</f>
        <v/>
      </c>
      <c r="H3031" s="7" t="str">
        <f t="shared" si="188"/>
        <v/>
      </c>
      <c r="I3031" s="7" t="str">
        <f>IF(AND(ISBLANK(D3031),ISBLANK(C3031)),"",((VLOOKUP(D3031,Cardápio!$A$2:$C$16,3,0))*E3031)+IF(B3031="iFood",F3031*0.27,(VLOOKUP(VENDAS!C3031,Bairros!$A$2:$B$90,2,0))))</f>
        <v/>
      </c>
      <c r="J3031" s="7" t="str">
        <f t="shared" si="189"/>
        <v/>
      </c>
      <c r="K3031" s="9">
        <f t="shared" ca="1" si="190"/>
        <v>45404.878290162036</v>
      </c>
      <c r="L3031" s="10">
        <f t="shared" ca="1" si="191"/>
        <v>45404.878290046297</v>
      </c>
    </row>
    <row r="3032" spans="6:12" x14ac:dyDescent="0.25">
      <c r="F3032" s="11" t="str">
        <f>IF(ISBLANK(D3032),"",(VLOOKUP(D3032,Cardápio!$A$2:$B$16,2,0))*E3032)</f>
        <v/>
      </c>
      <c r="H3032" s="7" t="str">
        <f t="shared" si="188"/>
        <v/>
      </c>
      <c r="I3032" s="7" t="str">
        <f>IF(AND(ISBLANK(D3032),ISBLANK(C3032)),"",((VLOOKUP(D3032,Cardápio!$A$2:$C$16,3,0))*E3032)+IF(B3032="iFood",F3032*0.27,(VLOOKUP(VENDAS!C3032,Bairros!$A$2:$B$90,2,0))))</f>
        <v/>
      </c>
      <c r="J3032" s="7" t="str">
        <f t="shared" si="189"/>
        <v/>
      </c>
      <c r="K3032" s="9">
        <f t="shared" ca="1" si="190"/>
        <v>45404.878290162036</v>
      </c>
      <c r="L3032" s="10">
        <f t="shared" ca="1" si="191"/>
        <v>45404.878290046297</v>
      </c>
    </row>
    <row r="3033" spans="6:12" x14ac:dyDescent="0.25">
      <c r="F3033" s="11" t="str">
        <f>IF(ISBLANK(D3033),"",(VLOOKUP(D3033,Cardápio!$A$2:$B$16,2,0))*E3033)</f>
        <v/>
      </c>
      <c r="H3033" s="7" t="str">
        <f t="shared" si="188"/>
        <v/>
      </c>
      <c r="I3033" s="7" t="str">
        <f>IF(AND(ISBLANK(D3033),ISBLANK(C3033)),"",((VLOOKUP(D3033,Cardápio!$A$2:$C$16,3,0))*E3033)+IF(B3033="iFood",F3033*0.27,(VLOOKUP(VENDAS!C3033,Bairros!$A$2:$B$90,2,0))))</f>
        <v/>
      </c>
      <c r="J3033" s="7" t="str">
        <f t="shared" si="189"/>
        <v/>
      </c>
      <c r="K3033" s="9">
        <f t="shared" ca="1" si="190"/>
        <v>45404.878290277775</v>
      </c>
      <c r="L3033" s="10">
        <f t="shared" ca="1" si="191"/>
        <v>45404.878290046297</v>
      </c>
    </row>
    <row r="3034" spans="6:12" x14ac:dyDescent="0.25">
      <c r="F3034" s="11" t="str">
        <f>IF(ISBLANK(D3034),"",(VLOOKUP(D3034,Cardápio!$A$2:$B$16,2,0))*E3034)</f>
        <v/>
      </c>
      <c r="H3034" s="7" t="str">
        <f t="shared" si="188"/>
        <v/>
      </c>
      <c r="I3034" s="7" t="str">
        <f>IF(AND(ISBLANK(D3034),ISBLANK(C3034)),"",((VLOOKUP(D3034,Cardápio!$A$2:$C$16,3,0))*E3034)+IF(B3034="iFood",F3034*0.27,(VLOOKUP(VENDAS!C3034,Bairros!$A$2:$B$90,2,0))))</f>
        <v/>
      </c>
      <c r="J3034" s="7" t="str">
        <f t="shared" si="189"/>
        <v/>
      </c>
      <c r="K3034" s="9">
        <f t="shared" ca="1" si="190"/>
        <v>45404.878290162036</v>
      </c>
      <c r="L3034" s="10">
        <f t="shared" ca="1" si="191"/>
        <v>45404.878290046297</v>
      </c>
    </row>
    <row r="3035" spans="6:12" x14ac:dyDescent="0.25">
      <c r="F3035" s="11" t="str">
        <f>IF(ISBLANK(D3035),"",(VLOOKUP(D3035,Cardápio!$A$2:$B$16,2,0))*E3035)</f>
        <v/>
      </c>
      <c r="H3035" s="7" t="str">
        <f t="shared" si="188"/>
        <v/>
      </c>
      <c r="I3035" s="7" t="str">
        <f>IF(AND(ISBLANK(D3035),ISBLANK(C3035)),"",((VLOOKUP(D3035,Cardápio!$A$2:$C$16,3,0))*E3035)+IF(B3035="iFood",F3035*0.27,(VLOOKUP(VENDAS!C3035,Bairros!$A$2:$B$90,2,0))))</f>
        <v/>
      </c>
      <c r="J3035" s="7" t="str">
        <f t="shared" si="189"/>
        <v/>
      </c>
      <c r="K3035" s="9">
        <f t="shared" ca="1" si="190"/>
        <v>45404.878290162036</v>
      </c>
      <c r="L3035" s="10">
        <f t="shared" ca="1" si="191"/>
        <v>45404.878290046297</v>
      </c>
    </row>
    <row r="3036" spans="6:12" x14ac:dyDescent="0.25">
      <c r="F3036" s="11" t="str">
        <f>IF(ISBLANK(D3036),"",(VLOOKUP(D3036,Cardápio!$A$2:$B$16,2,0))*E3036)</f>
        <v/>
      </c>
      <c r="H3036" s="7" t="str">
        <f t="shared" si="188"/>
        <v/>
      </c>
      <c r="I3036" s="7" t="str">
        <f>IF(AND(ISBLANK(D3036),ISBLANK(C3036)),"",((VLOOKUP(D3036,Cardápio!$A$2:$C$16,3,0))*E3036)+IF(B3036="iFood",F3036*0.27,(VLOOKUP(VENDAS!C3036,Bairros!$A$2:$B$90,2,0))))</f>
        <v/>
      </c>
      <c r="J3036" s="7" t="str">
        <f t="shared" si="189"/>
        <v/>
      </c>
      <c r="K3036" s="9">
        <f t="shared" ca="1" si="190"/>
        <v>45404.878290162036</v>
      </c>
      <c r="L3036" s="10">
        <f t="shared" ca="1" si="191"/>
        <v>45404.878290046297</v>
      </c>
    </row>
    <row r="3037" spans="6:12" x14ac:dyDescent="0.25">
      <c r="F3037" s="11" t="str">
        <f>IF(ISBLANK(D3037),"",(VLOOKUP(D3037,Cardápio!$A$2:$B$16,2,0))*E3037)</f>
        <v/>
      </c>
      <c r="H3037" s="7" t="str">
        <f t="shared" si="188"/>
        <v/>
      </c>
      <c r="I3037" s="7" t="str">
        <f>IF(AND(ISBLANK(D3037),ISBLANK(C3037)),"",((VLOOKUP(D3037,Cardápio!$A$2:$C$16,3,0))*E3037)+IF(B3037="iFood",F3037*0.27,(VLOOKUP(VENDAS!C3037,Bairros!$A$2:$B$90,2,0))))</f>
        <v/>
      </c>
      <c r="J3037" s="7" t="str">
        <f t="shared" si="189"/>
        <v/>
      </c>
      <c r="K3037" s="9">
        <f t="shared" ca="1" si="190"/>
        <v>45404.878290277775</v>
      </c>
      <c r="L3037" s="10">
        <f t="shared" ca="1" si="191"/>
        <v>45404.878290046297</v>
      </c>
    </row>
    <row r="3038" spans="6:12" x14ac:dyDescent="0.25">
      <c r="F3038" s="11" t="str">
        <f>IF(ISBLANK(D3038),"",(VLOOKUP(D3038,Cardápio!$A$2:$B$16,2,0))*E3038)</f>
        <v/>
      </c>
      <c r="H3038" s="7" t="str">
        <f t="shared" si="188"/>
        <v/>
      </c>
      <c r="I3038" s="7" t="str">
        <f>IF(AND(ISBLANK(D3038),ISBLANK(C3038)),"",((VLOOKUP(D3038,Cardápio!$A$2:$C$16,3,0))*E3038)+IF(B3038="iFood",F3038*0.27,(VLOOKUP(VENDAS!C3038,Bairros!$A$2:$B$90,2,0))))</f>
        <v/>
      </c>
      <c r="J3038" s="7" t="str">
        <f t="shared" si="189"/>
        <v/>
      </c>
      <c r="K3038" s="9">
        <f t="shared" ca="1" si="190"/>
        <v>45404.878290162036</v>
      </c>
      <c r="L3038" s="10">
        <f t="shared" ca="1" si="191"/>
        <v>45404.878290046297</v>
      </c>
    </row>
    <row r="3039" spans="6:12" x14ac:dyDescent="0.25">
      <c r="F3039" s="11" t="str">
        <f>IF(ISBLANK(D3039),"",(VLOOKUP(D3039,Cardápio!$A$2:$B$16,2,0))*E3039)</f>
        <v/>
      </c>
      <c r="H3039" s="7" t="str">
        <f t="shared" si="188"/>
        <v/>
      </c>
      <c r="I3039" s="7" t="str">
        <f>IF(AND(ISBLANK(D3039),ISBLANK(C3039)),"",((VLOOKUP(D3039,Cardápio!$A$2:$C$16,3,0))*E3039)+IF(B3039="iFood",F3039*0.27,(VLOOKUP(VENDAS!C3039,Bairros!$A$2:$B$90,2,0))))</f>
        <v/>
      </c>
      <c r="J3039" s="7" t="str">
        <f t="shared" si="189"/>
        <v/>
      </c>
      <c r="K3039" s="9">
        <f t="shared" ca="1" si="190"/>
        <v>45404.878290162036</v>
      </c>
      <c r="L3039" s="10">
        <f t="shared" ca="1" si="191"/>
        <v>45404.878290046297</v>
      </c>
    </row>
    <row r="3040" spans="6:12" x14ac:dyDescent="0.25">
      <c r="F3040" s="11" t="str">
        <f>IF(ISBLANK(D3040),"",(VLOOKUP(D3040,Cardápio!$A$2:$B$16,2,0))*E3040)</f>
        <v/>
      </c>
      <c r="H3040" s="7" t="str">
        <f t="shared" si="188"/>
        <v/>
      </c>
      <c r="I3040" s="7" t="str">
        <f>IF(AND(ISBLANK(D3040),ISBLANK(C3040)),"",((VLOOKUP(D3040,Cardápio!$A$2:$C$16,3,0))*E3040)+IF(B3040="iFood",F3040*0.27,(VLOOKUP(VENDAS!C3040,Bairros!$A$2:$B$90,2,0))))</f>
        <v/>
      </c>
      <c r="J3040" s="7" t="str">
        <f t="shared" si="189"/>
        <v/>
      </c>
      <c r="K3040" s="9">
        <f t="shared" ca="1" si="190"/>
        <v>45404.878290162036</v>
      </c>
      <c r="L3040" s="10">
        <f t="shared" ca="1" si="191"/>
        <v>45404.878290046297</v>
      </c>
    </row>
    <row r="3041" spans="6:12" x14ac:dyDescent="0.25">
      <c r="F3041" s="11" t="str">
        <f>IF(ISBLANK(D3041),"",(VLOOKUP(D3041,Cardápio!$A$2:$B$16,2,0))*E3041)</f>
        <v/>
      </c>
      <c r="H3041" s="7" t="str">
        <f t="shared" si="188"/>
        <v/>
      </c>
      <c r="I3041" s="7" t="str">
        <f>IF(AND(ISBLANK(D3041),ISBLANK(C3041)),"",((VLOOKUP(D3041,Cardápio!$A$2:$C$16,3,0))*E3041)+IF(B3041="iFood",F3041*0.27,(VLOOKUP(VENDAS!C3041,Bairros!$A$2:$B$90,2,0))))</f>
        <v/>
      </c>
      <c r="J3041" s="7" t="str">
        <f t="shared" si="189"/>
        <v/>
      </c>
      <c r="K3041" s="9">
        <f t="shared" ca="1" si="190"/>
        <v>45404.878290277775</v>
      </c>
      <c r="L3041" s="10">
        <f t="shared" ca="1" si="191"/>
        <v>45404.878290046297</v>
      </c>
    </row>
    <row r="3042" spans="6:12" x14ac:dyDescent="0.25">
      <c r="F3042" s="11" t="str">
        <f>IF(ISBLANK(D3042),"",(VLOOKUP(D3042,Cardápio!$A$2:$B$16,2,0))*E3042)</f>
        <v/>
      </c>
      <c r="H3042" s="7" t="str">
        <f t="shared" si="188"/>
        <v/>
      </c>
      <c r="I3042" s="7" t="str">
        <f>IF(AND(ISBLANK(D3042),ISBLANK(C3042)),"",((VLOOKUP(D3042,Cardápio!$A$2:$C$16,3,0))*E3042)+IF(B3042="iFood",F3042*0.27,(VLOOKUP(VENDAS!C3042,Bairros!$A$2:$B$90,2,0))))</f>
        <v/>
      </c>
      <c r="J3042" s="7" t="str">
        <f t="shared" si="189"/>
        <v/>
      </c>
      <c r="K3042" s="9">
        <f t="shared" ca="1" si="190"/>
        <v>45404.878290162036</v>
      </c>
      <c r="L3042" s="10">
        <f t="shared" ca="1" si="191"/>
        <v>45404.878290046297</v>
      </c>
    </row>
    <row r="3043" spans="6:12" x14ac:dyDescent="0.25">
      <c r="F3043" s="11" t="str">
        <f>IF(ISBLANK(D3043),"",(VLOOKUP(D3043,Cardápio!$A$2:$B$16,2,0))*E3043)</f>
        <v/>
      </c>
      <c r="H3043" s="7" t="str">
        <f t="shared" si="188"/>
        <v/>
      </c>
      <c r="I3043" s="7" t="str">
        <f>IF(AND(ISBLANK(D3043),ISBLANK(C3043)),"",((VLOOKUP(D3043,Cardápio!$A$2:$C$16,3,0))*E3043)+IF(B3043="iFood",F3043*0.27,(VLOOKUP(VENDAS!C3043,Bairros!$A$2:$B$90,2,0))))</f>
        <v/>
      </c>
      <c r="J3043" s="7" t="str">
        <f t="shared" si="189"/>
        <v/>
      </c>
      <c r="K3043" s="9">
        <f t="shared" ca="1" si="190"/>
        <v>45404.878290162036</v>
      </c>
      <c r="L3043" s="10">
        <f t="shared" ca="1" si="191"/>
        <v>45404.878290046297</v>
      </c>
    </row>
    <row r="3044" spans="6:12" x14ac:dyDescent="0.25">
      <c r="F3044" s="11" t="str">
        <f>IF(ISBLANK(D3044),"",(VLOOKUP(D3044,Cardápio!$A$2:$B$16,2,0))*E3044)</f>
        <v/>
      </c>
      <c r="H3044" s="7" t="str">
        <f t="shared" si="188"/>
        <v/>
      </c>
      <c r="I3044" s="7" t="str">
        <f>IF(AND(ISBLANK(D3044),ISBLANK(C3044)),"",((VLOOKUP(D3044,Cardápio!$A$2:$C$16,3,0))*E3044)+IF(B3044="iFood",F3044*0.27,(VLOOKUP(VENDAS!C3044,Bairros!$A$2:$B$90,2,0))))</f>
        <v/>
      </c>
      <c r="J3044" s="7" t="str">
        <f t="shared" si="189"/>
        <v/>
      </c>
      <c r="K3044" s="9">
        <f t="shared" ca="1" si="190"/>
        <v>45404.878290162036</v>
      </c>
      <c r="L3044" s="10">
        <f t="shared" ca="1" si="191"/>
        <v>45404.878290046297</v>
      </c>
    </row>
    <row r="3045" spans="6:12" x14ac:dyDescent="0.25">
      <c r="F3045" s="11" t="str">
        <f>IF(ISBLANK(D3045),"",(VLOOKUP(D3045,Cardápio!$A$2:$B$16,2,0))*E3045)</f>
        <v/>
      </c>
      <c r="H3045" s="7" t="str">
        <f t="shared" si="188"/>
        <v/>
      </c>
      <c r="I3045" s="7" t="str">
        <f>IF(AND(ISBLANK(D3045),ISBLANK(C3045)),"",((VLOOKUP(D3045,Cardápio!$A$2:$C$16,3,0))*E3045)+IF(B3045="iFood",F3045*0.27,(VLOOKUP(VENDAS!C3045,Bairros!$A$2:$B$90,2,0))))</f>
        <v/>
      </c>
      <c r="J3045" s="7" t="str">
        <f t="shared" si="189"/>
        <v/>
      </c>
      <c r="K3045" s="9">
        <f t="shared" ca="1" si="190"/>
        <v>45404.878290277775</v>
      </c>
      <c r="L3045" s="10">
        <f t="shared" ca="1" si="191"/>
        <v>45404.878290046297</v>
      </c>
    </row>
    <row r="3046" spans="6:12" x14ac:dyDescent="0.25">
      <c r="F3046" s="11" t="str">
        <f>IF(ISBLANK(D3046),"",(VLOOKUP(D3046,Cardápio!$A$2:$B$16,2,0))*E3046)</f>
        <v/>
      </c>
      <c r="H3046" s="7" t="str">
        <f t="shared" si="188"/>
        <v/>
      </c>
      <c r="I3046" s="7" t="str">
        <f>IF(AND(ISBLANK(D3046),ISBLANK(C3046)),"",((VLOOKUP(D3046,Cardápio!$A$2:$C$16,3,0))*E3046)+IF(B3046="iFood",F3046*0.27,(VLOOKUP(VENDAS!C3046,Bairros!$A$2:$B$90,2,0))))</f>
        <v/>
      </c>
      <c r="J3046" s="7" t="str">
        <f t="shared" si="189"/>
        <v/>
      </c>
      <c r="K3046" s="9">
        <f t="shared" ca="1" si="190"/>
        <v>45404.878290162036</v>
      </c>
      <c r="L3046" s="10">
        <f t="shared" ca="1" si="191"/>
        <v>45404.878290046297</v>
      </c>
    </row>
    <row r="3047" spans="6:12" x14ac:dyDescent="0.25">
      <c r="F3047" s="11" t="str">
        <f>IF(ISBLANK(D3047),"",(VLOOKUP(D3047,Cardápio!$A$2:$B$16,2,0))*E3047)</f>
        <v/>
      </c>
      <c r="H3047" s="7" t="str">
        <f t="shared" si="188"/>
        <v/>
      </c>
      <c r="I3047" s="7" t="str">
        <f>IF(AND(ISBLANK(D3047),ISBLANK(C3047)),"",((VLOOKUP(D3047,Cardápio!$A$2:$C$16,3,0))*E3047)+IF(B3047="iFood",F3047*0.27,(VLOOKUP(VENDAS!C3047,Bairros!$A$2:$B$90,2,0))))</f>
        <v/>
      </c>
      <c r="J3047" s="7" t="str">
        <f t="shared" si="189"/>
        <v/>
      </c>
      <c r="K3047" s="9">
        <f t="shared" ca="1" si="190"/>
        <v>45404.878290162036</v>
      </c>
      <c r="L3047" s="10">
        <f t="shared" ca="1" si="191"/>
        <v>45404.878290046297</v>
      </c>
    </row>
    <row r="3048" spans="6:12" x14ac:dyDescent="0.25">
      <c r="F3048" s="11" t="str">
        <f>IF(ISBLANK(D3048),"",(VLOOKUP(D3048,Cardápio!$A$2:$B$16,2,0))*E3048)</f>
        <v/>
      </c>
      <c r="H3048" s="7" t="str">
        <f t="shared" si="188"/>
        <v/>
      </c>
      <c r="I3048" s="7" t="str">
        <f>IF(AND(ISBLANK(D3048),ISBLANK(C3048)),"",((VLOOKUP(D3048,Cardápio!$A$2:$C$16,3,0))*E3048)+IF(B3048="iFood",F3048*0.27,(VLOOKUP(VENDAS!C3048,Bairros!$A$2:$B$90,2,0))))</f>
        <v/>
      </c>
      <c r="J3048" s="7" t="str">
        <f t="shared" si="189"/>
        <v/>
      </c>
      <c r="K3048" s="9">
        <f t="shared" ca="1" si="190"/>
        <v>45404.878290162036</v>
      </c>
      <c r="L3048" s="10">
        <f t="shared" ca="1" si="191"/>
        <v>45404.878290046297</v>
      </c>
    </row>
    <row r="3049" spans="6:12" x14ac:dyDescent="0.25">
      <c r="F3049" s="11" t="str">
        <f>IF(ISBLANK(D3049),"",(VLOOKUP(D3049,Cardápio!$A$2:$B$16,2,0))*E3049)</f>
        <v/>
      </c>
      <c r="H3049" s="7" t="str">
        <f t="shared" si="188"/>
        <v/>
      </c>
      <c r="I3049" s="7" t="str">
        <f>IF(AND(ISBLANK(D3049),ISBLANK(C3049)),"",((VLOOKUP(D3049,Cardápio!$A$2:$C$16,3,0))*E3049)+IF(B3049="iFood",F3049*0.27,(VLOOKUP(VENDAS!C3049,Bairros!$A$2:$B$90,2,0))))</f>
        <v/>
      </c>
      <c r="J3049" s="7" t="str">
        <f t="shared" si="189"/>
        <v/>
      </c>
      <c r="K3049" s="9">
        <f t="shared" ca="1" si="190"/>
        <v>45404.878290277775</v>
      </c>
      <c r="L3049" s="10">
        <f t="shared" ca="1" si="191"/>
        <v>45404.878290046297</v>
      </c>
    </row>
    <row r="3050" spans="6:12" x14ac:dyDescent="0.25">
      <c r="F3050" s="11" t="str">
        <f>IF(ISBLANK(D3050),"",(VLOOKUP(D3050,Cardápio!$A$2:$B$16,2,0))*E3050)</f>
        <v/>
      </c>
      <c r="H3050" s="7" t="str">
        <f t="shared" si="188"/>
        <v/>
      </c>
      <c r="I3050" s="7" t="str">
        <f>IF(AND(ISBLANK(D3050),ISBLANK(C3050)),"",((VLOOKUP(D3050,Cardápio!$A$2:$C$16,3,0))*E3050)+IF(B3050="iFood",F3050*0.27,(VLOOKUP(VENDAS!C3050,Bairros!$A$2:$B$90,2,0))))</f>
        <v/>
      </c>
      <c r="J3050" s="7" t="str">
        <f t="shared" si="189"/>
        <v/>
      </c>
      <c r="K3050" s="9">
        <f t="shared" ca="1" si="190"/>
        <v>45404.878290162036</v>
      </c>
      <c r="L3050" s="10">
        <f t="shared" ca="1" si="191"/>
        <v>45404.878290046297</v>
      </c>
    </row>
    <row r="3051" spans="6:12" x14ac:dyDescent="0.25">
      <c r="F3051" s="11" t="str">
        <f>IF(ISBLANK(D3051),"",(VLOOKUP(D3051,Cardápio!$A$2:$B$16,2,0))*E3051)</f>
        <v/>
      </c>
      <c r="H3051" s="7" t="str">
        <f t="shared" si="188"/>
        <v/>
      </c>
      <c r="I3051" s="7" t="str">
        <f>IF(AND(ISBLANK(D3051),ISBLANK(C3051)),"",((VLOOKUP(D3051,Cardápio!$A$2:$C$16,3,0))*E3051)+IF(B3051="iFood",F3051*0.27,(VLOOKUP(VENDAS!C3051,Bairros!$A$2:$B$90,2,0))))</f>
        <v/>
      </c>
      <c r="J3051" s="7" t="str">
        <f t="shared" si="189"/>
        <v/>
      </c>
      <c r="K3051" s="9">
        <f t="shared" ca="1" si="190"/>
        <v>45404.878290162036</v>
      </c>
      <c r="L3051" s="10">
        <f t="shared" ca="1" si="191"/>
        <v>45404.878290046297</v>
      </c>
    </row>
    <row r="3052" spans="6:12" x14ac:dyDescent="0.25">
      <c r="F3052" s="11" t="str">
        <f>IF(ISBLANK(D3052),"",(VLOOKUP(D3052,Cardápio!$A$2:$B$16,2,0))*E3052)</f>
        <v/>
      </c>
      <c r="H3052" s="7" t="str">
        <f t="shared" si="188"/>
        <v/>
      </c>
      <c r="I3052" s="7" t="str">
        <f>IF(AND(ISBLANK(D3052),ISBLANK(C3052)),"",((VLOOKUP(D3052,Cardápio!$A$2:$C$16,3,0))*E3052)+IF(B3052="iFood",F3052*0.27,(VLOOKUP(VENDAS!C3052,Bairros!$A$2:$B$90,2,0))))</f>
        <v/>
      </c>
      <c r="J3052" s="7" t="str">
        <f t="shared" si="189"/>
        <v/>
      </c>
      <c r="K3052" s="9">
        <f t="shared" ca="1" si="190"/>
        <v>45404.878290162036</v>
      </c>
      <c r="L3052" s="10">
        <f t="shared" ca="1" si="191"/>
        <v>45404.878290046297</v>
      </c>
    </row>
    <row r="3053" spans="6:12" x14ac:dyDescent="0.25">
      <c r="F3053" s="11" t="str">
        <f>IF(ISBLANK(D3053),"",(VLOOKUP(D3053,Cardápio!$A$2:$B$16,2,0))*E3053)</f>
        <v/>
      </c>
      <c r="H3053" s="7" t="str">
        <f t="shared" si="188"/>
        <v/>
      </c>
      <c r="I3053" s="7" t="str">
        <f>IF(AND(ISBLANK(D3053),ISBLANK(C3053)),"",((VLOOKUP(D3053,Cardápio!$A$2:$C$16,3,0))*E3053)+IF(B3053="iFood",F3053*0.27,(VLOOKUP(VENDAS!C3053,Bairros!$A$2:$B$90,2,0))))</f>
        <v/>
      </c>
      <c r="J3053" s="7" t="str">
        <f t="shared" si="189"/>
        <v/>
      </c>
      <c r="K3053" s="9">
        <f t="shared" ca="1" si="190"/>
        <v>45404.878290277775</v>
      </c>
      <c r="L3053" s="10">
        <f t="shared" ca="1" si="191"/>
        <v>45404.878290046297</v>
      </c>
    </row>
    <row r="3054" spans="6:12" x14ac:dyDescent="0.25">
      <c r="F3054" s="11" t="str">
        <f>IF(ISBLANK(D3054),"",(VLOOKUP(D3054,Cardápio!$A$2:$B$16,2,0))*E3054)</f>
        <v/>
      </c>
      <c r="H3054" s="7" t="str">
        <f t="shared" si="188"/>
        <v/>
      </c>
      <c r="I3054" s="7" t="str">
        <f>IF(AND(ISBLANK(D3054),ISBLANK(C3054)),"",((VLOOKUP(D3054,Cardápio!$A$2:$C$16,3,0))*E3054)+IF(B3054="iFood",F3054*0.27,(VLOOKUP(VENDAS!C3054,Bairros!$A$2:$B$90,2,0))))</f>
        <v/>
      </c>
      <c r="J3054" s="7" t="str">
        <f t="shared" si="189"/>
        <v/>
      </c>
      <c r="K3054" s="9">
        <f t="shared" ca="1" si="190"/>
        <v>45404.878290162036</v>
      </c>
      <c r="L3054" s="10">
        <f t="shared" ca="1" si="191"/>
        <v>45404.878290046297</v>
      </c>
    </row>
    <row r="3055" spans="6:12" x14ac:dyDescent="0.25">
      <c r="F3055" s="11" t="str">
        <f>IF(ISBLANK(D3055),"",(VLOOKUP(D3055,Cardápio!$A$2:$B$16,2,0))*E3055)</f>
        <v/>
      </c>
      <c r="H3055" s="7" t="str">
        <f t="shared" si="188"/>
        <v/>
      </c>
      <c r="I3055" s="7" t="str">
        <f>IF(AND(ISBLANK(D3055),ISBLANK(C3055)),"",((VLOOKUP(D3055,Cardápio!$A$2:$C$16,3,0))*E3055)+IF(B3055="iFood",F3055*0.27,(VLOOKUP(VENDAS!C3055,Bairros!$A$2:$B$90,2,0))))</f>
        <v/>
      </c>
      <c r="J3055" s="7" t="str">
        <f t="shared" si="189"/>
        <v/>
      </c>
      <c r="K3055" s="9">
        <f t="shared" ca="1" si="190"/>
        <v>45404.878290162036</v>
      </c>
      <c r="L3055" s="10">
        <f t="shared" ca="1" si="191"/>
        <v>45404.878290046297</v>
      </c>
    </row>
    <row r="3056" spans="6:12" x14ac:dyDescent="0.25">
      <c r="F3056" s="11" t="str">
        <f>IF(ISBLANK(D3056),"",(VLOOKUP(D3056,Cardápio!$A$2:$B$16,2,0))*E3056)</f>
        <v/>
      </c>
      <c r="H3056" s="7" t="str">
        <f t="shared" si="188"/>
        <v/>
      </c>
      <c r="I3056" s="7" t="str">
        <f>IF(AND(ISBLANK(D3056),ISBLANK(C3056)),"",((VLOOKUP(D3056,Cardápio!$A$2:$C$16,3,0))*E3056)+IF(B3056="iFood",F3056*0.27,(VLOOKUP(VENDAS!C3056,Bairros!$A$2:$B$90,2,0))))</f>
        <v/>
      </c>
      <c r="J3056" s="7" t="str">
        <f t="shared" si="189"/>
        <v/>
      </c>
      <c r="K3056" s="9">
        <f t="shared" ca="1" si="190"/>
        <v>45404.878290162036</v>
      </c>
      <c r="L3056" s="10">
        <f t="shared" ca="1" si="191"/>
        <v>45404.878290046297</v>
      </c>
    </row>
    <row r="3057" spans="6:12" x14ac:dyDescent="0.25">
      <c r="F3057" s="11" t="str">
        <f>IF(ISBLANK(D3057),"",(VLOOKUP(D3057,Cardápio!$A$2:$B$16,2,0))*E3057)</f>
        <v/>
      </c>
      <c r="H3057" s="7" t="str">
        <f t="shared" si="188"/>
        <v/>
      </c>
      <c r="I3057" s="7" t="str">
        <f>IF(AND(ISBLANK(D3057),ISBLANK(C3057)),"",((VLOOKUP(D3057,Cardápio!$A$2:$C$16,3,0))*E3057)+IF(B3057="iFood",F3057*0.27,(VLOOKUP(VENDAS!C3057,Bairros!$A$2:$B$90,2,0))))</f>
        <v/>
      </c>
      <c r="J3057" s="7" t="str">
        <f t="shared" si="189"/>
        <v/>
      </c>
      <c r="K3057" s="9">
        <f t="shared" ca="1" si="190"/>
        <v>45404.878290277775</v>
      </c>
      <c r="L3057" s="10">
        <f t="shared" ca="1" si="191"/>
        <v>45404.878290046297</v>
      </c>
    </row>
    <row r="3058" spans="6:12" x14ac:dyDescent="0.25">
      <c r="F3058" s="11" t="str">
        <f>IF(ISBLANK(D3058),"",(VLOOKUP(D3058,Cardápio!$A$2:$B$16,2,0))*E3058)</f>
        <v/>
      </c>
      <c r="H3058" s="7" t="str">
        <f t="shared" si="188"/>
        <v/>
      </c>
      <c r="I3058" s="7" t="str">
        <f>IF(AND(ISBLANK(D3058),ISBLANK(C3058)),"",((VLOOKUP(D3058,Cardápio!$A$2:$C$16,3,0))*E3058)+IF(B3058="iFood",F3058*0.27,(VLOOKUP(VENDAS!C3058,Bairros!$A$2:$B$90,2,0))))</f>
        <v/>
      </c>
      <c r="J3058" s="7" t="str">
        <f t="shared" si="189"/>
        <v/>
      </c>
      <c r="K3058" s="9">
        <f t="shared" ca="1" si="190"/>
        <v>45404.878290162036</v>
      </c>
      <c r="L3058" s="10">
        <f t="shared" ca="1" si="191"/>
        <v>45404.878290046297</v>
      </c>
    </row>
    <row r="3059" spans="6:12" x14ac:dyDescent="0.25">
      <c r="F3059" s="11" t="str">
        <f>IF(ISBLANK(D3059),"",(VLOOKUP(D3059,Cardápio!$A$2:$B$16,2,0))*E3059)</f>
        <v/>
      </c>
      <c r="H3059" s="7" t="str">
        <f t="shared" si="188"/>
        <v/>
      </c>
      <c r="I3059" s="7" t="str">
        <f>IF(AND(ISBLANK(D3059),ISBLANK(C3059)),"",((VLOOKUP(D3059,Cardápio!$A$2:$C$16,3,0))*E3059)+IF(B3059="iFood",F3059*0.27,(VLOOKUP(VENDAS!C3059,Bairros!$A$2:$B$90,2,0))))</f>
        <v/>
      </c>
      <c r="J3059" s="7" t="str">
        <f t="shared" si="189"/>
        <v/>
      </c>
      <c r="K3059" s="9">
        <f t="shared" ca="1" si="190"/>
        <v>45404.878290162036</v>
      </c>
      <c r="L3059" s="10">
        <f t="shared" ca="1" si="191"/>
        <v>45404.878290046297</v>
      </c>
    </row>
    <row r="3060" spans="6:12" x14ac:dyDescent="0.25">
      <c r="F3060" s="11" t="str">
        <f>IF(ISBLANK(D3060),"",(VLOOKUP(D3060,Cardápio!$A$2:$B$16,2,0))*E3060)</f>
        <v/>
      </c>
      <c r="H3060" s="7" t="str">
        <f t="shared" si="188"/>
        <v/>
      </c>
      <c r="I3060" s="7" t="str">
        <f>IF(AND(ISBLANK(D3060),ISBLANK(C3060)),"",((VLOOKUP(D3060,Cardápio!$A$2:$C$16,3,0))*E3060)+IF(B3060="iFood",F3060*0.27,(VLOOKUP(VENDAS!C3060,Bairros!$A$2:$B$90,2,0))))</f>
        <v/>
      </c>
      <c r="J3060" s="7" t="str">
        <f t="shared" si="189"/>
        <v/>
      </c>
      <c r="K3060" s="9">
        <f t="shared" ca="1" si="190"/>
        <v>45404.878290162036</v>
      </c>
      <c r="L3060" s="10">
        <f t="shared" ca="1" si="191"/>
        <v>45404.878290046297</v>
      </c>
    </row>
    <row r="3061" spans="6:12" x14ac:dyDescent="0.25">
      <c r="F3061" s="11" t="str">
        <f>IF(ISBLANK(D3061),"",(VLOOKUP(D3061,Cardápio!$A$2:$B$16,2,0))*E3061)</f>
        <v/>
      </c>
      <c r="H3061" s="7" t="str">
        <f t="shared" ref="H3061:H3124" si="192">IF(ISBLANK(D3061),"",F3061-G3061)</f>
        <v/>
      </c>
      <c r="I3061" s="7" t="str">
        <f>IF(AND(ISBLANK(D3061),ISBLANK(C3061)),"",((VLOOKUP(D3061,Cardápio!$A$2:$C$16,3,0))*E3061)+IF(B3061="iFood",F3061*0.27,(VLOOKUP(VENDAS!C3061,Bairros!$A$2:$B$90,2,0))))</f>
        <v/>
      </c>
      <c r="J3061" s="7" t="str">
        <f t="shared" ref="J3061:J3124" si="193">IF(OR(AND(ISBLANK(H3061),ISBLANK(I3061)),(AND(H3061="",I3061=""))),"",H3061-I3061)</f>
        <v/>
      </c>
      <c r="K3061" s="9">
        <f t="shared" ref="K3061:K3124" ca="1" si="194">IF(D3061&lt;&gt;"",K3061,NOW())</f>
        <v>45404.878290277775</v>
      </c>
      <c r="L3061" s="10">
        <f t="shared" ref="L3061:L3124" ca="1" si="195">IF(D3061&lt;&gt;"",L3061,NOW())</f>
        <v>45404.878290046297</v>
      </c>
    </row>
    <row r="3062" spans="6:12" x14ac:dyDescent="0.25">
      <c r="F3062" s="11" t="str">
        <f>IF(ISBLANK(D3062),"",(VLOOKUP(D3062,Cardápio!$A$2:$B$16,2,0))*E3062)</f>
        <v/>
      </c>
      <c r="H3062" s="7" t="str">
        <f t="shared" si="192"/>
        <v/>
      </c>
      <c r="I3062" s="7" t="str">
        <f>IF(AND(ISBLANK(D3062),ISBLANK(C3062)),"",((VLOOKUP(D3062,Cardápio!$A$2:$C$16,3,0))*E3062)+IF(B3062="iFood",F3062*0.27,(VLOOKUP(VENDAS!C3062,Bairros!$A$2:$B$90,2,0))))</f>
        <v/>
      </c>
      <c r="J3062" s="7" t="str">
        <f t="shared" si="193"/>
        <v/>
      </c>
      <c r="K3062" s="9">
        <f t="shared" ca="1" si="194"/>
        <v>45404.878290162036</v>
      </c>
      <c r="L3062" s="10">
        <f t="shared" ca="1" si="195"/>
        <v>45404.878290046297</v>
      </c>
    </row>
    <row r="3063" spans="6:12" x14ac:dyDescent="0.25">
      <c r="F3063" s="11" t="str">
        <f>IF(ISBLANK(D3063),"",(VLOOKUP(D3063,Cardápio!$A$2:$B$16,2,0))*E3063)</f>
        <v/>
      </c>
      <c r="H3063" s="7" t="str">
        <f t="shared" si="192"/>
        <v/>
      </c>
      <c r="I3063" s="7" t="str">
        <f>IF(AND(ISBLANK(D3063),ISBLANK(C3063)),"",((VLOOKUP(D3063,Cardápio!$A$2:$C$16,3,0))*E3063)+IF(B3063="iFood",F3063*0.27,(VLOOKUP(VENDAS!C3063,Bairros!$A$2:$B$90,2,0))))</f>
        <v/>
      </c>
      <c r="J3063" s="7" t="str">
        <f t="shared" si="193"/>
        <v/>
      </c>
      <c r="K3063" s="9">
        <f t="shared" ca="1" si="194"/>
        <v>45404.878290162036</v>
      </c>
      <c r="L3063" s="10">
        <f t="shared" ca="1" si="195"/>
        <v>45404.878290046297</v>
      </c>
    </row>
    <row r="3064" spans="6:12" x14ac:dyDescent="0.25">
      <c r="F3064" s="11" t="str">
        <f>IF(ISBLANK(D3064),"",(VLOOKUP(D3064,Cardápio!$A$2:$B$16,2,0))*E3064)</f>
        <v/>
      </c>
      <c r="H3064" s="7" t="str">
        <f t="shared" si="192"/>
        <v/>
      </c>
      <c r="I3064" s="7" t="str">
        <f>IF(AND(ISBLANK(D3064),ISBLANK(C3064)),"",((VLOOKUP(D3064,Cardápio!$A$2:$C$16,3,0))*E3064)+IF(B3064="iFood",F3064*0.27,(VLOOKUP(VENDAS!C3064,Bairros!$A$2:$B$90,2,0))))</f>
        <v/>
      </c>
      <c r="J3064" s="7" t="str">
        <f t="shared" si="193"/>
        <v/>
      </c>
      <c r="K3064" s="9">
        <f t="shared" ca="1" si="194"/>
        <v>45404.878290162036</v>
      </c>
      <c r="L3064" s="10">
        <f t="shared" ca="1" si="195"/>
        <v>45404.878290046297</v>
      </c>
    </row>
    <row r="3065" spans="6:12" x14ac:dyDescent="0.25">
      <c r="F3065" s="11" t="str">
        <f>IF(ISBLANK(D3065),"",(VLOOKUP(D3065,Cardápio!$A$2:$B$16,2,0))*E3065)</f>
        <v/>
      </c>
      <c r="H3065" s="7" t="str">
        <f t="shared" si="192"/>
        <v/>
      </c>
      <c r="I3065" s="7" t="str">
        <f>IF(AND(ISBLANK(D3065),ISBLANK(C3065)),"",((VLOOKUP(D3065,Cardápio!$A$2:$C$16,3,0))*E3065)+IF(B3065="iFood",F3065*0.27,(VLOOKUP(VENDAS!C3065,Bairros!$A$2:$B$90,2,0))))</f>
        <v/>
      </c>
      <c r="J3065" s="7" t="str">
        <f t="shared" si="193"/>
        <v/>
      </c>
      <c r="K3065" s="9">
        <f t="shared" ca="1" si="194"/>
        <v>45404.878290277775</v>
      </c>
      <c r="L3065" s="10">
        <f t="shared" ca="1" si="195"/>
        <v>45404.878290046297</v>
      </c>
    </row>
    <row r="3066" spans="6:12" x14ac:dyDescent="0.25">
      <c r="F3066" s="11" t="str">
        <f>IF(ISBLANK(D3066),"",(VLOOKUP(D3066,Cardápio!$A$2:$B$16,2,0))*E3066)</f>
        <v/>
      </c>
      <c r="H3066" s="7" t="str">
        <f t="shared" si="192"/>
        <v/>
      </c>
      <c r="I3066" s="7" t="str">
        <f>IF(AND(ISBLANK(D3066),ISBLANK(C3066)),"",((VLOOKUP(D3066,Cardápio!$A$2:$C$16,3,0))*E3066)+IF(B3066="iFood",F3066*0.27,(VLOOKUP(VENDAS!C3066,Bairros!$A$2:$B$90,2,0))))</f>
        <v/>
      </c>
      <c r="J3066" s="7" t="str">
        <f t="shared" si="193"/>
        <v/>
      </c>
      <c r="K3066" s="9">
        <f t="shared" ca="1" si="194"/>
        <v>45404.878290162036</v>
      </c>
      <c r="L3066" s="10">
        <f t="shared" ca="1" si="195"/>
        <v>45404.878290046297</v>
      </c>
    </row>
    <row r="3067" spans="6:12" x14ac:dyDescent="0.25">
      <c r="F3067" s="11" t="str">
        <f>IF(ISBLANK(D3067),"",(VLOOKUP(D3067,Cardápio!$A$2:$B$16,2,0))*E3067)</f>
        <v/>
      </c>
      <c r="H3067" s="7" t="str">
        <f t="shared" si="192"/>
        <v/>
      </c>
      <c r="I3067" s="7" t="str">
        <f>IF(AND(ISBLANK(D3067),ISBLANK(C3067)),"",((VLOOKUP(D3067,Cardápio!$A$2:$C$16,3,0))*E3067)+IF(B3067="iFood",F3067*0.27,(VLOOKUP(VENDAS!C3067,Bairros!$A$2:$B$90,2,0))))</f>
        <v/>
      </c>
      <c r="J3067" s="7" t="str">
        <f t="shared" si="193"/>
        <v/>
      </c>
      <c r="K3067" s="9">
        <f t="shared" ca="1" si="194"/>
        <v>45404.878290162036</v>
      </c>
      <c r="L3067" s="10">
        <f t="shared" ca="1" si="195"/>
        <v>45404.878290046297</v>
      </c>
    </row>
    <row r="3068" spans="6:12" x14ac:dyDescent="0.25">
      <c r="F3068" s="11" t="str">
        <f>IF(ISBLANK(D3068),"",(VLOOKUP(D3068,Cardápio!$A$2:$B$16,2,0))*E3068)</f>
        <v/>
      </c>
      <c r="H3068" s="7" t="str">
        <f t="shared" si="192"/>
        <v/>
      </c>
      <c r="I3068" s="7" t="str">
        <f>IF(AND(ISBLANK(D3068),ISBLANK(C3068)),"",((VLOOKUP(D3068,Cardápio!$A$2:$C$16,3,0))*E3068)+IF(B3068="iFood",F3068*0.27,(VLOOKUP(VENDAS!C3068,Bairros!$A$2:$B$90,2,0))))</f>
        <v/>
      </c>
      <c r="J3068" s="7" t="str">
        <f t="shared" si="193"/>
        <v/>
      </c>
      <c r="K3068" s="9">
        <f t="shared" ca="1" si="194"/>
        <v>45404.878290162036</v>
      </c>
      <c r="L3068" s="10">
        <f t="shared" ca="1" si="195"/>
        <v>45404.878290046297</v>
      </c>
    </row>
    <row r="3069" spans="6:12" x14ac:dyDescent="0.25">
      <c r="F3069" s="11" t="str">
        <f>IF(ISBLANK(D3069),"",(VLOOKUP(D3069,Cardápio!$A$2:$B$16,2,0))*E3069)</f>
        <v/>
      </c>
      <c r="H3069" s="7" t="str">
        <f t="shared" si="192"/>
        <v/>
      </c>
      <c r="I3069" s="7" t="str">
        <f>IF(AND(ISBLANK(D3069),ISBLANK(C3069)),"",((VLOOKUP(D3069,Cardápio!$A$2:$C$16,3,0))*E3069)+IF(B3069="iFood",F3069*0.27,(VLOOKUP(VENDAS!C3069,Bairros!$A$2:$B$90,2,0))))</f>
        <v/>
      </c>
      <c r="J3069" s="7" t="str">
        <f t="shared" si="193"/>
        <v/>
      </c>
      <c r="K3069" s="9">
        <f t="shared" ca="1" si="194"/>
        <v>45404.878290277775</v>
      </c>
      <c r="L3069" s="10">
        <f t="shared" ca="1" si="195"/>
        <v>45404.878290046297</v>
      </c>
    </row>
    <row r="3070" spans="6:12" x14ac:dyDescent="0.25">
      <c r="F3070" s="11" t="str">
        <f>IF(ISBLANK(D3070),"",(VLOOKUP(D3070,Cardápio!$A$2:$B$16,2,0))*E3070)</f>
        <v/>
      </c>
      <c r="H3070" s="7" t="str">
        <f t="shared" si="192"/>
        <v/>
      </c>
      <c r="I3070" s="7" t="str">
        <f>IF(AND(ISBLANK(D3070),ISBLANK(C3070)),"",((VLOOKUP(D3070,Cardápio!$A$2:$C$16,3,0))*E3070)+IF(B3070="iFood",F3070*0.27,(VLOOKUP(VENDAS!C3070,Bairros!$A$2:$B$90,2,0))))</f>
        <v/>
      </c>
      <c r="J3070" s="7" t="str">
        <f t="shared" si="193"/>
        <v/>
      </c>
      <c r="K3070" s="9">
        <f t="shared" ca="1" si="194"/>
        <v>45404.878290162036</v>
      </c>
      <c r="L3070" s="10">
        <f t="shared" ca="1" si="195"/>
        <v>45404.878290046297</v>
      </c>
    </row>
    <row r="3071" spans="6:12" x14ac:dyDescent="0.25">
      <c r="F3071" s="11" t="str">
        <f>IF(ISBLANK(D3071),"",(VLOOKUP(D3071,Cardápio!$A$2:$B$16,2,0))*E3071)</f>
        <v/>
      </c>
      <c r="H3071" s="7" t="str">
        <f t="shared" si="192"/>
        <v/>
      </c>
      <c r="I3071" s="7" t="str">
        <f>IF(AND(ISBLANK(D3071),ISBLANK(C3071)),"",((VLOOKUP(D3071,Cardápio!$A$2:$C$16,3,0))*E3071)+IF(B3071="iFood",F3071*0.27,(VLOOKUP(VENDAS!C3071,Bairros!$A$2:$B$90,2,0))))</f>
        <v/>
      </c>
      <c r="J3071" s="7" t="str">
        <f t="shared" si="193"/>
        <v/>
      </c>
      <c r="K3071" s="9">
        <f t="shared" ca="1" si="194"/>
        <v>45404.878290162036</v>
      </c>
      <c r="L3071" s="10">
        <f t="shared" ca="1" si="195"/>
        <v>45404.878290046297</v>
      </c>
    </row>
    <row r="3072" spans="6:12" x14ac:dyDescent="0.25">
      <c r="F3072" s="11" t="str">
        <f>IF(ISBLANK(D3072),"",(VLOOKUP(D3072,Cardápio!$A$2:$B$16,2,0))*E3072)</f>
        <v/>
      </c>
      <c r="H3072" s="7" t="str">
        <f t="shared" si="192"/>
        <v/>
      </c>
      <c r="I3072" s="7" t="str">
        <f>IF(AND(ISBLANK(D3072),ISBLANK(C3072)),"",((VLOOKUP(D3072,Cardápio!$A$2:$C$16,3,0))*E3072)+IF(B3072="iFood",F3072*0.27,(VLOOKUP(VENDAS!C3072,Bairros!$A$2:$B$90,2,0))))</f>
        <v/>
      </c>
      <c r="J3072" s="7" t="str">
        <f t="shared" si="193"/>
        <v/>
      </c>
      <c r="K3072" s="9">
        <f t="shared" ca="1" si="194"/>
        <v>45404.878290162036</v>
      </c>
      <c r="L3072" s="10">
        <f t="shared" ca="1" si="195"/>
        <v>45404.878290046297</v>
      </c>
    </row>
    <row r="3073" spans="6:12" x14ac:dyDescent="0.25">
      <c r="F3073" s="11" t="str">
        <f>IF(ISBLANK(D3073),"",(VLOOKUP(D3073,Cardápio!$A$2:$B$16,2,0))*E3073)</f>
        <v/>
      </c>
      <c r="H3073" s="7" t="str">
        <f t="shared" si="192"/>
        <v/>
      </c>
      <c r="I3073" s="7" t="str">
        <f>IF(AND(ISBLANK(D3073),ISBLANK(C3073)),"",((VLOOKUP(D3073,Cardápio!$A$2:$C$16,3,0))*E3073)+IF(B3073="iFood",F3073*0.27,(VLOOKUP(VENDAS!C3073,Bairros!$A$2:$B$90,2,0))))</f>
        <v/>
      </c>
      <c r="J3073" s="7" t="str">
        <f t="shared" si="193"/>
        <v/>
      </c>
      <c r="K3073" s="9">
        <f t="shared" ca="1" si="194"/>
        <v>45404.878290277775</v>
      </c>
      <c r="L3073" s="10">
        <f t="shared" ca="1" si="195"/>
        <v>45404.878290046297</v>
      </c>
    </row>
    <row r="3074" spans="6:12" x14ac:dyDescent="0.25">
      <c r="F3074" s="11" t="str">
        <f>IF(ISBLANK(D3074),"",(VLOOKUP(D3074,Cardápio!$A$2:$B$16,2,0))*E3074)</f>
        <v/>
      </c>
      <c r="H3074" s="7" t="str">
        <f t="shared" si="192"/>
        <v/>
      </c>
      <c r="I3074" s="7" t="str">
        <f>IF(AND(ISBLANK(D3074),ISBLANK(C3074)),"",((VLOOKUP(D3074,Cardápio!$A$2:$C$16,3,0))*E3074)+IF(B3074="iFood",F3074*0.27,(VLOOKUP(VENDAS!C3074,Bairros!$A$2:$B$90,2,0))))</f>
        <v/>
      </c>
      <c r="J3074" s="7" t="str">
        <f t="shared" si="193"/>
        <v/>
      </c>
      <c r="K3074" s="9">
        <f t="shared" ca="1" si="194"/>
        <v>45404.878290162036</v>
      </c>
      <c r="L3074" s="10">
        <f t="shared" ca="1" si="195"/>
        <v>45404.878290046297</v>
      </c>
    </row>
    <row r="3075" spans="6:12" x14ac:dyDescent="0.25">
      <c r="F3075" s="11" t="str">
        <f>IF(ISBLANK(D3075),"",(VLOOKUP(D3075,Cardápio!$A$2:$B$16,2,0))*E3075)</f>
        <v/>
      </c>
      <c r="H3075" s="7" t="str">
        <f t="shared" si="192"/>
        <v/>
      </c>
      <c r="I3075" s="7" t="str">
        <f>IF(AND(ISBLANK(D3075),ISBLANK(C3075)),"",((VLOOKUP(D3075,Cardápio!$A$2:$C$16,3,0))*E3075)+IF(B3075="iFood",F3075*0.27,(VLOOKUP(VENDAS!C3075,Bairros!$A$2:$B$90,2,0))))</f>
        <v/>
      </c>
      <c r="J3075" s="7" t="str">
        <f t="shared" si="193"/>
        <v/>
      </c>
      <c r="K3075" s="9">
        <f t="shared" ca="1" si="194"/>
        <v>45404.878290162036</v>
      </c>
      <c r="L3075" s="10">
        <f t="shared" ca="1" si="195"/>
        <v>45404.878290046297</v>
      </c>
    </row>
    <row r="3076" spans="6:12" x14ac:dyDescent="0.25">
      <c r="F3076" s="11" t="str">
        <f>IF(ISBLANK(D3076),"",(VLOOKUP(D3076,Cardápio!$A$2:$B$16,2,0))*E3076)</f>
        <v/>
      </c>
      <c r="H3076" s="7" t="str">
        <f t="shared" si="192"/>
        <v/>
      </c>
      <c r="I3076" s="7" t="str">
        <f>IF(AND(ISBLANK(D3076),ISBLANK(C3076)),"",((VLOOKUP(D3076,Cardápio!$A$2:$C$16,3,0))*E3076)+IF(B3076="iFood",F3076*0.27,(VLOOKUP(VENDAS!C3076,Bairros!$A$2:$B$90,2,0))))</f>
        <v/>
      </c>
      <c r="J3076" s="7" t="str">
        <f t="shared" si="193"/>
        <v/>
      </c>
      <c r="K3076" s="9">
        <f t="shared" ca="1" si="194"/>
        <v>45404.878290162036</v>
      </c>
      <c r="L3076" s="10">
        <f t="shared" ca="1" si="195"/>
        <v>45404.878290046297</v>
      </c>
    </row>
    <row r="3077" spans="6:12" x14ac:dyDescent="0.25">
      <c r="F3077" s="11" t="str">
        <f>IF(ISBLANK(D3077),"",(VLOOKUP(D3077,Cardápio!$A$2:$B$16,2,0))*E3077)</f>
        <v/>
      </c>
      <c r="H3077" s="7" t="str">
        <f t="shared" si="192"/>
        <v/>
      </c>
      <c r="I3077" s="7" t="str">
        <f>IF(AND(ISBLANK(D3077),ISBLANK(C3077)),"",((VLOOKUP(D3077,Cardápio!$A$2:$C$16,3,0))*E3077)+IF(B3077="iFood",F3077*0.27,(VLOOKUP(VENDAS!C3077,Bairros!$A$2:$B$90,2,0))))</f>
        <v/>
      </c>
      <c r="J3077" s="7" t="str">
        <f t="shared" si="193"/>
        <v/>
      </c>
      <c r="K3077" s="9">
        <f t="shared" ca="1" si="194"/>
        <v>45404.878290277775</v>
      </c>
      <c r="L3077" s="10">
        <f t="shared" ca="1" si="195"/>
        <v>45404.878290046297</v>
      </c>
    </row>
    <row r="3078" spans="6:12" x14ac:dyDescent="0.25">
      <c r="F3078" s="11" t="str">
        <f>IF(ISBLANK(D3078),"",(VLOOKUP(D3078,Cardápio!$A$2:$B$16,2,0))*E3078)</f>
        <v/>
      </c>
      <c r="H3078" s="7" t="str">
        <f t="shared" si="192"/>
        <v/>
      </c>
      <c r="I3078" s="7" t="str">
        <f>IF(AND(ISBLANK(D3078),ISBLANK(C3078)),"",((VLOOKUP(D3078,Cardápio!$A$2:$C$16,3,0))*E3078)+IF(B3078="iFood",F3078*0.27,(VLOOKUP(VENDAS!C3078,Bairros!$A$2:$B$90,2,0))))</f>
        <v/>
      </c>
      <c r="J3078" s="7" t="str">
        <f t="shared" si="193"/>
        <v/>
      </c>
      <c r="K3078" s="9">
        <f t="shared" ca="1" si="194"/>
        <v>45404.878290162036</v>
      </c>
      <c r="L3078" s="10">
        <f t="shared" ca="1" si="195"/>
        <v>45404.878290046297</v>
      </c>
    </row>
    <row r="3079" spans="6:12" x14ac:dyDescent="0.25">
      <c r="F3079" s="11" t="str">
        <f>IF(ISBLANK(D3079),"",(VLOOKUP(D3079,Cardápio!$A$2:$B$16,2,0))*E3079)</f>
        <v/>
      </c>
      <c r="H3079" s="7" t="str">
        <f t="shared" si="192"/>
        <v/>
      </c>
      <c r="I3079" s="7" t="str">
        <f>IF(AND(ISBLANK(D3079),ISBLANK(C3079)),"",((VLOOKUP(D3079,Cardápio!$A$2:$C$16,3,0))*E3079)+IF(B3079="iFood",F3079*0.27,(VLOOKUP(VENDAS!C3079,Bairros!$A$2:$B$90,2,0))))</f>
        <v/>
      </c>
      <c r="J3079" s="7" t="str">
        <f t="shared" si="193"/>
        <v/>
      </c>
      <c r="K3079" s="9">
        <f t="shared" ca="1" si="194"/>
        <v>45404.878290162036</v>
      </c>
      <c r="L3079" s="10">
        <f t="shared" ca="1" si="195"/>
        <v>45404.878290046297</v>
      </c>
    </row>
    <row r="3080" spans="6:12" x14ac:dyDescent="0.25">
      <c r="F3080" s="11" t="str">
        <f>IF(ISBLANK(D3080),"",(VLOOKUP(D3080,Cardápio!$A$2:$B$16,2,0))*E3080)</f>
        <v/>
      </c>
      <c r="H3080" s="7" t="str">
        <f t="shared" si="192"/>
        <v/>
      </c>
      <c r="I3080" s="7" t="str">
        <f>IF(AND(ISBLANK(D3080),ISBLANK(C3080)),"",((VLOOKUP(D3080,Cardápio!$A$2:$C$16,3,0))*E3080)+IF(B3080="iFood",F3080*0.27,(VLOOKUP(VENDAS!C3080,Bairros!$A$2:$B$90,2,0))))</f>
        <v/>
      </c>
      <c r="J3080" s="7" t="str">
        <f t="shared" si="193"/>
        <v/>
      </c>
      <c r="K3080" s="9">
        <f t="shared" ca="1" si="194"/>
        <v>45404.878290162036</v>
      </c>
      <c r="L3080" s="10">
        <f t="shared" ca="1" si="195"/>
        <v>45404.878290046297</v>
      </c>
    </row>
    <row r="3081" spans="6:12" x14ac:dyDescent="0.25">
      <c r="F3081" s="11" t="str">
        <f>IF(ISBLANK(D3081),"",(VLOOKUP(D3081,Cardápio!$A$2:$B$16,2,0))*E3081)</f>
        <v/>
      </c>
      <c r="H3081" s="7" t="str">
        <f t="shared" si="192"/>
        <v/>
      </c>
      <c r="I3081" s="7" t="str">
        <f>IF(AND(ISBLANK(D3081),ISBLANK(C3081)),"",((VLOOKUP(D3081,Cardápio!$A$2:$C$16,3,0))*E3081)+IF(B3081="iFood",F3081*0.27,(VLOOKUP(VENDAS!C3081,Bairros!$A$2:$B$90,2,0))))</f>
        <v/>
      </c>
      <c r="J3081" s="7" t="str">
        <f t="shared" si="193"/>
        <v/>
      </c>
      <c r="K3081" s="9">
        <f t="shared" ca="1" si="194"/>
        <v>45404.878290277775</v>
      </c>
      <c r="L3081" s="10">
        <f t="shared" ca="1" si="195"/>
        <v>45404.878290046297</v>
      </c>
    </row>
    <row r="3082" spans="6:12" x14ac:dyDescent="0.25">
      <c r="F3082" s="11" t="str">
        <f>IF(ISBLANK(D3082),"",(VLOOKUP(D3082,Cardápio!$A$2:$B$16,2,0))*E3082)</f>
        <v/>
      </c>
      <c r="H3082" s="7" t="str">
        <f t="shared" si="192"/>
        <v/>
      </c>
      <c r="I3082" s="7" t="str">
        <f>IF(AND(ISBLANK(D3082),ISBLANK(C3082)),"",((VLOOKUP(D3082,Cardápio!$A$2:$C$16,3,0))*E3082)+IF(B3082="iFood",F3082*0.27,(VLOOKUP(VENDAS!C3082,Bairros!$A$2:$B$90,2,0))))</f>
        <v/>
      </c>
      <c r="J3082" s="7" t="str">
        <f t="shared" si="193"/>
        <v/>
      </c>
      <c r="K3082" s="9">
        <f t="shared" ca="1" si="194"/>
        <v>45404.878290162036</v>
      </c>
      <c r="L3082" s="10">
        <f t="shared" ca="1" si="195"/>
        <v>45404.878290046297</v>
      </c>
    </row>
    <row r="3083" spans="6:12" x14ac:dyDescent="0.25">
      <c r="F3083" s="11" t="str">
        <f>IF(ISBLANK(D3083),"",(VLOOKUP(D3083,Cardápio!$A$2:$B$16,2,0))*E3083)</f>
        <v/>
      </c>
      <c r="H3083" s="7" t="str">
        <f t="shared" si="192"/>
        <v/>
      </c>
      <c r="I3083" s="7" t="str">
        <f>IF(AND(ISBLANK(D3083),ISBLANK(C3083)),"",((VLOOKUP(D3083,Cardápio!$A$2:$C$16,3,0))*E3083)+IF(B3083="iFood",F3083*0.27,(VLOOKUP(VENDAS!C3083,Bairros!$A$2:$B$90,2,0))))</f>
        <v/>
      </c>
      <c r="J3083" s="7" t="str">
        <f t="shared" si="193"/>
        <v/>
      </c>
      <c r="K3083" s="9">
        <f t="shared" ca="1" si="194"/>
        <v>45404.878290162036</v>
      </c>
      <c r="L3083" s="10">
        <f t="shared" ca="1" si="195"/>
        <v>45404.878290046297</v>
      </c>
    </row>
    <row r="3084" spans="6:12" x14ac:dyDescent="0.25">
      <c r="F3084" s="11" t="str">
        <f>IF(ISBLANK(D3084),"",(VLOOKUP(D3084,Cardápio!$A$2:$B$16,2,0))*E3084)</f>
        <v/>
      </c>
      <c r="H3084" s="7" t="str">
        <f t="shared" si="192"/>
        <v/>
      </c>
      <c r="I3084" s="7" t="str">
        <f>IF(AND(ISBLANK(D3084),ISBLANK(C3084)),"",((VLOOKUP(D3084,Cardápio!$A$2:$C$16,3,0))*E3084)+IF(B3084="iFood",F3084*0.27,(VLOOKUP(VENDAS!C3084,Bairros!$A$2:$B$90,2,0))))</f>
        <v/>
      </c>
      <c r="J3084" s="7" t="str">
        <f t="shared" si="193"/>
        <v/>
      </c>
      <c r="K3084" s="9">
        <f t="shared" ca="1" si="194"/>
        <v>45404.878290162036</v>
      </c>
      <c r="L3084" s="10">
        <f t="shared" ca="1" si="195"/>
        <v>45404.878290046297</v>
      </c>
    </row>
    <row r="3085" spans="6:12" x14ac:dyDescent="0.25">
      <c r="F3085" s="11" t="str">
        <f>IF(ISBLANK(D3085),"",(VLOOKUP(D3085,Cardápio!$A$2:$B$16,2,0))*E3085)</f>
        <v/>
      </c>
      <c r="H3085" s="7" t="str">
        <f t="shared" si="192"/>
        <v/>
      </c>
      <c r="I3085" s="7" t="str">
        <f>IF(AND(ISBLANK(D3085),ISBLANK(C3085)),"",((VLOOKUP(D3085,Cardápio!$A$2:$C$16,3,0))*E3085)+IF(B3085="iFood",F3085*0.27,(VLOOKUP(VENDAS!C3085,Bairros!$A$2:$B$90,2,0))))</f>
        <v/>
      </c>
      <c r="J3085" s="7" t="str">
        <f t="shared" si="193"/>
        <v/>
      </c>
      <c r="K3085" s="9">
        <f t="shared" ca="1" si="194"/>
        <v>45404.878290277775</v>
      </c>
      <c r="L3085" s="10">
        <f t="shared" ca="1" si="195"/>
        <v>45404.878290046297</v>
      </c>
    </row>
    <row r="3086" spans="6:12" x14ac:dyDescent="0.25">
      <c r="F3086" s="11" t="str">
        <f>IF(ISBLANK(D3086),"",(VLOOKUP(D3086,Cardápio!$A$2:$B$16,2,0))*E3086)</f>
        <v/>
      </c>
      <c r="H3086" s="7" t="str">
        <f t="shared" si="192"/>
        <v/>
      </c>
      <c r="I3086" s="7" t="str">
        <f>IF(AND(ISBLANK(D3086),ISBLANK(C3086)),"",((VLOOKUP(D3086,Cardápio!$A$2:$C$16,3,0))*E3086)+IF(B3086="iFood",F3086*0.27,(VLOOKUP(VENDAS!C3086,Bairros!$A$2:$B$90,2,0))))</f>
        <v/>
      </c>
      <c r="J3086" s="7" t="str">
        <f t="shared" si="193"/>
        <v/>
      </c>
      <c r="K3086" s="9">
        <f t="shared" ca="1" si="194"/>
        <v>45404.878290162036</v>
      </c>
      <c r="L3086" s="10">
        <f t="shared" ca="1" si="195"/>
        <v>45404.878290046297</v>
      </c>
    </row>
    <row r="3087" spans="6:12" x14ac:dyDescent="0.25">
      <c r="F3087" s="11" t="str">
        <f>IF(ISBLANK(D3087),"",(VLOOKUP(D3087,Cardápio!$A$2:$B$16,2,0))*E3087)</f>
        <v/>
      </c>
      <c r="H3087" s="7" t="str">
        <f t="shared" si="192"/>
        <v/>
      </c>
      <c r="I3087" s="7" t="str">
        <f>IF(AND(ISBLANK(D3087),ISBLANK(C3087)),"",((VLOOKUP(D3087,Cardápio!$A$2:$C$16,3,0))*E3087)+IF(B3087="iFood",F3087*0.27,(VLOOKUP(VENDAS!C3087,Bairros!$A$2:$B$90,2,0))))</f>
        <v/>
      </c>
      <c r="J3087" s="7" t="str">
        <f t="shared" si="193"/>
        <v/>
      </c>
      <c r="K3087" s="9">
        <f t="shared" ca="1" si="194"/>
        <v>45404.878290162036</v>
      </c>
      <c r="L3087" s="10">
        <f t="shared" ca="1" si="195"/>
        <v>45404.878290046297</v>
      </c>
    </row>
    <row r="3088" spans="6:12" x14ac:dyDescent="0.25">
      <c r="F3088" s="11" t="str">
        <f>IF(ISBLANK(D3088),"",(VLOOKUP(D3088,Cardápio!$A$2:$B$16,2,0))*E3088)</f>
        <v/>
      </c>
      <c r="H3088" s="7" t="str">
        <f t="shared" si="192"/>
        <v/>
      </c>
      <c r="I3088" s="7" t="str">
        <f>IF(AND(ISBLANK(D3088),ISBLANK(C3088)),"",((VLOOKUP(D3088,Cardápio!$A$2:$C$16,3,0))*E3088)+IF(B3088="iFood",F3088*0.27,(VLOOKUP(VENDAS!C3088,Bairros!$A$2:$B$90,2,0))))</f>
        <v/>
      </c>
      <c r="J3088" s="7" t="str">
        <f t="shared" si="193"/>
        <v/>
      </c>
      <c r="K3088" s="9">
        <f t="shared" ca="1" si="194"/>
        <v>45404.878290162036</v>
      </c>
      <c r="L3088" s="10">
        <f t="shared" ca="1" si="195"/>
        <v>45404.878290046297</v>
      </c>
    </row>
    <row r="3089" spans="6:12" x14ac:dyDescent="0.25">
      <c r="F3089" s="11" t="str">
        <f>IF(ISBLANK(D3089),"",(VLOOKUP(D3089,Cardápio!$A$2:$B$16,2,0))*E3089)</f>
        <v/>
      </c>
      <c r="H3089" s="7" t="str">
        <f t="shared" si="192"/>
        <v/>
      </c>
      <c r="I3089" s="7" t="str">
        <f>IF(AND(ISBLANK(D3089),ISBLANK(C3089)),"",((VLOOKUP(D3089,Cardápio!$A$2:$C$16,3,0))*E3089)+IF(B3089="iFood",F3089*0.27,(VLOOKUP(VENDAS!C3089,Bairros!$A$2:$B$90,2,0))))</f>
        <v/>
      </c>
      <c r="J3089" s="7" t="str">
        <f t="shared" si="193"/>
        <v/>
      </c>
      <c r="K3089" s="9">
        <f t="shared" ca="1" si="194"/>
        <v>45404.878290277775</v>
      </c>
      <c r="L3089" s="10">
        <f t="shared" ca="1" si="195"/>
        <v>45404.878290046297</v>
      </c>
    </row>
    <row r="3090" spans="6:12" x14ac:dyDescent="0.25">
      <c r="F3090" s="11" t="str">
        <f>IF(ISBLANK(D3090),"",(VLOOKUP(D3090,Cardápio!$A$2:$B$16,2,0))*E3090)</f>
        <v/>
      </c>
      <c r="H3090" s="7" t="str">
        <f t="shared" si="192"/>
        <v/>
      </c>
      <c r="I3090" s="7" t="str">
        <f>IF(AND(ISBLANK(D3090),ISBLANK(C3090)),"",((VLOOKUP(D3090,Cardápio!$A$2:$C$16,3,0))*E3090)+IF(B3090="iFood",F3090*0.27,(VLOOKUP(VENDAS!C3090,Bairros!$A$2:$B$90,2,0))))</f>
        <v/>
      </c>
      <c r="J3090" s="7" t="str">
        <f t="shared" si="193"/>
        <v/>
      </c>
      <c r="K3090" s="9">
        <f t="shared" ca="1" si="194"/>
        <v>45404.878290162036</v>
      </c>
      <c r="L3090" s="10">
        <f t="shared" ca="1" si="195"/>
        <v>45404.878290046297</v>
      </c>
    </row>
    <row r="3091" spans="6:12" x14ac:dyDescent="0.25">
      <c r="F3091" s="11" t="str">
        <f>IF(ISBLANK(D3091),"",(VLOOKUP(D3091,Cardápio!$A$2:$B$16,2,0))*E3091)</f>
        <v/>
      </c>
      <c r="H3091" s="7" t="str">
        <f t="shared" si="192"/>
        <v/>
      </c>
      <c r="I3091" s="7" t="str">
        <f>IF(AND(ISBLANK(D3091),ISBLANK(C3091)),"",((VLOOKUP(D3091,Cardápio!$A$2:$C$16,3,0))*E3091)+IF(B3091="iFood",F3091*0.27,(VLOOKUP(VENDAS!C3091,Bairros!$A$2:$B$90,2,0))))</f>
        <v/>
      </c>
      <c r="J3091" s="7" t="str">
        <f t="shared" si="193"/>
        <v/>
      </c>
      <c r="K3091" s="9">
        <f t="shared" ca="1" si="194"/>
        <v>45404.878290162036</v>
      </c>
      <c r="L3091" s="10">
        <f t="shared" ca="1" si="195"/>
        <v>45404.878290046297</v>
      </c>
    </row>
    <row r="3092" spans="6:12" x14ac:dyDescent="0.25">
      <c r="F3092" s="11" t="str">
        <f>IF(ISBLANK(D3092),"",(VLOOKUP(D3092,Cardápio!$A$2:$B$16,2,0))*E3092)</f>
        <v/>
      </c>
      <c r="H3092" s="7" t="str">
        <f t="shared" si="192"/>
        <v/>
      </c>
      <c r="I3092" s="7" t="str">
        <f>IF(AND(ISBLANK(D3092),ISBLANK(C3092)),"",((VLOOKUP(D3092,Cardápio!$A$2:$C$16,3,0))*E3092)+IF(B3092="iFood",F3092*0.27,(VLOOKUP(VENDAS!C3092,Bairros!$A$2:$B$90,2,0))))</f>
        <v/>
      </c>
      <c r="J3092" s="7" t="str">
        <f t="shared" si="193"/>
        <v/>
      </c>
      <c r="K3092" s="9">
        <f t="shared" ca="1" si="194"/>
        <v>45404.878290162036</v>
      </c>
      <c r="L3092" s="10">
        <f t="shared" ca="1" si="195"/>
        <v>45404.878290046297</v>
      </c>
    </row>
    <row r="3093" spans="6:12" x14ac:dyDescent="0.25">
      <c r="F3093" s="11" t="str">
        <f>IF(ISBLANK(D3093),"",(VLOOKUP(D3093,Cardápio!$A$2:$B$16,2,0))*E3093)</f>
        <v/>
      </c>
      <c r="H3093" s="7" t="str">
        <f t="shared" si="192"/>
        <v/>
      </c>
      <c r="I3093" s="7" t="str">
        <f>IF(AND(ISBLANK(D3093),ISBLANK(C3093)),"",((VLOOKUP(D3093,Cardápio!$A$2:$C$16,3,0))*E3093)+IF(B3093="iFood",F3093*0.27,(VLOOKUP(VENDAS!C3093,Bairros!$A$2:$B$90,2,0))))</f>
        <v/>
      </c>
      <c r="J3093" s="7" t="str">
        <f t="shared" si="193"/>
        <v/>
      </c>
      <c r="K3093" s="9">
        <f t="shared" ca="1" si="194"/>
        <v>45404.878290277775</v>
      </c>
      <c r="L3093" s="10">
        <f t="shared" ca="1" si="195"/>
        <v>45404.878290046297</v>
      </c>
    </row>
    <row r="3094" spans="6:12" x14ac:dyDescent="0.25">
      <c r="F3094" s="11" t="str">
        <f>IF(ISBLANK(D3094),"",(VLOOKUP(D3094,Cardápio!$A$2:$B$16,2,0))*E3094)</f>
        <v/>
      </c>
      <c r="H3094" s="7" t="str">
        <f t="shared" si="192"/>
        <v/>
      </c>
      <c r="I3094" s="7" t="str">
        <f>IF(AND(ISBLANK(D3094),ISBLANK(C3094)),"",((VLOOKUP(D3094,Cardápio!$A$2:$C$16,3,0))*E3094)+IF(B3094="iFood",F3094*0.27,(VLOOKUP(VENDAS!C3094,Bairros!$A$2:$B$90,2,0))))</f>
        <v/>
      </c>
      <c r="J3094" s="7" t="str">
        <f t="shared" si="193"/>
        <v/>
      </c>
      <c r="K3094" s="9">
        <f t="shared" ca="1" si="194"/>
        <v>45404.878290162036</v>
      </c>
      <c r="L3094" s="10">
        <f t="shared" ca="1" si="195"/>
        <v>45404.878290046297</v>
      </c>
    </row>
    <row r="3095" spans="6:12" x14ac:dyDescent="0.25">
      <c r="F3095" s="11" t="str">
        <f>IF(ISBLANK(D3095),"",(VLOOKUP(D3095,Cardápio!$A$2:$B$16,2,0))*E3095)</f>
        <v/>
      </c>
      <c r="H3095" s="7" t="str">
        <f t="shared" si="192"/>
        <v/>
      </c>
      <c r="I3095" s="7" t="str">
        <f>IF(AND(ISBLANK(D3095),ISBLANK(C3095)),"",((VLOOKUP(D3095,Cardápio!$A$2:$C$16,3,0))*E3095)+IF(B3095="iFood",F3095*0.27,(VLOOKUP(VENDAS!C3095,Bairros!$A$2:$B$90,2,0))))</f>
        <v/>
      </c>
      <c r="J3095" s="7" t="str">
        <f t="shared" si="193"/>
        <v/>
      </c>
      <c r="K3095" s="9">
        <f t="shared" ca="1" si="194"/>
        <v>45404.878290162036</v>
      </c>
      <c r="L3095" s="10">
        <f t="shared" ca="1" si="195"/>
        <v>45404.878290046297</v>
      </c>
    </row>
    <row r="3096" spans="6:12" x14ac:dyDescent="0.25">
      <c r="F3096" s="11" t="str">
        <f>IF(ISBLANK(D3096),"",(VLOOKUP(D3096,Cardápio!$A$2:$B$16,2,0))*E3096)</f>
        <v/>
      </c>
      <c r="H3096" s="7" t="str">
        <f t="shared" si="192"/>
        <v/>
      </c>
      <c r="I3096" s="7" t="str">
        <f>IF(AND(ISBLANK(D3096),ISBLANK(C3096)),"",((VLOOKUP(D3096,Cardápio!$A$2:$C$16,3,0))*E3096)+IF(B3096="iFood",F3096*0.27,(VLOOKUP(VENDAS!C3096,Bairros!$A$2:$B$90,2,0))))</f>
        <v/>
      </c>
      <c r="J3096" s="7" t="str">
        <f t="shared" si="193"/>
        <v/>
      </c>
      <c r="K3096" s="9">
        <f t="shared" ca="1" si="194"/>
        <v>45404.878290162036</v>
      </c>
      <c r="L3096" s="10">
        <f t="shared" ca="1" si="195"/>
        <v>45404.878290046297</v>
      </c>
    </row>
    <row r="3097" spans="6:12" x14ac:dyDescent="0.25">
      <c r="F3097" s="11" t="str">
        <f>IF(ISBLANK(D3097),"",(VLOOKUP(D3097,Cardápio!$A$2:$B$16,2,0))*E3097)</f>
        <v/>
      </c>
      <c r="H3097" s="7" t="str">
        <f t="shared" si="192"/>
        <v/>
      </c>
      <c r="I3097" s="7" t="str">
        <f>IF(AND(ISBLANK(D3097),ISBLANK(C3097)),"",((VLOOKUP(D3097,Cardápio!$A$2:$C$16,3,0))*E3097)+IF(B3097="iFood",F3097*0.27,(VLOOKUP(VENDAS!C3097,Bairros!$A$2:$B$90,2,0))))</f>
        <v/>
      </c>
      <c r="J3097" s="7" t="str">
        <f t="shared" si="193"/>
        <v/>
      </c>
      <c r="K3097" s="9">
        <f t="shared" ca="1" si="194"/>
        <v>45404.878290277775</v>
      </c>
      <c r="L3097" s="10">
        <f t="shared" ca="1" si="195"/>
        <v>45404.878290046297</v>
      </c>
    </row>
    <row r="3098" spans="6:12" x14ac:dyDescent="0.25">
      <c r="F3098" s="11" t="str">
        <f>IF(ISBLANK(D3098),"",(VLOOKUP(D3098,Cardápio!$A$2:$B$16,2,0))*E3098)</f>
        <v/>
      </c>
      <c r="H3098" s="7" t="str">
        <f t="shared" si="192"/>
        <v/>
      </c>
      <c r="I3098" s="7" t="str">
        <f>IF(AND(ISBLANK(D3098),ISBLANK(C3098)),"",((VLOOKUP(D3098,Cardápio!$A$2:$C$16,3,0))*E3098)+IF(B3098="iFood",F3098*0.27,(VLOOKUP(VENDAS!C3098,Bairros!$A$2:$B$90,2,0))))</f>
        <v/>
      </c>
      <c r="J3098" s="7" t="str">
        <f t="shared" si="193"/>
        <v/>
      </c>
      <c r="K3098" s="9">
        <f t="shared" ca="1" si="194"/>
        <v>45404.878290162036</v>
      </c>
      <c r="L3098" s="10">
        <f t="shared" ca="1" si="195"/>
        <v>45404.878290046297</v>
      </c>
    </row>
    <row r="3099" spans="6:12" x14ac:dyDescent="0.25">
      <c r="F3099" s="11" t="str">
        <f>IF(ISBLANK(D3099),"",(VLOOKUP(D3099,Cardápio!$A$2:$B$16,2,0))*E3099)</f>
        <v/>
      </c>
      <c r="H3099" s="7" t="str">
        <f t="shared" si="192"/>
        <v/>
      </c>
      <c r="I3099" s="7" t="str">
        <f>IF(AND(ISBLANK(D3099),ISBLANK(C3099)),"",((VLOOKUP(D3099,Cardápio!$A$2:$C$16,3,0))*E3099)+IF(B3099="iFood",F3099*0.27,(VLOOKUP(VENDAS!C3099,Bairros!$A$2:$B$90,2,0))))</f>
        <v/>
      </c>
      <c r="J3099" s="7" t="str">
        <f t="shared" si="193"/>
        <v/>
      </c>
      <c r="K3099" s="9">
        <f t="shared" ca="1" si="194"/>
        <v>45404.878290162036</v>
      </c>
      <c r="L3099" s="10">
        <f t="shared" ca="1" si="195"/>
        <v>45404.878290046297</v>
      </c>
    </row>
    <row r="3100" spans="6:12" x14ac:dyDescent="0.25">
      <c r="F3100" s="11" t="str">
        <f>IF(ISBLANK(D3100),"",(VLOOKUP(D3100,Cardápio!$A$2:$B$16,2,0))*E3100)</f>
        <v/>
      </c>
      <c r="H3100" s="7" t="str">
        <f t="shared" si="192"/>
        <v/>
      </c>
      <c r="I3100" s="7" t="str">
        <f>IF(AND(ISBLANK(D3100),ISBLANK(C3100)),"",((VLOOKUP(D3100,Cardápio!$A$2:$C$16,3,0))*E3100)+IF(B3100="iFood",F3100*0.27,(VLOOKUP(VENDAS!C3100,Bairros!$A$2:$B$90,2,0))))</f>
        <v/>
      </c>
      <c r="J3100" s="7" t="str">
        <f t="shared" si="193"/>
        <v/>
      </c>
      <c r="K3100" s="9">
        <f t="shared" ca="1" si="194"/>
        <v>45404.878290162036</v>
      </c>
      <c r="L3100" s="10">
        <f t="shared" ca="1" si="195"/>
        <v>45404.878290046297</v>
      </c>
    </row>
    <row r="3101" spans="6:12" x14ac:dyDescent="0.25">
      <c r="F3101" s="11" t="str">
        <f>IF(ISBLANK(D3101),"",(VLOOKUP(D3101,Cardápio!$A$2:$B$16,2,0))*E3101)</f>
        <v/>
      </c>
      <c r="H3101" s="7" t="str">
        <f t="shared" si="192"/>
        <v/>
      </c>
      <c r="I3101" s="7" t="str">
        <f>IF(AND(ISBLANK(D3101),ISBLANK(C3101)),"",((VLOOKUP(D3101,Cardápio!$A$2:$C$16,3,0))*E3101)+IF(B3101="iFood",F3101*0.27,(VLOOKUP(VENDAS!C3101,Bairros!$A$2:$B$90,2,0))))</f>
        <v/>
      </c>
      <c r="J3101" s="7" t="str">
        <f t="shared" si="193"/>
        <v/>
      </c>
      <c r="K3101" s="9">
        <f t="shared" ca="1" si="194"/>
        <v>45404.878290277775</v>
      </c>
      <c r="L3101" s="10">
        <f t="shared" ca="1" si="195"/>
        <v>45404.878290046297</v>
      </c>
    </row>
    <row r="3102" spans="6:12" x14ac:dyDescent="0.25">
      <c r="F3102" s="11" t="str">
        <f>IF(ISBLANK(D3102),"",(VLOOKUP(D3102,Cardápio!$A$2:$B$16,2,0))*E3102)</f>
        <v/>
      </c>
      <c r="H3102" s="7" t="str">
        <f t="shared" si="192"/>
        <v/>
      </c>
      <c r="I3102" s="7" t="str">
        <f>IF(AND(ISBLANK(D3102),ISBLANK(C3102)),"",((VLOOKUP(D3102,Cardápio!$A$2:$C$16,3,0))*E3102)+IF(B3102="iFood",F3102*0.27,(VLOOKUP(VENDAS!C3102,Bairros!$A$2:$B$90,2,0))))</f>
        <v/>
      </c>
      <c r="J3102" s="7" t="str">
        <f t="shared" si="193"/>
        <v/>
      </c>
      <c r="K3102" s="9">
        <f t="shared" ca="1" si="194"/>
        <v>45404.878290162036</v>
      </c>
      <c r="L3102" s="10">
        <f t="shared" ca="1" si="195"/>
        <v>45404.878290046297</v>
      </c>
    </row>
    <row r="3103" spans="6:12" x14ac:dyDescent="0.25">
      <c r="F3103" s="11" t="str">
        <f>IF(ISBLANK(D3103),"",(VLOOKUP(D3103,Cardápio!$A$2:$B$16,2,0))*E3103)</f>
        <v/>
      </c>
      <c r="H3103" s="7" t="str">
        <f t="shared" si="192"/>
        <v/>
      </c>
      <c r="I3103" s="7" t="str">
        <f>IF(AND(ISBLANK(D3103),ISBLANK(C3103)),"",((VLOOKUP(D3103,Cardápio!$A$2:$C$16,3,0))*E3103)+IF(B3103="iFood",F3103*0.27,(VLOOKUP(VENDAS!C3103,Bairros!$A$2:$B$90,2,0))))</f>
        <v/>
      </c>
      <c r="J3103" s="7" t="str">
        <f t="shared" si="193"/>
        <v/>
      </c>
      <c r="K3103" s="9">
        <f t="shared" ca="1" si="194"/>
        <v>45404.878290162036</v>
      </c>
      <c r="L3103" s="10">
        <f t="shared" ca="1" si="195"/>
        <v>45404.878290046297</v>
      </c>
    </row>
    <row r="3104" spans="6:12" x14ac:dyDescent="0.25">
      <c r="F3104" s="11" t="str">
        <f>IF(ISBLANK(D3104),"",(VLOOKUP(D3104,Cardápio!$A$2:$B$16,2,0))*E3104)</f>
        <v/>
      </c>
      <c r="H3104" s="7" t="str">
        <f t="shared" si="192"/>
        <v/>
      </c>
      <c r="I3104" s="7" t="str">
        <f>IF(AND(ISBLANK(D3104),ISBLANK(C3104)),"",((VLOOKUP(D3104,Cardápio!$A$2:$C$16,3,0))*E3104)+IF(B3104="iFood",F3104*0.27,(VLOOKUP(VENDAS!C3104,Bairros!$A$2:$B$90,2,0))))</f>
        <v/>
      </c>
      <c r="J3104" s="7" t="str">
        <f t="shared" si="193"/>
        <v/>
      </c>
      <c r="K3104" s="9">
        <f t="shared" ca="1" si="194"/>
        <v>45404.878290162036</v>
      </c>
      <c r="L3104" s="10">
        <f t="shared" ca="1" si="195"/>
        <v>45404.878290046297</v>
      </c>
    </row>
    <row r="3105" spans="6:12" x14ac:dyDescent="0.25">
      <c r="F3105" s="11" t="str">
        <f>IF(ISBLANK(D3105),"",(VLOOKUP(D3105,Cardápio!$A$2:$B$16,2,0))*E3105)</f>
        <v/>
      </c>
      <c r="H3105" s="7" t="str">
        <f t="shared" si="192"/>
        <v/>
      </c>
      <c r="I3105" s="7" t="str">
        <f>IF(AND(ISBLANK(D3105),ISBLANK(C3105)),"",((VLOOKUP(D3105,Cardápio!$A$2:$C$16,3,0))*E3105)+IF(B3105="iFood",F3105*0.27,(VLOOKUP(VENDAS!C3105,Bairros!$A$2:$B$90,2,0))))</f>
        <v/>
      </c>
      <c r="J3105" s="7" t="str">
        <f t="shared" si="193"/>
        <v/>
      </c>
      <c r="K3105" s="9">
        <f t="shared" ca="1" si="194"/>
        <v>45404.878290277775</v>
      </c>
      <c r="L3105" s="10">
        <f t="shared" ca="1" si="195"/>
        <v>45404.878290046297</v>
      </c>
    </row>
    <row r="3106" spans="6:12" x14ac:dyDescent="0.25">
      <c r="F3106" s="11" t="str">
        <f>IF(ISBLANK(D3106),"",(VLOOKUP(D3106,Cardápio!$A$2:$B$16,2,0))*E3106)</f>
        <v/>
      </c>
      <c r="H3106" s="7" t="str">
        <f t="shared" si="192"/>
        <v/>
      </c>
      <c r="I3106" s="7" t="str">
        <f>IF(AND(ISBLANK(D3106),ISBLANK(C3106)),"",((VLOOKUP(D3106,Cardápio!$A$2:$C$16,3,0))*E3106)+IF(B3106="iFood",F3106*0.27,(VLOOKUP(VENDAS!C3106,Bairros!$A$2:$B$90,2,0))))</f>
        <v/>
      </c>
      <c r="J3106" s="7" t="str">
        <f t="shared" si="193"/>
        <v/>
      </c>
      <c r="K3106" s="9">
        <f t="shared" ca="1" si="194"/>
        <v>45404.878290162036</v>
      </c>
      <c r="L3106" s="10">
        <f t="shared" ca="1" si="195"/>
        <v>45404.878290046297</v>
      </c>
    </row>
    <row r="3107" spans="6:12" x14ac:dyDescent="0.25">
      <c r="F3107" s="11" t="str">
        <f>IF(ISBLANK(D3107),"",(VLOOKUP(D3107,Cardápio!$A$2:$B$16,2,0))*E3107)</f>
        <v/>
      </c>
      <c r="H3107" s="7" t="str">
        <f t="shared" si="192"/>
        <v/>
      </c>
      <c r="I3107" s="7" t="str">
        <f>IF(AND(ISBLANK(D3107),ISBLANK(C3107)),"",((VLOOKUP(D3107,Cardápio!$A$2:$C$16,3,0))*E3107)+IF(B3107="iFood",F3107*0.27,(VLOOKUP(VENDAS!C3107,Bairros!$A$2:$B$90,2,0))))</f>
        <v/>
      </c>
      <c r="J3107" s="7" t="str">
        <f t="shared" si="193"/>
        <v/>
      </c>
      <c r="K3107" s="9">
        <f t="shared" ca="1" si="194"/>
        <v>45404.878290162036</v>
      </c>
      <c r="L3107" s="10">
        <f t="shared" ca="1" si="195"/>
        <v>45404.878290046297</v>
      </c>
    </row>
    <row r="3108" spans="6:12" x14ac:dyDescent="0.25">
      <c r="F3108" s="11" t="str">
        <f>IF(ISBLANK(D3108),"",(VLOOKUP(D3108,Cardápio!$A$2:$B$16,2,0))*E3108)</f>
        <v/>
      </c>
      <c r="H3108" s="7" t="str">
        <f t="shared" si="192"/>
        <v/>
      </c>
      <c r="I3108" s="7" t="str">
        <f>IF(AND(ISBLANK(D3108),ISBLANK(C3108)),"",((VLOOKUP(D3108,Cardápio!$A$2:$C$16,3,0))*E3108)+IF(B3108="iFood",F3108*0.27,(VLOOKUP(VENDAS!C3108,Bairros!$A$2:$B$90,2,0))))</f>
        <v/>
      </c>
      <c r="J3108" s="7" t="str">
        <f t="shared" si="193"/>
        <v/>
      </c>
      <c r="K3108" s="9">
        <f t="shared" ca="1" si="194"/>
        <v>45404.878290162036</v>
      </c>
      <c r="L3108" s="10">
        <f t="shared" ca="1" si="195"/>
        <v>45404.878290046297</v>
      </c>
    </row>
    <row r="3109" spans="6:12" x14ac:dyDescent="0.25">
      <c r="F3109" s="11" t="str">
        <f>IF(ISBLANK(D3109),"",(VLOOKUP(D3109,Cardápio!$A$2:$B$16,2,0))*E3109)</f>
        <v/>
      </c>
      <c r="H3109" s="7" t="str">
        <f t="shared" si="192"/>
        <v/>
      </c>
      <c r="I3109" s="7" t="str">
        <f>IF(AND(ISBLANK(D3109),ISBLANK(C3109)),"",((VLOOKUP(D3109,Cardápio!$A$2:$C$16,3,0))*E3109)+IF(B3109="iFood",F3109*0.27,(VLOOKUP(VENDAS!C3109,Bairros!$A$2:$B$90,2,0))))</f>
        <v/>
      </c>
      <c r="J3109" s="7" t="str">
        <f t="shared" si="193"/>
        <v/>
      </c>
      <c r="K3109" s="9">
        <f t="shared" ca="1" si="194"/>
        <v>45404.878290277775</v>
      </c>
      <c r="L3109" s="10">
        <f t="shared" ca="1" si="195"/>
        <v>45404.878290046297</v>
      </c>
    </row>
    <row r="3110" spans="6:12" x14ac:dyDescent="0.25">
      <c r="F3110" s="11" t="str">
        <f>IF(ISBLANK(D3110),"",(VLOOKUP(D3110,Cardápio!$A$2:$B$16,2,0))*E3110)</f>
        <v/>
      </c>
      <c r="H3110" s="7" t="str">
        <f t="shared" si="192"/>
        <v/>
      </c>
      <c r="I3110" s="7" t="str">
        <f>IF(AND(ISBLANK(D3110),ISBLANK(C3110)),"",((VLOOKUP(D3110,Cardápio!$A$2:$C$16,3,0))*E3110)+IF(B3110="iFood",F3110*0.27,(VLOOKUP(VENDAS!C3110,Bairros!$A$2:$B$90,2,0))))</f>
        <v/>
      </c>
      <c r="J3110" s="7" t="str">
        <f t="shared" si="193"/>
        <v/>
      </c>
      <c r="K3110" s="9">
        <f t="shared" ca="1" si="194"/>
        <v>45404.878290162036</v>
      </c>
      <c r="L3110" s="10">
        <f t="shared" ca="1" si="195"/>
        <v>45404.878290046297</v>
      </c>
    </row>
    <row r="3111" spans="6:12" x14ac:dyDescent="0.25">
      <c r="F3111" s="11" t="str">
        <f>IF(ISBLANK(D3111),"",(VLOOKUP(D3111,Cardápio!$A$2:$B$16,2,0))*E3111)</f>
        <v/>
      </c>
      <c r="H3111" s="7" t="str">
        <f t="shared" si="192"/>
        <v/>
      </c>
      <c r="I3111" s="7" t="str">
        <f>IF(AND(ISBLANK(D3111),ISBLANK(C3111)),"",((VLOOKUP(D3111,Cardápio!$A$2:$C$16,3,0))*E3111)+IF(B3111="iFood",F3111*0.27,(VLOOKUP(VENDAS!C3111,Bairros!$A$2:$B$90,2,0))))</f>
        <v/>
      </c>
      <c r="J3111" s="7" t="str">
        <f t="shared" si="193"/>
        <v/>
      </c>
      <c r="K3111" s="9">
        <f t="shared" ca="1" si="194"/>
        <v>45404.878290162036</v>
      </c>
      <c r="L3111" s="10">
        <f t="shared" ca="1" si="195"/>
        <v>45404.878290046297</v>
      </c>
    </row>
    <row r="3112" spans="6:12" x14ac:dyDescent="0.25">
      <c r="F3112" s="11" t="str">
        <f>IF(ISBLANK(D3112),"",(VLOOKUP(D3112,Cardápio!$A$2:$B$16,2,0))*E3112)</f>
        <v/>
      </c>
      <c r="H3112" s="7" t="str">
        <f t="shared" si="192"/>
        <v/>
      </c>
      <c r="I3112" s="7" t="str">
        <f>IF(AND(ISBLANK(D3112),ISBLANK(C3112)),"",((VLOOKUP(D3112,Cardápio!$A$2:$C$16,3,0))*E3112)+IF(B3112="iFood",F3112*0.27,(VLOOKUP(VENDAS!C3112,Bairros!$A$2:$B$90,2,0))))</f>
        <v/>
      </c>
      <c r="J3112" s="7" t="str">
        <f t="shared" si="193"/>
        <v/>
      </c>
      <c r="K3112" s="9">
        <f t="shared" ca="1" si="194"/>
        <v>45404.878290162036</v>
      </c>
      <c r="L3112" s="10">
        <f t="shared" ca="1" si="195"/>
        <v>45404.878290046297</v>
      </c>
    </row>
    <row r="3113" spans="6:12" x14ac:dyDescent="0.25">
      <c r="F3113" s="11" t="str">
        <f>IF(ISBLANK(D3113),"",(VLOOKUP(D3113,Cardápio!$A$2:$B$16,2,0))*E3113)</f>
        <v/>
      </c>
      <c r="H3113" s="7" t="str">
        <f t="shared" si="192"/>
        <v/>
      </c>
      <c r="I3113" s="7" t="str">
        <f>IF(AND(ISBLANK(D3113),ISBLANK(C3113)),"",((VLOOKUP(D3113,Cardápio!$A$2:$C$16,3,0))*E3113)+IF(B3113="iFood",F3113*0.27,(VLOOKUP(VENDAS!C3113,Bairros!$A$2:$B$90,2,0))))</f>
        <v/>
      </c>
      <c r="J3113" s="7" t="str">
        <f t="shared" si="193"/>
        <v/>
      </c>
      <c r="K3113" s="9">
        <f t="shared" ca="1" si="194"/>
        <v>45404.878290277775</v>
      </c>
      <c r="L3113" s="10">
        <f t="shared" ca="1" si="195"/>
        <v>45404.878290046297</v>
      </c>
    </row>
    <row r="3114" spans="6:12" x14ac:dyDescent="0.25">
      <c r="F3114" s="11" t="str">
        <f>IF(ISBLANK(D3114),"",(VLOOKUP(D3114,Cardápio!$A$2:$B$16,2,0))*E3114)</f>
        <v/>
      </c>
      <c r="H3114" s="7" t="str">
        <f t="shared" si="192"/>
        <v/>
      </c>
      <c r="I3114" s="7" t="str">
        <f>IF(AND(ISBLANK(D3114),ISBLANK(C3114)),"",((VLOOKUP(D3114,Cardápio!$A$2:$C$16,3,0))*E3114)+IF(B3114="iFood",F3114*0.27,(VLOOKUP(VENDAS!C3114,Bairros!$A$2:$B$90,2,0))))</f>
        <v/>
      </c>
      <c r="J3114" s="7" t="str">
        <f t="shared" si="193"/>
        <v/>
      </c>
      <c r="K3114" s="9">
        <f t="shared" ca="1" si="194"/>
        <v>45404.878290162036</v>
      </c>
      <c r="L3114" s="10">
        <f t="shared" ca="1" si="195"/>
        <v>45404.878290046297</v>
      </c>
    </row>
    <row r="3115" spans="6:12" x14ac:dyDescent="0.25">
      <c r="F3115" s="11" t="str">
        <f>IF(ISBLANK(D3115),"",(VLOOKUP(D3115,Cardápio!$A$2:$B$16,2,0))*E3115)</f>
        <v/>
      </c>
      <c r="H3115" s="7" t="str">
        <f t="shared" si="192"/>
        <v/>
      </c>
      <c r="I3115" s="7" t="str">
        <f>IF(AND(ISBLANK(D3115),ISBLANK(C3115)),"",((VLOOKUP(D3115,Cardápio!$A$2:$C$16,3,0))*E3115)+IF(B3115="iFood",F3115*0.27,(VLOOKUP(VENDAS!C3115,Bairros!$A$2:$B$90,2,0))))</f>
        <v/>
      </c>
      <c r="J3115" s="7" t="str">
        <f t="shared" si="193"/>
        <v/>
      </c>
      <c r="K3115" s="9">
        <f t="shared" ca="1" si="194"/>
        <v>45404.878290162036</v>
      </c>
      <c r="L3115" s="10">
        <f t="shared" ca="1" si="195"/>
        <v>45404.878290046297</v>
      </c>
    </row>
    <row r="3116" spans="6:12" x14ac:dyDescent="0.25">
      <c r="F3116" s="11" t="str">
        <f>IF(ISBLANK(D3116),"",(VLOOKUP(D3116,Cardápio!$A$2:$B$16,2,0))*E3116)</f>
        <v/>
      </c>
      <c r="H3116" s="7" t="str">
        <f t="shared" si="192"/>
        <v/>
      </c>
      <c r="I3116" s="7" t="str">
        <f>IF(AND(ISBLANK(D3116),ISBLANK(C3116)),"",((VLOOKUP(D3116,Cardápio!$A$2:$C$16,3,0))*E3116)+IF(B3116="iFood",F3116*0.27,(VLOOKUP(VENDAS!C3116,Bairros!$A$2:$B$90,2,0))))</f>
        <v/>
      </c>
      <c r="J3116" s="7" t="str">
        <f t="shared" si="193"/>
        <v/>
      </c>
      <c r="K3116" s="9">
        <f t="shared" ca="1" si="194"/>
        <v>45404.878290162036</v>
      </c>
      <c r="L3116" s="10">
        <f t="shared" ca="1" si="195"/>
        <v>45404.878290046297</v>
      </c>
    </row>
    <row r="3117" spans="6:12" x14ac:dyDescent="0.25">
      <c r="F3117" s="11" t="str">
        <f>IF(ISBLANK(D3117),"",(VLOOKUP(D3117,Cardápio!$A$2:$B$16,2,0))*E3117)</f>
        <v/>
      </c>
      <c r="H3117" s="7" t="str">
        <f t="shared" si="192"/>
        <v/>
      </c>
      <c r="I3117" s="7" t="str">
        <f>IF(AND(ISBLANK(D3117),ISBLANK(C3117)),"",((VLOOKUP(D3117,Cardápio!$A$2:$C$16,3,0))*E3117)+IF(B3117="iFood",F3117*0.27,(VLOOKUP(VENDAS!C3117,Bairros!$A$2:$B$90,2,0))))</f>
        <v/>
      </c>
      <c r="J3117" s="7" t="str">
        <f t="shared" si="193"/>
        <v/>
      </c>
      <c r="K3117" s="9">
        <f t="shared" ca="1" si="194"/>
        <v>45404.878290277775</v>
      </c>
      <c r="L3117" s="10">
        <f t="shared" ca="1" si="195"/>
        <v>45404.878290046297</v>
      </c>
    </row>
    <row r="3118" spans="6:12" x14ac:dyDescent="0.25">
      <c r="F3118" s="11" t="str">
        <f>IF(ISBLANK(D3118),"",(VLOOKUP(D3118,Cardápio!$A$2:$B$16,2,0))*E3118)</f>
        <v/>
      </c>
      <c r="H3118" s="7" t="str">
        <f t="shared" si="192"/>
        <v/>
      </c>
      <c r="I3118" s="7" t="str">
        <f>IF(AND(ISBLANK(D3118),ISBLANK(C3118)),"",((VLOOKUP(D3118,Cardápio!$A$2:$C$16,3,0))*E3118)+IF(B3118="iFood",F3118*0.27,(VLOOKUP(VENDAS!C3118,Bairros!$A$2:$B$90,2,0))))</f>
        <v/>
      </c>
      <c r="J3118" s="7" t="str">
        <f t="shared" si="193"/>
        <v/>
      </c>
      <c r="K3118" s="9">
        <f t="shared" ca="1" si="194"/>
        <v>45404.878290162036</v>
      </c>
      <c r="L3118" s="10">
        <f t="shared" ca="1" si="195"/>
        <v>45404.878290046297</v>
      </c>
    </row>
    <row r="3119" spans="6:12" x14ac:dyDescent="0.25">
      <c r="F3119" s="11" t="str">
        <f>IF(ISBLANK(D3119),"",(VLOOKUP(D3119,Cardápio!$A$2:$B$16,2,0))*E3119)</f>
        <v/>
      </c>
      <c r="H3119" s="7" t="str">
        <f t="shared" si="192"/>
        <v/>
      </c>
      <c r="I3119" s="7" t="str">
        <f>IF(AND(ISBLANK(D3119),ISBLANK(C3119)),"",((VLOOKUP(D3119,Cardápio!$A$2:$C$16,3,0))*E3119)+IF(B3119="iFood",F3119*0.27,(VLOOKUP(VENDAS!C3119,Bairros!$A$2:$B$90,2,0))))</f>
        <v/>
      </c>
      <c r="J3119" s="7" t="str">
        <f t="shared" si="193"/>
        <v/>
      </c>
      <c r="K3119" s="9">
        <f t="shared" ca="1" si="194"/>
        <v>45404.878290162036</v>
      </c>
      <c r="L3119" s="10">
        <f t="shared" ca="1" si="195"/>
        <v>45404.878290046297</v>
      </c>
    </row>
    <row r="3120" spans="6:12" x14ac:dyDescent="0.25">
      <c r="F3120" s="11" t="str">
        <f>IF(ISBLANK(D3120),"",(VLOOKUP(D3120,Cardápio!$A$2:$B$16,2,0))*E3120)</f>
        <v/>
      </c>
      <c r="H3120" s="7" t="str">
        <f t="shared" si="192"/>
        <v/>
      </c>
      <c r="I3120" s="7" t="str">
        <f>IF(AND(ISBLANK(D3120),ISBLANK(C3120)),"",((VLOOKUP(D3120,Cardápio!$A$2:$C$16,3,0))*E3120)+IF(B3120="iFood",F3120*0.27,(VLOOKUP(VENDAS!C3120,Bairros!$A$2:$B$90,2,0))))</f>
        <v/>
      </c>
      <c r="J3120" s="7" t="str">
        <f t="shared" si="193"/>
        <v/>
      </c>
      <c r="K3120" s="9">
        <f t="shared" ca="1" si="194"/>
        <v>45404.878290162036</v>
      </c>
      <c r="L3120" s="10">
        <f t="shared" ca="1" si="195"/>
        <v>45404.878290046297</v>
      </c>
    </row>
    <row r="3121" spans="6:12" x14ac:dyDescent="0.25">
      <c r="F3121" s="11" t="str">
        <f>IF(ISBLANK(D3121),"",(VLOOKUP(D3121,Cardápio!$A$2:$B$16,2,0))*E3121)</f>
        <v/>
      </c>
      <c r="H3121" s="7" t="str">
        <f t="shared" si="192"/>
        <v/>
      </c>
      <c r="I3121" s="7" t="str">
        <f>IF(AND(ISBLANK(D3121),ISBLANK(C3121)),"",((VLOOKUP(D3121,Cardápio!$A$2:$C$16,3,0))*E3121)+IF(B3121="iFood",F3121*0.27,(VLOOKUP(VENDAS!C3121,Bairros!$A$2:$B$90,2,0))))</f>
        <v/>
      </c>
      <c r="J3121" s="7" t="str">
        <f t="shared" si="193"/>
        <v/>
      </c>
      <c r="K3121" s="9">
        <f t="shared" ca="1" si="194"/>
        <v>45404.878290277775</v>
      </c>
      <c r="L3121" s="10">
        <f t="shared" ca="1" si="195"/>
        <v>45404.878290046297</v>
      </c>
    </row>
    <row r="3122" spans="6:12" x14ac:dyDescent="0.25">
      <c r="F3122" s="11" t="str">
        <f>IF(ISBLANK(D3122),"",(VLOOKUP(D3122,Cardápio!$A$2:$B$16,2,0))*E3122)</f>
        <v/>
      </c>
      <c r="H3122" s="7" t="str">
        <f t="shared" si="192"/>
        <v/>
      </c>
      <c r="I3122" s="7" t="str">
        <f>IF(AND(ISBLANK(D3122),ISBLANK(C3122)),"",((VLOOKUP(D3122,Cardápio!$A$2:$C$16,3,0))*E3122)+IF(B3122="iFood",F3122*0.27,(VLOOKUP(VENDAS!C3122,Bairros!$A$2:$B$90,2,0))))</f>
        <v/>
      </c>
      <c r="J3122" s="7" t="str">
        <f t="shared" si="193"/>
        <v/>
      </c>
      <c r="K3122" s="9">
        <f t="shared" ca="1" si="194"/>
        <v>45404.878290162036</v>
      </c>
      <c r="L3122" s="10">
        <f t="shared" ca="1" si="195"/>
        <v>45404.878290046297</v>
      </c>
    </row>
    <row r="3123" spans="6:12" x14ac:dyDescent="0.25">
      <c r="F3123" s="11" t="str">
        <f>IF(ISBLANK(D3123),"",(VLOOKUP(D3123,Cardápio!$A$2:$B$16,2,0))*E3123)</f>
        <v/>
      </c>
      <c r="H3123" s="7" t="str">
        <f t="shared" si="192"/>
        <v/>
      </c>
      <c r="I3123" s="7" t="str">
        <f>IF(AND(ISBLANK(D3123),ISBLANK(C3123)),"",((VLOOKUP(D3123,Cardápio!$A$2:$C$16,3,0))*E3123)+IF(B3123="iFood",F3123*0.27,(VLOOKUP(VENDAS!C3123,Bairros!$A$2:$B$90,2,0))))</f>
        <v/>
      </c>
      <c r="J3123" s="7" t="str">
        <f t="shared" si="193"/>
        <v/>
      </c>
      <c r="K3123" s="9">
        <f t="shared" ca="1" si="194"/>
        <v>45404.878290162036</v>
      </c>
      <c r="L3123" s="10">
        <f t="shared" ca="1" si="195"/>
        <v>45404.878290046297</v>
      </c>
    </row>
    <row r="3124" spans="6:12" x14ac:dyDescent="0.25">
      <c r="F3124" s="11" t="str">
        <f>IF(ISBLANK(D3124),"",(VLOOKUP(D3124,Cardápio!$A$2:$B$16,2,0))*E3124)</f>
        <v/>
      </c>
      <c r="H3124" s="7" t="str">
        <f t="shared" si="192"/>
        <v/>
      </c>
      <c r="I3124" s="7" t="str">
        <f>IF(AND(ISBLANK(D3124),ISBLANK(C3124)),"",((VLOOKUP(D3124,Cardápio!$A$2:$C$16,3,0))*E3124)+IF(B3124="iFood",F3124*0.27,(VLOOKUP(VENDAS!C3124,Bairros!$A$2:$B$90,2,0))))</f>
        <v/>
      </c>
      <c r="J3124" s="7" t="str">
        <f t="shared" si="193"/>
        <v/>
      </c>
      <c r="K3124" s="9">
        <f t="shared" ca="1" si="194"/>
        <v>45404.878290162036</v>
      </c>
      <c r="L3124" s="10">
        <f t="shared" ca="1" si="195"/>
        <v>45404.878290046297</v>
      </c>
    </row>
    <row r="3125" spans="6:12" x14ac:dyDescent="0.25">
      <c r="F3125" s="11" t="str">
        <f>IF(ISBLANK(D3125),"",(VLOOKUP(D3125,Cardápio!$A$2:$B$16,2,0))*E3125)</f>
        <v/>
      </c>
      <c r="H3125" s="7" t="str">
        <f t="shared" ref="H3125:H3188" si="196">IF(ISBLANK(D3125),"",F3125-G3125)</f>
        <v/>
      </c>
      <c r="I3125" s="7" t="str">
        <f>IF(AND(ISBLANK(D3125),ISBLANK(C3125)),"",((VLOOKUP(D3125,Cardápio!$A$2:$C$16,3,0))*E3125)+IF(B3125="iFood",F3125*0.27,(VLOOKUP(VENDAS!C3125,Bairros!$A$2:$B$90,2,0))))</f>
        <v/>
      </c>
      <c r="J3125" s="7" t="str">
        <f t="shared" ref="J3125:J3188" si="197">IF(OR(AND(ISBLANK(H3125),ISBLANK(I3125)),(AND(H3125="",I3125=""))),"",H3125-I3125)</f>
        <v/>
      </c>
      <c r="K3125" s="9">
        <f t="shared" ref="K3125:K3188" ca="1" si="198">IF(D3125&lt;&gt;"",K3125,NOW())</f>
        <v>45404.878290277775</v>
      </c>
      <c r="L3125" s="10">
        <f t="shared" ref="L3125:L3188" ca="1" si="199">IF(D3125&lt;&gt;"",L3125,NOW())</f>
        <v>45404.878290046297</v>
      </c>
    </row>
    <row r="3126" spans="6:12" x14ac:dyDescent="0.25">
      <c r="F3126" s="11" t="str">
        <f>IF(ISBLANK(D3126),"",(VLOOKUP(D3126,Cardápio!$A$2:$B$16,2,0))*E3126)</f>
        <v/>
      </c>
      <c r="H3126" s="7" t="str">
        <f t="shared" si="196"/>
        <v/>
      </c>
      <c r="I3126" s="7" t="str">
        <f>IF(AND(ISBLANK(D3126),ISBLANK(C3126)),"",((VLOOKUP(D3126,Cardápio!$A$2:$C$16,3,0))*E3126)+IF(B3126="iFood",F3126*0.27,(VLOOKUP(VENDAS!C3126,Bairros!$A$2:$B$90,2,0))))</f>
        <v/>
      </c>
      <c r="J3126" s="7" t="str">
        <f t="shared" si="197"/>
        <v/>
      </c>
      <c r="K3126" s="9">
        <f t="shared" ca="1" si="198"/>
        <v>45404.878290162036</v>
      </c>
      <c r="L3126" s="10">
        <f t="shared" ca="1" si="199"/>
        <v>45404.878290046297</v>
      </c>
    </row>
    <row r="3127" spans="6:12" x14ac:dyDescent="0.25">
      <c r="F3127" s="11" t="str">
        <f>IF(ISBLANK(D3127),"",(VLOOKUP(D3127,Cardápio!$A$2:$B$16,2,0))*E3127)</f>
        <v/>
      </c>
      <c r="H3127" s="7" t="str">
        <f t="shared" si="196"/>
        <v/>
      </c>
      <c r="I3127" s="7" t="str">
        <f>IF(AND(ISBLANK(D3127),ISBLANK(C3127)),"",((VLOOKUP(D3127,Cardápio!$A$2:$C$16,3,0))*E3127)+IF(B3127="iFood",F3127*0.27,(VLOOKUP(VENDAS!C3127,Bairros!$A$2:$B$90,2,0))))</f>
        <v/>
      </c>
      <c r="J3127" s="7" t="str">
        <f t="shared" si="197"/>
        <v/>
      </c>
      <c r="K3127" s="9">
        <f t="shared" ca="1" si="198"/>
        <v>45404.878290162036</v>
      </c>
      <c r="L3127" s="10">
        <f t="shared" ca="1" si="199"/>
        <v>45404.878290046297</v>
      </c>
    </row>
    <row r="3128" spans="6:12" x14ac:dyDescent="0.25">
      <c r="F3128" s="11" t="str">
        <f>IF(ISBLANK(D3128),"",(VLOOKUP(D3128,Cardápio!$A$2:$B$16,2,0))*E3128)</f>
        <v/>
      </c>
      <c r="H3128" s="7" t="str">
        <f t="shared" si="196"/>
        <v/>
      </c>
      <c r="I3128" s="7" t="str">
        <f>IF(AND(ISBLANK(D3128),ISBLANK(C3128)),"",((VLOOKUP(D3128,Cardápio!$A$2:$C$16,3,0))*E3128)+IF(B3128="iFood",F3128*0.27,(VLOOKUP(VENDAS!C3128,Bairros!$A$2:$B$90,2,0))))</f>
        <v/>
      </c>
      <c r="J3128" s="7" t="str">
        <f t="shared" si="197"/>
        <v/>
      </c>
      <c r="K3128" s="9">
        <f t="shared" ca="1" si="198"/>
        <v>45404.878290162036</v>
      </c>
      <c r="L3128" s="10">
        <f t="shared" ca="1" si="199"/>
        <v>45404.878290046297</v>
      </c>
    </row>
    <row r="3129" spans="6:12" x14ac:dyDescent="0.25">
      <c r="F3129" s="11" t="str">
        <f>IF(ISBLANK(D3129),"",(VLOOKUP(D3129,Cardápio!$A$2:$B$16,2,0))*E3129)</f>
        <v/>
      </c>
      <c r="H3129" s="7" t="str">
        <f t="shared" si="196"/>
        <v/>
      </c>
      <c r="I3129" s="7" t="str">
        <f>IF(AND(ISBLANK(D3129),ISBLANK(C3129)),"",((VLOOKUP(D3129,Cardápio!$A$2:$C$16,3,0))*E3129)+IF(B3129="iFood",F3129*0.27,(VLOOKUP(VENDAS!C3129,Bairros!$A$2:$B$90,2,0))))</f>
        <v/>
      </c>
      <c r="J3129" s="7" t="str">
        <f t="shared" si="197"/>
        <v/>
      </c>
      <c r="K3129" s="9">
        <f t="shared" ca="1" si="198"/>
        <v>45404.878290277775</v>
      </c>
      <c r="L3129" s="10">
        <f t="shared" ca="1" si="199"/>
        <v>45404.878290046297</v>
      </c>
    </row>
    <row r="3130" spans="6:12" x14ac:dyDescent="0.25">
      <c r="F3130" s="11" t="str">
        <f>IF(ISBLANK(D3130),"",(VLOOKUP(D3130,Cardápio!$A$2:$B$16,2,0))*E3130)</f>
        <v/>
      </c>
      <c r="H3130" s="7" t="str">
        <f t="shared" si="196"/>
        <v/>
      </c>
      <c r="I3130" s="7" t="str">
        <f>IF(AND(ISBLANK(D3130),ISBLANK(C3130)),"",((VLOOKUP(D3130,Cardápio!$A$2:$C$16,3,0))*E3130)+IF(B3130="iFood",F3130*0.27,(VLOOKUP(VENDAS!C3130,Bairros!$A$2:$B$90,2,0))))</f>
        <v/>
      </c>
      <c r="J3130" s="7" t="str">
        <f t="shared" si="197"/>
        <v/>
      </c>
      <c r="K3130" s="9">
        <f t="shared" ca="1" si="198"/>
        <v>45404.878290162036</v>
      </c>
      <c r="L3130" s="10">
        <f t="shared" ca="1" si="199"/>
        <v>45404.878290046297</v>
      </c>
    </row>
    <row r="3131" spans="6:12" x14ac:dyDescent="0.25">
      <c r="F3131" s="11" t="str">
        <f>IF(ISBLANK(D3131),"",(VLOOKUP(D3131,Cardápio!$A$2:$B$16,2,0))*E3131)</f>
        <v/>
      </c>
      <c r="H3131" s="7" t="str">
        <f t="shared" si="196"/>
        <v/>
      </c>
      <c r="I3131" s="7" t="str">
        <f>IF(AND(ISBLANK(D3131),ISBLANK(C3131)),"",((VLOOKUP(D3131,Cardápio!$A$2:$C$16,3,0))*E3131)+IF(B3131="iFood",F3131*0.27,(VLOOKUP(VENDAS!C3131,Bairros!$A$2:$B$90,2,0))))</f>
        <v/>
      </c>
      <c r="J3131" s="7" t="str">
        <f t="shared" si="197"/>
        <v/>
      </c>
      <c r="K3131" s="9">
        <f t="shared" ca="1" si="198"/>
        <v>45404.878290162036</v>
      </c>
      <c r="L3131" s="10">
        <f t="shared" ca="1" si="199"/>
        <v>45404.878290046297</v>
      </c>
    </row>
    <row r="3132" spans="6:12" x14ac:dyDescent="0.25">
      <c r="F3132" s="11" t="str">
        <f>IF(ISBLANK(D3132),"",(VLOOKUP(D3132,Cardápio!$A$2:$B$16,2,0))*E3132)</f>
        <v/>
      </c>
      <c r="H3132" s="7" t="str">
        <f t="shared" si="196"/>
        <v/>
      </c>
      <c r="I3132" s="7" t="str">
        <f>IF(AND(ISBLANK(D3132),ISBLANK(C3132)),"",((VLOOKUP(D3132,Cardápio!$A$2:$C$16,3,0))*E3132)+IF(B3132="iFood",F3132*0.27,(VLOOKUP(VENDAS!C3132,Bairros!$A$2:$B$90,2,0))))</f>
        <v/>
      </c>
      <c r="J3132" s="7" t="str">
        <f t="shared" si="197"/>
        <v/>
      </c>
      <c r="K3132" s="9">
        <f t="shared" ca="1" si="198"/>
        <v>45404.878290162036</v>
      </c>
      <c r="L3132" s="10">
        <f t="shared" ca="1" si="199"/>
        <v>45404.878290046297</v>
      </c>
    </row>
    <row r="3133" spans="6:12" x14ac:dyDescent="0.25">
      <c r="F3133" s="11" t="str">
        <f>IF(ISBLANK(D3133),"",(VLOOKUP(D3133,Cardápio!$A$2:$B$16,2,0))*E3133)</f>
        <v/>
      </c>
      <c r="H3133" s="7" t="str">
        <f t="shared" si="196"/>
        <v/>
      </c>
      <c r="I3133" s="7" t="str">
        <f>IF(AND(ISBLANK(D3133),ISBLANK(C3133)),"",((VLOOKUP(D3133,Cardápio!$A$2:$C$16,3,0))*E3133)+IF(B3133="iFood",F3133*0.27,(VLOOKUP(VENDAS!C3133,Bairros!$A$2:$B$90,2,0))))</f>
        <v/>
      </c>
      <c r="J3133" s="7" t="str">
        <f t="shared" si="197"/>
        <v/>
      </c>
      <c r="K3133" s="9">
        <f t="shared" ca="1" si="198"/>
        <v>45404.878290277775</v>
      </c>
      <c r="L3133" s="10">
        <f t="shared" ca="1" si="199"/>
        <v>45404.878290046297</v>
      </c>
    </row>
    <row r="3134" spans="6:12" x14ac:dyDescent="0.25">
      <c r="F3134" s="11" t="str">
        <f>IF(ISBLANK(D3134),"",(VLOOKUP(D3134,Cardápio!$A$2:$B$16,2,0))*E3134)</f>
        <v/>
      </c>
      <c r="H3134" s="7" t="str">
        <f t="shared" si="196"/>
        <v/>
      </c>
      <c r="I3134" s="7" t="str">
        <f>IF(AND(ISBLANK(D3134),ISBLANK(C3134)),"",((VLOOKUP(D3134,Cardápio!$A$2:$C$16,3,0))*E3134)+IF(B3134="iFood",F3134*0.27,(VLOOKUP(VENDAS!C3134,Bairros!$A$2:$B$90,2,0))))</f>
        <v/>
      </c>
      <c r="J3134" s="7" t="str">
        <f t="shared" si="197"/>
        <v/>
      </c>
      <c r="K3134" s="9">
        <f t="shared" ca="1" si="198"/>
        <v>45404.878290162036</v>
      </c>
      <c r="L3134" s="10">
        <f t="shared" ca="1" si="199"/>
        <v>45404.878290046297</v>
      </c>
    </row>
    <row r="3135" spans="6:12" x14ac:dyDescent="0.25">
      <c r="F3135" s="11" t="str">
        <f>IF(ISBLANK(D3135),"",(VLOOKUP(D3135,Cardápio!$A$2:$B$16,2,0))*E3135)</f>
        <v/>
      </c>
      <c r="H3135" s="7" t="str">
        <f t="shared" si="196"/>
        <v/>
      </c>
      <c r="I3135" s="7" t="str">
        <f>IF(AND(ISBLANK(D3135),ISBLANK(C3135)),"",((VLOOKUP(D3135,Cardápio!$A$2:$C$16,3,0))*E3135)+IF(B3135="iFood",F3135*0.27,(VLOOKUP(VENDAS!C3135,Bairros!$A$2:$B$90,2,0))))</f>
        <v/>
      </c>
      <c r="J3135" s="7" t="str">
        <f t="shared" si="197"/>
        <v/>
      </c>
      <c r="K3135" s="9">
        <f t="shared" ca="1" si="198"/>
        <v>45404.878290162036</v>
      </c>
      <c r="L3135" s="10">
        <f t="shared" ca="1" si="199"/>
        <v>45404.878290046297</v>
      </c>
    </row>
    <row r="3136" spans="6:12" x14ac:dyDescent="0.25">
      <c r="F3136" s="11" t="str">
        <f>IF(ISBLANK(D3136),"",(VLOOKUP(D3136,Cardápio!$A$2:$B$16,2,0))*E3136)</f>
        <v/>
      </c>
      <c r="H3136" s="7" t="str">
        <f t="shared" si="196"/>
        <v/>
      </c>
      <c r="I3136" s="7" t="str">
        <f>IF(AND(ISBLANK(D3136),ISBLANK(C3136)),"",((VLOOKUP(D3136,Cardápio!$A$2:$C$16,3,0))*E3136)+IF(B3136="iFood",F3136*0.27,(VLOOKUP(VENDAS!C3136,Bairros!$A$2:$B$90,2,0))))</f>
        <v/>
      </c>
      <c r="J3136" s="7" t="str">
        <f t="shared" si="197"/>
        <v/>
      </c>
      <c r="K3136" s="9">
        <f t="shared" ca="1" si="198"/>
        <v>45404.878290162036</v>
      </c>
      <c r="L3136" s="10">
        <f t="shared" ca="1" si="199"/>
        <v>45404.878290046297</v>
      </c>
    </row>
    <row r="3137" spans="6:12" x14ac:dyDescent="0.25">
      <c r="F3137" s="11" t="str">
        <f>IF(ISBLANK(D3137),"",(VLOOKUP(D3137,Cardápio!$A$2:$B$16,2,0))*E3137)</f>
        <v/>
      </c>
      <c r="H3137" s="7" t="str">
        <f t="shared" si="196"/>
        <v/>
      </c>
      <c r="I3137" s="7" t="str">
        <f>IF(AND(ISBLANK(D3137),ISBLANK(C3137)),"",((VLOOKUP(D3137,Cardápio!$A$2:$C$16,3,0))*E3137)+IF(B3137="iFood",F3137*0.27,(VLOOKUP(VENDAS!C3137,Bairros!$A$2:$B$90,2,0))))</f>
        <v/>
      </c>
      <c r="J3137" s="7" t="str">
        <f t="shared" si="197"/>
        <v/>
      </c>
      <c r="K3137" s="9">
        <f t="shared" ca="1" si="198"/>
        <v>45404.878290277775</v>
      </c>
      <c r="L3137" s="10">
        <f t="shared" ca="1" si="199"/>
        <v>45404.878290046297</v>
      </c>
    </row>
    <row r="3138" spans="6:12" x14ac:dyDescent="0.25">
      <c r="F3138" s="11" t="str">
        <f>IF(ISBLANK(D3138),"",(VLOOKUP(D3138,Cardápio!$A$2:$B$16,2,0))*E3138)</f>
        <v/>
      </c>
      <c r="H3138" s="7" t="str">
        <f t="shared" si="196"/>
        <v/>
      </c>
      <c r="I3138" s="7" t="str">
        <f>IF(AND(ISBLANK(D3138),ISBLANK(C3138)),"",((VLOOKUP(D3138,Cardápio!$A$2:$C$16,3,0))*E3138)+IF(B3138="iFood",F3138*0.27,(VLOOKUP(VENDAS!C3138,Bairros!$A$2:$B$90,2,0))))</f>
        <v/>
      </c>
      <c r="J3138" s="7" t="str">
        <f t="shared" si="197"/>
        <v/>
      </c>
      <c r="K3138" s="9">
        <f t="shared" ca="1" si="198"/>
        <v>45404.878290162036</v>
      </c>
      <c r="L3138" s="10">
        <f t="shared" ca="1" si="199"/>
        <v>45404.878290046297</v>
      </c>
    </row>
    <row r="3139" spans="6:12" x14ac:dyDescent="0.25">
      <c r="F3139" s="11" t="str">
        <f>IF(ISBLANK(D3139),"",(VLOOKUP(D3139,Cardápio!$A$2:$B$16,2,0))*E3139)</f>
        <v/>
      </c>
      <c r="H3139" s="7" t="str">
        <f t="shared" si="196"/>
        <v/>
      </c>
      <c r="I3139" s="7" t="str">
        <f>IF(AND(ISBLANK(D3139),ISBLANK(C3139)),"",((VLOOKUP(D3139,Cardápio!$A$2:$C$16,3,0))*E3139)+IF(B3139="iFood",F3139*0.27,(VLOOKUP(VENDAS!C3139,Bairros!$A$2:$B$90,2,0))))</f>
        <v/>
      </c>
      <c r="J3139" s="7" t="str">
        <f t="shared" si="197"/>
        <v/>
      </c>
      <c r="K3139" s="9">
        <f t="shared" ca="1" si="198"/>
        <v>45404.878290162036</v>
      </c>
      <c r="L3139" s="10">
        <f t="shared" ca="1" si="199"/>
        <v>45404.878290046297</v>
      </c>
    </row>
    <row r="3140" spans="6:12" x14ac:dyDescent="0.25">
      <c r="F3140" s="11" t="str">
        <f>IF(ISBLANK(D3140),"",(VLOOKUP(D3140,Cardápio!$A$2:$B$16,2,0))*E3140)</f>
        <v/>
      </c>
      <c r="H3140" s="7" t="str">
        <f t="shared" si="196"/>
        <v/>
      </c>
      <c r="I3140" s="7" t="str">
        <f>IF(AND(ISBLANK(D3140),ISBLANK(C3140)),"",((VLOOKUP(D3140,Cardápio!$A$2:$C$16,3,0))*E3140)+IF(B3140="iFood",F3140*0.27,(VLOOKUP(VENDAS!C3140,Bairros!$A$2:$B$90,2,0))))</f>
        <v/>
      </c>
      <c r="J3140" s="7" t="str">
        <f t="shared" si="197"/>
        <v/>
      </c>
      <c r="K3140" s="9">
        <f t="shared" ca="1" si="198"/>
        <v>45404.878290162036</v>
      </c>
      <c r="L3140" s="10">
        <f t="shared" ca="1" si="199"/>
        <v>45404.878290046297</v>
      </c>
    </row>
    <row r="3141" spans="6:12" x14ac:dyDescent="0.25">
      <c r="F3141" s="11" t="str">
        <f>IF(ISBLANK(D3141),"",(VLOOKUP(D3141,Cardápio!$A$2:$B$16,2,0))*E3141)</f>
        <v/>
      </c>
      <c r="H3141" s="7" t="str">
        <f t="shared" si="196"/>
        <v/>
      </c>
      <c r="I3141" s="7" t="str">
        <f>IF(AND(ISBLANK(D3141),ISBLANK(C3141)),"",((VLOOKUP(D3141,Cardápio!$A$2:$C$16,3,0))*E3141)+IF(B3141="iFood",F3141*0.27,(VLOOKUP(VENDAS!C3141,Bairros!$A$2:$B$90,2,0))))</f>
        <v/>
      </c>
      <c r="J3141" s="7" t="str">
        <f t="shared" si="197"/>
        <v/>
      </c>
      <c r="K3141" s="9">
        <f t="shared" ca="1" si="198"/>
        <v>45404.878290277775</v>
      </c>
      <c r="L3141" s="10">
        <f t="shared" ca="1" si="199"/>
        <v>45404.878290046297</v>
      </c>
    </row>
    <row r="3142" spans="6:12" x14ac:dyDescent="0.25">
      <c r="F3142" s="11" t="str">
        <f>IF(ISBLANK(D3142),"",(VLOOKUP(D3142,Cardápio!$A$2:$B$16,2,0))*E3142)</f>
        <v/>
      </c>
      <c r="H3142" s="7" t="str">
        <f t="shared" si="196"/>
        <v/>
      </c>
      <c r="I3142" s="7" t="str">
        <f>IF(AND(ISBLANK(D3142),ISBLANK(C3142)),"",((VLOOKUP(D3142,Cardápio!$A$2:$C$16,3,0))*E3142)+IF(B3142="iFood",F3142*0.27,(VLOOKUP(VENDAS!C3142,Bairros!$A$2:$B$90,2,0))))</f>
        <v/>
      </c>
      <c r="J3142" s="7" t="str">
        <f t="shared" si="197"/>
        <v/>
      </c>
      <c r="K3142" s="9">
        <f t="shared" ca="1" si="198"/>
        <v>45404.878290162036</v>
      </c>
      <c r="L3142" s="10">
        <f t="shared" ca="1" si="199"/>
        <v>45404.878290046297</v>
      </c>
    </row>
    <row r="3143" spans="6:12" x14ac:dyDescent="0.25">
      <c r="F3143" s="11" t="str">
        <f>IF(ISBLANK(D3143),"",(VLOOKUP(D3143,Cardápio!$A$2:$B$16,2,0))*E3143)</f>
        <v/>
      </c>
      <c r="H3143" s="7" t="str">
        <f t="shared" si="196"/>
        <v/>
      </c>
      <c r="I3143" s="7" t="str">
        <f>IF(AND(ISBLANK(D3143),ISBLANK(C3143)),"",((VLOOKUP(D3143,Cardápio!$A$2:$C$16,3,0))*E3143)+IF(B3143="iFood",F3143*0.27,(VLOOKUP(VENDAS!C3143,Bairros!$A$2:$B$90,2,0))))</f>
        <v/>
      </c>
      <c r="J3143" s="7" t="str">
        <f t="shared" si="197"/>
        <v/>
      </c>
      <c r="K3143" s="9">
        <f t="shared" ca="1" si="198"/>
        <v>45404.878290162036</v>
      </c>
      <c r="L3143" s="10">
        <f t="shared" ca="1" si="199"/>
        <v>45404.878290046297</v>
      </c>
    </row>
    <row r="3144" spans="6:12" x14ac:dyDescent="0.25">
      <c r="F3144" s="11" t="str">
        <f>IF(ISBLANK(D3144),"",(VLOOKUP(D3144,Cardápio!$A$2:$B$16,2,0))*E3144)</f>
        <v/>
      </c>
      <c r="H3144" s="7" t="str">
        <f t="shared" si="196"/>
        <v/>
      </c>
      <c r="I3144" s="7" t="str">
        <f>IF(AND(ISBLANK(D3144),ISBLANK(C3144)),"",((VLOOKUP(D3144,Cardápio!$A$2:$C$16,3,0))*E3144)+IF(B3144="iFood",F3144*0.27,(VLOOKUP(VENDAS!C3144,Bairros!$A$2:$B$90,2,0))))</f>
        <v/>
      </c>
      <c r="J3144" s="7" t="str">
        <f t="shared" si="197"/>
        <v/>
      </c>
      <c r="K3144" s="9">
        <f t="shared" ca="1" si="198"/>
        <v>45404.878290162036</v>
      </c>
      <c r="L3144" s="10">
        <f t="shared" ca="1" si="199"/>
        <v>45404.878290046297</v>
      </c>
    </row>
    <row r="3145" spans="6:12" x14ac:dyDescent="0.25">
      <c r="F3145" s="11" t="str">
        <f>IF(ISBLANK(D3145),"",(VLOOKUP(D3145,Cardápio!$A$2:$B$16,2,0))*E3145)</f>
        <v/>
      </c>
      <c r="H3145" s="7" t="str">
        <f t="shared" si="196"/>
        <v/>
      </c>
      <c r="I3145" s="7" t="str">
        <f>IF(AND(ISBLANK(D3145),ISBLANK(C3145)),"",((VLOOKUP(D3145,Cardápio!$A$2:$C$16,3,0))*E3145)+IF(B3145="iFood",F3145*0.27,(VLOOKUP(VENDAS!C3145,Bairros!$A$2:$B$90,2,0))))</f>
        <v/>
      </c>
      <c r="J3145" s="7" t="str">
        <f t="shared" si="197"/>
        <v/>
      </c>
      <c r="K3145" s="9">
        <f t="shared" ca="1" si="198"/>
        <v>45404.878290277775</v>
      </c>
      <c r="L3145" s="10">
        <f t="shared" ca="1" si="199"/>
        <v>45404.878290046297</v>
      </c>
    </row>
    <row r="3146" spans="6:12" x14ac:dyDescent="0.25">
      <c r="F3146" s="11" t="str">
        <f>IF(ISBLANK(D3146),"",(VLOOKUP(D3146,Cardápio!$A$2:$B$16,2,0))*E3146)</f>
        <v/>
      </c>
      <c r="H3146" s="7" t="str">
        <f t="shared" si="196"/>
        <v/>
      </c>
      <c r="I3146" s="7" t="str">
        <f>IF(AND(ISBLANK(D3146),ISBLANK(C3146)),"",((VLOOKUP(D3146,Cardápio!$A$2:$C$16,3,0))*E3146)+IF(B3146="iFood",F3146*0.27,(VLOOKUP(VENDAS!C3146,Bairros!$A$2:$B$90,2,0))))</f>
        <v/>
      </c>
      <c r="J3146" s="7" t="str">
        <f t="shared" si="197"/>
        <v/>
      </c>
      <c r="K3146" s="9">
        <f t="shared" ca="1" si="198"/>
        <v>45404.878290162036</v>
      </c>
      <c r="L3146" s="10">
        <f t="shared" ca="1" si="199"/>
        <v>45404.878290046297</v>
      </c>
    </row>
    <row r="3147" spans="6:12" x14ac:dyDescent="0.25">
      <c r="F3147" s="11" t="str">
        <f>IF(ISBLANK(D3147),"",(VLOOKUP(D3147,Cardápio!$A$2:$B$16,2,0))*E3147)</f>
        <v/>
      </c>
      <c r="H3147" s="7" t="str">
        <f t="shared" si="196"/>
        <v/>
      </c>
      <c r="I3147" s="7" t="str">
        <f>IF(AND(ISBLANK(D3147),ISBLANK(C3147)),"",((VLOOKUP(D3147,Cardápio!$A$2:$C$16,3,0))*E3147)+IF(B3147="iFood",F3147*0.27,(VLOOKUP(VENDAS!C3147,Bairros!$A$2:$B$90,2,0))))</f>
        <v/>
      </c>
      <c r="J3147" s="7" t="str">
        <f t="shared" si="197"/>
        <v/>
      </c>
      <c r="K3147" s="9">
        <f t="shared" ca="1" si="198"/>
        <v>45404.878290162036</v>
      </c>
      <c r="L3147" s="10">
        <f t="shared" ca="1" si="199"/>
        <v>45404.878290046297</v>
      </c>
    </row>
    <row r="3148" spans="6:12" x14ac:dyDescent="0.25">
      <c r="F3148" s="11" t="str">
        <f>IF(ISBLANK(D3148),"",(VLOOKUP(D3148,Cardápio!$A$2:$B$16,2,0))*E3148)</f>
        <v/>
      </c>
      <c r="H3148" s="7" t="str">
        <f t="shared" si="196"/>
        <v/>
      </c>
      <c r="I3148" s="7" t="str">
        <f>IF(AND(ISBLANK(D3148),ISBLANK(C3148)),"",((VLOOKUP(D3148,Cardápio!$A$2:$C$16,3,0))*E3148)+IF(B3148="iFood",F3148*0.27,(VLOOKUP(VENDAS!C3148,Bairros!$A$2:$B$90,2,0))))</f>
        <v/>
      </c>
      <c r="J3148" s="7" t="str">
        <f t="shared" si="197"/>
        <v/>
      </c>
      <c r="K3148" s="9">
        <f t="shared" ca="1" si="198"/>
        <v>45404.878290162036</v>
      </c>
      <c r="L3148" s="10">
        <f t="shared" ca="1" si="199"/>
        <v>45404.878290046297</v>
      </c>
    </row>
    <row r="3149" spans="6:12" x14ac:dyDescent="0.25">
      <c r="F3149" s="11" t="str">
        <f>IF(ISBLANK(D3149),"",(VLOOKUP(D3149,Cardápio!$A$2:$B$16,2,0))*E3149)</f>
        <v/>
      </c>
      <c r="H3149" s="7" t="str">
        <f t="shared" si="196"/>
        <v/>
      </c>
      <c r="I3149" s="7" t="str">
        <f>IF(AND(ISBLANK(D3149),ISBLANK(C3149)),"",((VLOOKUP(D3149,Cardápio!$A$2:$C$16,3,0))*E3149)+IF(B3149="iFood",F3149*0.27,(VLOOKUP(VENDAS!C3149,Bairros!$A$2:$B$90,2,0))))</f>
        <v/>
      </c>
      <c r="J3149" s="7" t="str">
        <f t="shared" si="197"/>
        <v/>
      </c>
      <c r="K3149" s="9">
        <f t="shared" ca="1" si="198"/>
        <v>45404.878290277775</v>
      </c>
      <c r="L3149" s="10">
        <f t="shared" ca="1" si="199"/>
        <v>45404.878290046297</v>
      </c>
    </row>
    <row r="3150" spans="6:12" x14ac:dyDescent="0.25">
      <c r="F3150" s="11" t="str">
        <f>IF(ISBLANK(D3150),"",(VLOOKUP(D3150,Cardápio!$A$2:$B$16,2,0))*E3150)</f>
        <v/>
      </c>
      <c r="H3150" s="7" t="str">
        <f t="shared" si="196"/>
        <v/>
      </c>
      <c r="I3150" s="7" t="str">
        <f>IF(AND(ISBLANK(D3150),ISBLANK(C3150)),"",((VLOOKUP(D3150,Cardápio!$A$2:$C$16,3,0))*E3150)+IF(B3150="iFood",F3150*0.27,(VLOOKUP(VENDAS!C3150,Bairros!$A$2:$B$90,2,0))))</f>
        <v/>
      </c>
      <c r="J3150" s="7" t="str">
        <f t="shared" si="197"/>
        <v/>
      </c>
      <c r="K3150" s="9">
        <f t="shared" ca="1" si="198"/>
        <v>45404.878290162036</v>
      </c>
      <c r="L3150" s="10">
        <f t="shared" ca="1" si="199"/>
        <v>45404.878290046297</v>
      </c>
    </row>
    <row r="3151" spans="6:12" x14ac:dyDescent="0.25">
      <c r="F3151" s="11" t="str">
        <f>IF(ISBLANK(D3151),"",(VLOOKUP(D3151,Cardápio!$A$2:$B$16,2,0))*E3151)</f>
        <v/>
      </c>
      <c r="H3151" s="7" t="str">
        <f t="shared" si="196"/>
        <v/>
      </c>
      <c r="I3151" s="7" t="str">
        <f>IF(AND(ISBLANK(D3151),ISBLANK(C3151)),"",((VLOOKUP(D3151,Cardápio!$A$2:$C$16,3,0))*E3151)+IF(B3151="iFood",F3151*0.27,(VLOOKUP(VENDAS!C3151,Bairros!$A$2:$B$90,2,0))))</f>
        <v/>
      </c>
      <c r="J3151" s="7" t="str">
        <f t="shared" si="197"/>
        <v/>
      </c>
      <c r="K3151" s="9">
        <f t="shared" ca="1" si="198"/>
        <v>45404.878290162036</v>
      </c>
      <c r="L3151" s="10">
        <f t="shared" ca="1" si="199"/>
        <v>45404.878290046297</v>
      </c>
    </row>
    <row r="3152" spans="6:12" x14ac:dyDescent="0.25">
      <c r="F3152" s="11" t="str">
        <f>IF(ISBLANK(D3152),"",(VLOOKUP(D3152,Cardápio!$A$2:$B$16,2,0))*E3152)</f>
        <v/>
      </c>
      <c r="H3152" s="7" t="str">
        <f t="shared" si="196"/>
        <v/>
      </c>
      <c r="I3152" s="7" t="str">
        <f>IF(AND(ISBLANK(D3152),ISBLANK(C3152)),"",((VLOOKUP(D3152,Cardápio!$A$2:$C$16,3,0))*E3152)+IF(B3152="iFood",F3152*0.27,(VLOOKUP(VENDAS!C3152,Bairros!$A$2:$B$90,2,0))))</f>
        <v/>
      </c>
      <c r="J3152" s="7" t="str">
        <f t="shared" si="197"/>
        <v/>
      </c>
      <c r="K3152" s="9">
        <f t="shared" ca="1" si="198"/>
        <v>45404.878290162036</v>
      </c>
      <c r="L3152" s="10">
        <f t="shared" ca="1" si="199"/>
        <v>45404.878290046297</v>
      </c>
    </row>
    <row r="3153" spans="6:12" x14ac:dyDescent="0.25">
      <c r="F3153" s="11" t="str">
        <f>IF(ISBLANK(D3153),"",(VLOOKUP(D3153,Cardápio!$A$2:$B$16,2,0))*E3153)</f>
        <v/>
      </c>
      <c r="H3153" s="7" t="str">
        <f t="shared" si="196"/>
        <v/>
      </c>
      <c r="I3153" s="7" t="str">
        <f>IF(AND(ISBLANK(D3153),ISBLANK(C3153)),"",((VLOOKUP(D3153,Cardápio!$A$2:$C$16,3,0))*E3153)+IF(B3153="iFood",F3153*0.27,(VLOOKUP(VENDAS!C3153,Bairros!$A$2:$B$90,2,0))))</f>
        <v/>
      </c>
      <c r="J3153" s="7" t="str">
        <f t="shared" si="197"/>
        <v/>
      </c>
      <c r="K3153" s="9">
        <f t="shared" ca="1" si="198"/>
        <v>45404.878290277775</v>
      </c>
      <c r="L3153" s="10">
        <f t="shared" ca="1" si="199"/>
        <v>45404.878290046297</v>
      </c>
    </row>
    <row r="3154" spans="6:12" x14ac:dyDescent="0.25">
      <c r="F3154" s="11" t="str">
        <f>IF(ISBLANK(D3154),"",(VLOOKUP(D3154,Cardápio!$A$2:$B$16,2,0))*E3154)</f>
        <v/>
      </c>
      <c r="H3154" s="7" t="str">
        <f t="shared" si="196"/>
        <v/>
      </c>
      <c r="I3154" s="7" t="str">
        <f>IF(AND(ISBLANK(D3154),ISBLANK(C3154)),"",((VLOOKUP(D3154,Cardápio!$A$2:$C$16,3,0))*E3154)+IF(B3154="iFood",F3154*0.27,(VLOOKUP(VENDAS!C3154,Bairros!$A$2:$B$90,2,0))))</f>
        <v/>
      </c>
      <c r="J3154" s="7" t="str">
        <f t="shared" si="197"/>
        <v/>
      </c>
      <c r="K3154" s="9">
        <f t="shared" ca="1" si="198"/>
        <v>45404.878290162036</v>
      </c>
      <c r="L3154" s="10">
        <f t="shared" ca="1" si="199"/>
        <v>45404.878290046297</v>
      </c>
    </row>
    <row r="3155" spans="6:12" x14ac:dyDescent="0.25">
      <c r="F3155" s="11" t="str">
        <f>IF(ISBLANK(D3155),"",(VLOOKUP(D3155,Cardápio!$A$2:$B$16,2,0))*E3155)</f>
        <v/>
      </c>
      <c r="H3155" s="7" t="str">
        <f t="shared" si="196"/>
        <v/>
      </c>
      <c r="I3155" s="7" t="str">
        <f>IF(AND(ISBLANK(D3155),ISBLANK(C3155)),"",((VLOOKUP(D3155,Cardápio!$A$2:$C$16,3,0))*E3155)+IF(B3155="iFood",F3155*0.27,(VLOOKUP(VENDAS!C3155,Bairros!$A$2:$B$90,2,0))))</f>
        <v/>
      </c>
      <c r="J3155" s="7" t="str">
        <f t="shared" si="197"/>
        <v/>
      </c>
      <c r="K3155" s="9">
        <f t="shared" ca="1" si="198"/>
        <v>45404.878290162036</v>
      </c>
      <c r="L3155" s="10">
        <f t="shared" ca="1" si="199"/>
        <v>45404.878290046297</v>
      </c>
    </row>
    <row r="3156" spans="6:12" x14ac:dyDescent="0.25">
      <c r="F3156" s="11" t="str">
        <f>IF(ISBLANK(D3156),"",(VLOOKUP(D3156,Cardápio!$A$2:$B$16,2,0))*E3156)</f>
        <v/>
      </c>
      <c r="H3156" s="7" t="str">
        <f t="shared" si="196"/>
        <v/>
      </c>
      <c r="I3156" s="7" t="str">
        <f>IF(AND(ISBLANK(D3156),ISBLANK(C3156)),"",((VLOOKUP(D3156,Cardápio!$A$2:$C$16,3,0))*E3156)+IF(B3156="iFood",F3156*0.27,(VLOOKUP(VENDAS!C3156,Bairros!$A$2:$B$90,2,0))))</f>
        <v/>
      </c>
      <c r="J3156" s="7" t="str">
        <f t="shared" si="197"/>
        <v/>
      </c>
      <c r="K3156" s="9">
        <f t="shared" ca="1" si="198"/>
        <v>45404.878290162036</v>
      </c>
      <c r="L3156" s="10">
        <f t="shared" ca="1" si="199"/>
        <v>45404.878290046297</v>
      </c>
    </row>
    <row r="3157" spans="6:12" x14ac:dyDescent="0.25">
      <c r="F3157" s="11" t="str">
        <f>IF(ISBLANK(D3157),"",(VLOOKUP(D3157,Cardápio!$A$2:$B$16,2,0))*E3157)</f>
        <v/>
      </c>
      <c r="H3157" s="7" t="str">
        <f t="shared" si="196"/>
        <v/>
      </c>
      <c r="I3157" s="7" t="str">
        <f>IF(AND(ISBLANK(D3157),ISBLANK(C3157)),"",((VLOOKUP(D3157,Cardápio!$A$2:$C$16,3,0))*E3157)+IF(B3157="iFood",F3157*0.27,(VLOOKUP(VENDAS!C3157,Bairros!$A$2:$B$90,2,0))))</f>
        <v/>
      </c>
      <c r="J3157" s="7" t="str">
        <f t="shared" si="197"/>
        <v/>
      </c>
      <c r="K3157" s="9">
        <f t="shared" ca="1" si="198"/>
        <v>45404.878290277775</v>
      </c>
      <c r="L3157" s="10">
        <f t="shared" ca="1" si="199"/>
        <v>45404.878290046297</v>
      </c>
    </row>
    <row r="3158" spans="6:12" x14ac:dyDescent="0.25">
      <c r="F3158" s="11" t="str">
        <f>IF(ISBLANK(D3158),"",(VLOOKUP(D3158,Cardápio!$A$2:$B$16,2,0))*E3158)</f>
        <v/>
      </c>
      <c r="H3158" s="7" t="str">
        <f t="shared" si="196"/>
        <v/>
      </c>
      <c r="I3158" s="7" t="str">
        <f>IF(AND(ISBLANK(D3158),ISBLANK(C3158)),"",((VLOOKUP(D3158,Cardápio!$A$2:$C$16,3,0))*E3158)+IF(B3158="iFood",F3158*0.27,(VLOOKUP(VENDAS!C3158,Bairros!$A$2:$B$90,2,0))))</f>
        <v/>
      </c>
      <c r="J3158" s="7" t="str">
        <f t="shared" si="197"/>
        <v/>
      </c>
      <c r="K3158" s="9">
        <f t="shared" ca="1" si="198"/>
        <v>45404.878290162036</v>
      </c>
      <c r="L3158" s="10">
        <f t="shared" ca="1" si="199"/>
        <v>45404.878290046297</v>
      </c>
    </row>
    <row r="3159" spans="6:12" x14ac:dyDescent="0.25">
      <c r="F3159" s="11" t="str">
        <f>IF(ISBLANK(D3159),"",(VLOOKUP(D3159,Cardápio!$A$2:$B$16,2,0))*E3159)</f>
        <v/>
      </c>
      <c r="H3159" s="7" t="str">
        <f t="shared" si="196"/>
        <v/>
      </c>
      <c r="I3159" s="7" t="str">
        <f>IF(AND(ISBLANK(D3159),ISBLANK(C3159)),"",((VLOOKUP(D3159,Cardápio!$A$2:$C$16,3,0))*E3159)+IF(B3159="iFood",F3159*0.27,(VLOOKUP(VENDAS!C3159,Bairros!$A$2:$B$90,2,0))))</f>
        <v/>
      </c>
      <c r="J3159" s="7" t="str">
        <f t="shared" si="197"/>
        <v/>
      </c>
      <c r="K3159" s="9">
        <f t="shared" ca="1" si="198"/>
        <v>45404.878290162036</v>
      </c>
      <c r="L3159" s="10">
        <f t="shared" ca="1" si="199"/>
        <v>45404.878290046297</v>
      </c>
    </row>
    <row r="3160" spans="6:12" x14ac:dyDescent="0.25">
      <c r="F3160" s="11" t="str">
        <f>IF(ISBLANK(D3160),"",(VLOOKUP(D3160,Cardápio!$A$2:$B$16,2,0))*E3160)</f>
        <v/>
      </c>
      <c r="H3160" s="7" t="str">
        <f t="shared" si="196"/>
        <v/>
      </c>
      <c r="I3160" s="7" t="str">
        <f>IF(AND(ISBLANK(D3160),ISBLANK(C3160)),"",((VLOOKUP(D3160,Cardápio!$A$2:$C$16,3,0))*E3160)+IF(B3160="iFood",F3160*0.27,(VLOOKUP(VENDAS!C3160,Bairros!$A$2:$B$90,2,0))))</f>
        <v/>
      </c>
      <c r="J3160" s="7" t="str">
        <f t="shared" si="197"/>
        <v/>
      </c>
      <c r="K3160" s="9">
        <f t="shared" ca="1" si="198"/>
        <v>45404.878290162036</v>
      </c>
      <c r="L3160" s="10">
        <f t="shared" ca="1" si="199"/>
        <v>45404.878290046297</v>
      </c>
    </row>
    <row r="3161" spans="6:12" x14ac:dyDescent="0.25">
      <c r="F3161" s="11" t="str">
        <f>IF(ISBLANK(D3161),"",(VLOOKUP(D3161,Cardápio!$A$2:$B$16,2,0))*E3161)</f>
        <v/>
      </c>
      <c r="H3161" s="7" t="str">
        <f t="shared" si="196"/>
        <v/>
      </c>
      <c r="I3161" s="7" t="str">
        <f>IF(AND(ISBLANK(D3161),ISBLANK(C3161)),"",((VLOOKUP(D3161,Cardápio!$A$2:$C$16,3,0))*E3161)+IF(B3161="iFood",F3161*0.27,(VLOOKUP(VENDAS!C3161,Bairros!$A$2:$B$90,2,0))))</f>
        <v/>
      </c>
      <c r="J3161" s="7" t="str">
        <f t="shared" si="197"/>
        <v/>
      </c>
      <c r="K3161" s="9">
        <f t="shared" ca="1" si="198"/>
        <v>45404.878290277775</v>
      </c>
      <c r="L3161" s="10">
        <f t="shared" ca="1" si="199"/>
        <v>45404.878290046297</v>
      </c>
    </row>
    <row r="3162" spans="6:12" x14ac:dyDescent="0.25">
      <c r="F3162" s="11" t="str">
        <f>IF(ISBLANK(D3162),"",(VLOOKUP(D3162,Cardápio!$A$2:$B$16,2,0))*E3162)</f>
        <v/>
      </c>
      <c r="H3162" s="7" t="str">
        <f t="shared" si="196"/>
        <v/>
      </c>
      <c r="I3162" s="7" t="str">
        <f>IF(AND(ISBLANK(D3162),ISBLANK(C3162)),"",((VLOOKUP(D3162,Cardápio!$A$2:$C$16,3,0))*E3162)+IF(B3162="iFood",F3162*0.27,(VLOOKUP(VENDAS!C3162,Bairros!$A$2:$B$90,2,0))))</f>
        <v/>
      </c>
      <c r="J3162" s="7" t="str">
        <f t="shared" si="197"/>
        <v/>
      </c>
      <c r="K3162" s="9">
        <f t="shared" ca="1" si="198"/>
        <v>45404.878290162036</v>
      </c>
      <c r="L3162" s="10">
        <f t="shared" ca="1" si="199"/>
        <v>45404.878290046297</v>
      </c>
    </row>
    <row r="3163" spans="6:12" x14ac:dyDescent="0.25">
      <c r="F3163" s="11" t="str">
        <f>IF(ISBLANK(D3163),"",(VLOOKUP(D3163,Cardápio!$A$2:$B$16,2,0))*E3163)</f>
        <v/>
      </c>
      <c r="H3163" s="7" t="str">
        <f t="shared" si="196"/>
        <v/>
      </c>
      <c r="I3163" s="7" t="str">
        <f>IF(AND(ISBLANK(D3163),ISBLANK(C3163)),"",((VLOOKUP(D3163,Cardápio!$A$2:$C$16,3,0))*E3163)+IF(B3163="iFood",F3163*0.27,(VLOOKUP(VENDAS!C3163,Bairros!$A$2:$B$90,2,0))))</f>
        <v/>
      </c>
      <c r="J3163" s="7" t="str">
        <f t="shared" si="197"/>
        <v/>
      </c>
      <c r="K3163" s="9">
        <f t="shared" ca="1" si="198"/>
        <v>45404.878290162036</v>
      </c>
      <c r="L3163" s="10">
        <f t="shared" ca="1" si="199"/>
        <v>45404.878290046297</v>
      </c>
    </row>
    <row r="3164" spans="6:12" x14ac:dyDescent="0.25">
      <c r="F3164" s="11" t="str">
        <f>IF(ISBLANK(D3164),"",(VLOOKUP(D3164,Cardápio!$A$2:$B$16,2,0))*E3164)</f>
        <v/>
      </c>
      <c r="H3164" s="7" t="str">
        <f t="shared" si="196"/>
        <v/>
      </c>
      <c r="I3164" s="7" t="str">
        <f>IF(AND(ISBLANK(D3164),ISBLANK(C3164)),"",((VLOOKUP(D3164,Cardápio!$A$2:$C$16,3,0))*E3164)+IF(B3164="iFood",F3164*0.27,(VLOOKUP(VENDAS!C3164,Bairros!$A$2:$B$90,2,0))))</f>
        <v/>
      </c>
      <c r="J3164" s="7" t="str">
        <f t="shared" si="197"/>
        <v/>
      </c>
      <c r="K3164" s="9">
        <f t="shared" ca="1" si="198"/>
        <v>45404.878290162036</v>
      </c>
      <c r="L3164" s="10">
        <f t="shared" ca="1" si="199"/>
        <v>45404.878290046297</v>
      </c>
    </row>
    <row r="3165" spans="6:12" x14ac:dyDescent="0.25">
      <c r="F3165" s="11" t="str">
        <f>IF(ISBLANK(D3165),"",(VLOOKUP(D3165,Cardápio!$A$2:$B$16,2,0))*E3165)</f>
        <v/>
      </c>
      <c r="H3165" s="7" t="str">
        <f t="shared" si="196"/>
        <v/>
      </c>
      <c r="I3165" s="7" t="str">
        <f>IF(AND(ISBLANK(D3165),ISBLANK(C3165)),"",((VLOOKUP(D3165,Cardápio!$A$2:$C$16,3,0))*E3165)+IF(B3165="iFood",F3165*0.27,(VLOOKUP(VENDAS!C3165,Bairros!$A$2:$B$90,2,0))))</f>
        <v/>
      </c>
      <c r="J3165" s="7" t="str">
        <f t="shared" si="197"/>
        <v/>
      </c>
      <c r="K3165" s="9">
        <f t="shared" ca="1" si="198"/>
        <v>45404.878290277775</v>
      </c>
      <c r="L3165" s="10">
        <f t="shared" ca="1" si="199"/>
        <v>45404.878290046297</v>
      </c>
    </row>
    <row r="3166" spans="6:12" x14ac:dyDescent="0.25">
      <c r="F3166" s="11" t="str">
        <f>IF(ISBLANK(D3166),"",(VLOOKUP(D3166,Cardápio!$A$2:$B$16,2,0))*E3166)</f>
        <v/>
      </c>
      <c r="H3166" s="7" t="str">
        <f t="shared" si="196"/>
        <v/>
      </c>
      <c r="I3166" s="7" t="str">
        <f>IF(AND(ISBLANK(D3166),ISBLANK(C3166)),"",((VLOOKUP(D3166,Cardápio!$A$2:$C$16,3,0))*E3166)+IF(B3166="iFood",F3166*0.27,(VLOOKUP(VENDAS!C3166,Bairros!$A$2:$B$90,2,0))))</f>
        <v/>
      </c>
      <c r="J3166" s="7" t="str">
        <f t="shared" si="197"/>
        <v/>
      </c>
      <c r="K3166" s="9">
        <f t="shared" ca="1" si="198"/>
        <v>45404.878290162036</v>
      </c>
      <c r="L3166" s="10">
        <f t="shared" ca="1" si="199"/>
        <v>45404.878290046297</v>
      </c>
    </row>
    <row r="3167" spans="6:12" x14ac:dyDescent="0.25">
      <c r="F3167" s="11" t="str">
        <f>IF(ISBLANK(D3167),"",(VLOOKUP(D3167,Cardápio!$A$2:$B$16,2,0))*E3167)</f>
        <v/>
      </c>
      <c r="H3167" s="7" t="str">
        <f t="shared" si="196"/>
        <v/>
      </c>
      <c r="I3167" s="7" t="str">
        <f>IF(AND(ISBLANK(D3167),ISBLANK(C3167)),"",((VLOOKUP(D3167,Cardápio!$A$2:$C$16,3,0))*E3167)+IF(B3167="iFood",F3167*0.27,(VLOOKUP(VENDAS!C3167,Bairros!$A$2:$B$90,2,0))))</f>
        <v/>
      </c>
      <c r="J3167" s="7" t="str">
        <f t="shared" si="197"/>
        <v/>
      </c>
      <c r="K3167" s="9">
        <f t="shared" ca="1" si="198"/>
        <v>45404.878290162036</v>
      </c>
      <c r="L3167" s="10">
        <f t="shared" ca="1" si="199"/>
        <v>45404.878290046297</v>
      </c>
    </row>
    <row r="3168" spans="6:12" x14ac:dyDescent="0.25">
      <c r="F3168" s="11" t="str">
        <f>IF(ISBLANK(D3168),"",(VLOOKUP(D3168,Cardápio!$A$2:$B$16,2,0))*E3168)</f>
        <v/>
      </c>
      <c r="H3168" s="7" t="str">
        <f t="shared" si="196"/>
        <v/>
      </c>
      <c r="I3168" s="7" t="str">
        <f>IF(AND(ISBLANK(D3168),ISBLANK(C3168)),"",((VLOOKUP(D3168,Cardápio!$A$2:$C$16,3,0))*E3168)+IF(B3168="iFood",F3168*0.27,(VLOOKUP(VENDAS!C3168,Bairros!$A$2:$B$90,2,0))))</f>
        <v/>
      </c>
      <c r="J3168" s="7" t="str">
        <f t="shared" si="197"/>
        <v/>
      </c>
      <c r="K3168" s="9">
        <f t="shared" ca="1" si="198"/>
        <v>45404.878290162036</v>
      </c>
      <c r="L3168" s="10">
        <f t="shared" ca="1" si="199"/>
        <v>45404.878290046297</v>
      </c>
    </row>
    <row r="3169" spans="6:12" x14ac:dyDescent="0.25">
      <c r="F3169" s="11" t="str">
        <f>IF(ISBLANK(D3169),"",(VLOOKUP(D3169,Cardápio!$A$2:$B$16,2,0))*E3169)</f>
        <v/>
      </c>
      <c r="H3169" s="7" t="str">
        <f t="shared" si="196"/>
        <v/>
      </c>
      <c r="I3169" s="7" t="str">
        <f>IF(AND(ISBLANK(D3169),ISBLANK(C3169)),"",((VLOOKUP(D3169,Cardápio!$A$2:$C$16,3,0))*E3169)+IF(B3169="iFood",F3169*0.27,(VLOOKUP(VENDAS!C3169,Bairros!$A$2:$B$90,2,0))))</f>
        <v/>
      </c>
      <c r="J3169" s="7" t="str">
        <f t="shared" si="197"/>
        <v/>
      </c>
      <c r="K3169" s="9">
        <f t="shared" ca="1" si="198"/>
        <v>45404.878290277775</v>
      </c>
      <c r="L3169" s="10">
        <f t="shared" ca="1" si="199"/>
        <v>45404.878290046297</v>
      </c>
    </row>
    <row r="3170" spans="6:12" x14ac:dyDescent="0.25">
      <c r="F3170" s="11" t="str">
        <f>IF(ISBLANK(D3170),"",(VLOOKUP(D3170,Cardápio!$A$2:$B$16,2,0))*E3170)</f>
        <v/>
      </c>
      <c r="H3170" s="7" t="str">
        <f t="shared" si="196"/>
        <v/>
      </c>
      <c r="I3170" s="7" t="str">
        <f>IF(AND(ISBLANK(D3170),ISBLANK(C3170)),"",((VLOOKUP(D3170,Cardápio!$A$2:$C$16,3,0))*E3170)+IF(B3170="iFood",F3170*0.27,(VLOOKUP(VENDAS!C3170,Bairros!$A$2:$B$90,2,0))))</f>
        <v/>
      </c>
      <c r="J3170" s="7" t="str">
        <f t="shared" si="197"/>
        <v/>
      </c>
      <c r="K3170" s="9">
        <f t="shared" ca="1" si="198"/>
        <v>45404.878290162036</v>
      </c>
      <c r="L3170" s="10">
        <f t="shared" ca="1" si="199"/>
        <v>45404.878290046297</v>
      </c>
    </row>
    <row r="3171" spans="6:12" x14ac:dyDescent="0.25">
      <c r="F3171" s="11" t="str">
        <f>IF(ISBLANK(D3171),"",(VLOOKUP(D3171,Cardápio!$A$2:$B$16,2,0))*E3171)</f>
        <v/>
      </c>
      <c r="H3171" s="7" t="str">
        <f t="shared" si="196"/>
        <v/>
      </c>
      <c r="I3171" s="7" t="str">
        <f>IF(AND(ISBLANK(D3171),ISBLANK(C3171)),"",((VLOOKUP(D3171,Cardápio!$A$2:$C$16,3,0))*E3171)+IF(B3171="iFood",F3171*0.27,(VLOOKUP(VENDAS!C3171,Bairros!$A$2:$B$90,2,0))))</f>
        <v/>
      </c>
      <c r="J3171" s="7" t="str">
        <f t="shared" si="197"/>
        <v/>
      </c>
      <c r="K3171" s="9">
        <f t="shared" ca="1" si="198"/>
        <v>45404.878290162036</v>
      </c>
      <c r="L3171" s="10">
        <f t="shared" ca="1" si="199"/>
        <v>45404.878290046297</v>
      </c>
    </row>
    <row r="3172" spans="6:12" x14ac:dyDescent="0.25">
      <c r="F3172" s="11" t="str">
        <f>IF(ISBLANK(D3172),"",(VLOOKUP(D3172,Cardápio!$A$2:$B$16,2,0))*E3172)</f>
        <v/>
      </c>
      <c r="H3172" s="7" t="str">
        <f t="shared" si="196"/>
        <v/>
      </c>
      <c r="I3172" s="7" t="str">
        <f>IF(AND(ISBLANK(D3172),ISBLANK(C3172)),"",((VLOOKUP(D3172,Cardápio!$A$2:$C$16,3,0))*E3172)+IF(B3172="iFood",F3172*0.27,(VLOOKUP(VENDAS!C3172,Bairros!$A$2:$B$90,2,0))))</f>
        <v/>
      </c>
      <c r="J3172" s="7" t="str">
        <f t="shared" si="197"/>
        <v/>
      </c>
      <c r="K3172" s="9">
        <f t="shared" ca="1" si="198"/>
        <v>45404.878290162036</v>
      </c>
      <c r="L3172" s="10">
        <f t="shared" ca="1" si="199"/>
        <v>45404.878290046297</v>
      </c>
    </row>
    <row r="3173" spans="6:12" x14ac:dyDescent="0.25">
      <c r="F3173" s="11" t="str">
        <f>IF(ISBLANK(D3173),"",(VLOOKUP(D3173,Cardápio!$A$2:$B$16,2,0))*E3173)</f>
        <v/>
      </c>
      <c r="H3173" s="7" t="str">
        <f t="shared" si="196"/>
        <v/>
      </c>
      <c r="I3173" s="7" t="str">
        <f>IF(AND(ISBLANK(D3173),ISBLANK(C3173)),"",((VLOOKUP(D3173,Cardápio!$A$2:$C$16,3,0))*E3173)+IF(B3173="iFood",F3173*0.27,(VLOOKUP(VENDAS!C3173,Bairros!$A$2:$B$90,2,0))))</f>
        <v/>
      </c>
      <c r="J3173" s="7" t="str">
        <f t="shared" si="197"/>
        <v/>
      </c>
      <c r="K3173" s="9">
        <f t="shared" ca="1" si="198"/>
        <v>45404.878290277775</v>
      </c>
      <c r="L3173" s="10">
        <f t="shared" ca="1" si="199"/>
        <v>45404.878290046297</v>
      </c>
    </row>
    <row r="3174" spans="6:12" x14ac:dyDescent="0.25">
      <c r="F3174" s="11" t="str">
        <f>IF(ISBLANK(D3174),"",(VLOOKUP(D3174,Cardápio!$A$2:$B$16,2,0))*E3174)</f>
        <v/>
      </c>
      <c r="H3174" s="7" t="str">
        <f t="shared" si="196"/>
        <v/>
      </c>
      <c r="I3174" s="7" t="str">
        <f>IF(AND(ISBLANK(D3174),ISBLANK(C3174)),"",((VLOOKUP(D3174,Cardápio!$A$2:$C$16,3,0))*E3174)+IF(B3174="iFood",F3174*0.27,(VLOOKUP(VENDAS!C3174,Bairros!$A$2:$B$90,2,0))))</f>
        <v/>
      </c>
      <c r="J3174" s="7" t="str">
        <f t="shared" si="197"/>
        <v/>
      </c>
      <c r="K3174" s="9">
        <f t="shared" ca="1" si="198"/>
        <v>45404.878290162036</v>
      </c>
      <c r="L3174" s="10">
        <f t="shared" ca="1" si="199"/>
        <v>45404.878290046297</v>
      </c>
    </row>
    <row r="3175" spans="6:12" x14ac:dyDescent="0.25">
      <c r="F3175" s="11" t="str">
        <f>IF(ISBLANK(D3175),"",(VLOOKUP(D3175,Cardápio!$A$2:$B$16,2,0))*E3175)</f>
        <v/>
      </c>
      <c r="H3175" s="7" t="str">
        <f t="shared" si="196"/>
        <v/>
      </c>
      <c r="I3175" s="7" t="str">
        <f>IF(AND(ISBLANK(D3175),ISBLANK(C3175)),"",((VLOOKUP(D3175,Cardápio!$A$2:$C$16,3,0))*E3175)+IF(B3175="iFood",F3175*0.27,(VLOOKUP(VENDAS!C3175,Bairros!$A$2:$B$90,2,0))))</f>
        <v/>
      </c>
      <c r="J3175" s="7" t="str">
        <f t="shared" si="197"/>
        <v/>
      </c>
      <c r="K3175" s="9">
        <f t="shared" ca="1" si="198"/>
        <v>45404.878290162036</v>
      </c>
      <c r="L3175" s="10">
        <f t="shared" ca="1" si="199"/>
        <v>45404.878290046297</v>
      </c>
    </row>
    <row r="3176" spans="6:12" x14ac:dyDescent="0.25">
      <c r="F3176" s="11" t="str">
        <f>IF(ISBLANK(D3176),"",(VLOOKUP(D3176,Cardápio!$A$2:$B$16,2,0))*E3176)</f>
        <v/>
      </c>
      <c r="H3176" s="7" t="str">
        <f t="shared" si="196"/>
        <v/>
      </c>
      <c r="I3176" s="7" t="str">
        <f>IF(AND(ISBLANK(D3176),ISBLANK(C3176)),"",((VLOOKUP(D3176,Cardápio!$A$2:$C$16,3,0))*E3176)+IF(B3176="iFood",F3176*0.27,(VLOOKUP(VENDAS!C3176,Bairros!$A$2:$B$90,2,0))))</f>
        <v/>
      </c>
      <c r="J3176" s="7" t="str">
        <f t="shared" si="197"/>
        <v/>
      </c>
      <c r="K3176" s="9">
        <f t="shared" ca="1" si="198"/>
        <v>45404.878290162036</v>
      </c>
      <c r="L3176" s="10">
        <f t="shared" ca="1" si="199"/>
        <v>45404.878290046297</v>
      </c>
    </row>
    <row r="3177" spans="6:12" x14ac:dyDescent="0.25">
      <c r="F3177" s="11" t="str">
        <f>IF(ISBLANK(D3177),"",(VLOOKUP(D3177,Cardápio!$A$2:$B$16,2,0))*E3177)</f>
        <v/>
      </c>
      <c r="H3177" s="7" t="str">
        <f t="shared" si="196"/>
        <v/>
      </c>
      <c r="I3177" s="7" t="str">
        <f>IF(AND(ISBLANK(D3177),ISBLANK(C3177)),"",((VLOOKUP(D3177,Cardápio!$A$2:$C$16,3,0))*E3177)+IF(B3177="iFood",F3177*0.27,(VLOOKUP(VENDAS!C3177,Bairros!$A$2:$B$90,2,0))))</f>
        <v/>
      </c>
      <c r="J3177" s="7" t="str">
        <f t="shared" si="197"/>
        <v/>
      </c>
      <c r="K3177" s="9">
        <f t="shared" ca="1" si="198"/>
        <v>45404.878290277775</v>
      </c>
      <c r="L3177" s="10">
        <f t="shared" ca="1" si="199"/>
        <v>45404.878290046297</v>
      </c>
    </row>
    <row r="3178" spans="6:12" x14ac:dyDescent="0.25">
      <c r="F3178" s="11" t="str">
        <f>IF(ISBLANK(D3178),"",(VLOOKUP(D3178,Cardápio!$A$2:$B$16,2,0))*E3178)</f>
        <v/>
      </c>
      <c r="H3178" s="7" t="str">
        <f t="shared" si="196"/>
        <v/>
      </c>
      <c r="I3178" s="7" t="str">
        <f>IF(AND(ISBLANK(D3178),ISBLANK(C3178)),"",((VLOOKUP(D3178,Cardápio!$A$2:$C$16,3,0))*E3178)+IF(B3178="iFood",F3178*0.27,(VLOOKUP(VENDAS!C3178,Bairros!$A$2:$B$90,2,0))))</f>
        <v/>
      </c>
      <c r="J3178" s="7" t="str">
        <f t="shared" si="197"/>
        <v/>
      </c>
      <c r="K3178" s="9">
        <f t="shared" ca="1" si="198"/>
        <v>45404.878290162036</v>
      </c>
      <c r="L3178" s="10">
        <f t="shared" ca="1" si="199"/>
        <v>45404.878290046297</v>
      </c>
    </row>
    <row r="3179" spans="6:12" x14ac:dyDescent="0.25">
      <c r="F3179" s="11" t="str">
        <f>IF(ISBLANK(D3179),"",(VLOOKUP(D3179,Cardápio!$A$2:$B$16,2,0))*E3179)</f>
        <v/>
      </c>
      <c r="H3179" s="7" t="str">
        <f t="shared" si="196"/>
        <v/>
      </c>
      <c r="I3179" s="7" t="str">
        <f>IF(AND(ISBLANK(D3179),ISBLANK(C3179)),"",((VLOOKUP(D3179,Cardápio!$A$2:$C$16,3,0))*E3179)+IF(B3179="iFood",F3179*0.27,(VLOOKUP(VENDAS!C3179,Bairros!$A$2:$B$90,2,0))))</f>
        <v/>
      </c>
      <c r="J3179" s="7" t="str">
        <f t="shared" si="197"/>
        <v/>
      </c>
      <c r="K3179" s="9">
        <f t="shared" ca="1" si="198"/>
        <v>45404.878290162036</v>
      </c>
      <c r="L3179" s="10">
        <f t="shared" ca="1" si="199"/>
        <v>45404.878290046297</v>
      </c>
    </row>
    <row r="3180" spans="6:12" x14ac:dyDescent="0.25">
      <c r="F3180" s="11" t="str">
        <f>IF(ISBLANK(D3180),"",(VLOOKUP(D3180,Cardápio!$A$2:$B$16,2,0))*E3180)</f>
        <v/>
      </c>
      <c r="H3180" s="7" t="str">
        <f t="shared" si="196"/>
        <v/>
      </c>
      <c r="I3180" s="7" t="str">
        <f>IF(AND(ISBLANK(D3180),ISBLANK(C3180)),"",((VLOOKUP(D3180,Cardápio!$A$2:$C$16,3,0))*E3180)+IF(B3180="iFood",F3180*0.27,(VLOOKUP(VENDAS!C3180,Bairros!$A$2:$B$90,2,0))))</f>
        <v/>
      </c>
      <c r="J3180" s="7" t="str">
        <f t="shared" si="197"/>
        <v/>
      </c>
      <c r="K3180" s="9">
        <f t="shared" ca="1" si="198"/>
        <v>45404.878290162036</v>
      </c>
      <c r="L3180" s="10">
        <f t="shared" ca="1" si="199"/>
        <v>45404.878290046297</v>
      </c>
    </row>
    <row r="3181" spans="6:12" x14ac:dyDescent="0.25">
      <c r="F3181" s="11" t="str">
        <f>IF(ISBLANK(D3181),"",(VLOOKUP(D3181,Cardápio!$A$2:$B$16,2,0))*E3181)</f>
        <v/>
      </c>
      <c r="H3181" s="7" t="str">
        <f t="shared" si="196"/>
        <v/>
      </c>
      <c r="I3181" s="7" t="str">
        <f>IF(AND(ISBLANK(D3181),ISBLANK(C3181)),"",((VLOOKUP(D3181,Cardápio!$A$2:$C$16,3,0))*E3181)+IF(B3181="iFood",F3181*0.27,(VLOOKUP(VENDAS!C3181,Bairros!$A$2:$B$90,2,0))))</f>
        <v/>
      </c>
      <c r="J3181" s="7" t="str">
        <f t="shared" si="197"/>
        <v/>
      </c>
      <c r="K3181" s="9">
        <f t="shared" ca="1" si="198"/>
        <v>45404.878290277775</v>
      </c>
      <c r="L3181" s="10">
        <f t="shared" ca="1" si="199"/>
        <v>45404.878290046297</v>
      </c>
    </row>
    <row r="3182" spans="6:12" x14ac:dyDescent="0.25">
      <c r="F3182" s="11" t="str">
        <f>IF(ISBLANK(D3182),"",(VLOOKUP(D3182,Cardápio!$A$2:$B$16,2,0))*E3182)</f>
        <v/>
      </c>
      <c r="H3182" s="7" t="str">
        <f t="shared" si="196"/>
        <v/>
      </c>
      <c r="I3182" s="7" t="str">
        <f>IF(AND(ISBLANK(D3182),ISBLANK(C3182)),"",((VLOOKUP(D3182,Cardápio!$A$2:$C$16,3,0))*E3182)+IF(B3182="iFood",F3182*0.27,(VLOOKUP(VENDAS!C3182,Bairros!$A$2:$B$90,2,0))))</f>
        <v/>
      </c>
      <c r="J3182" s="7" t="str">
        <f t="shared" si="197"/>
        <v/>
      </c>
      <c r="K3182" s="9">
        <f t="shared" ca="1" si="198"/>
        <v>45404.878290162036</v>
      </c>
      <c r="L3182" s="10">
        <f t="shared" ca="1" si="199"/>
        <v>45404.878290046297</v>
      </c>
    </row>
    <row r="3183" spans="6:12" x14ac:dyDescent="0.25">
      <c r="F3183" s="11" t="str">
        <f>IF(ISBLANK(D3183),"",(VLOOKUP(D3183,Cardápio!$A$2:$B$16,2,0))*E3183)</f>
        <v/>
      </c>
      <c r="H3183" s="7" t="str">
        <f t="shared" si="196"/>
        <v/>
      </c>
      <c r="I3183" s="7" t="str">
        <f>IF(AND(ISBLANK(D3183),ISBLANK(C3183)),"",((VLOOKUP(D3183,Cardápio!$A$2:$C$16,3,0))*E3183)+IF(B3183="iFood",F3183*0.27,(VLOOKUP(VENDAS!C3183,Bairros!$A$2:$B$90,2,0))))</f>
        <v/>
      </c>
      <c r="J3183" s="7" t="str">
        <f t="shared" si="197"/>
        <v/>
      </c>
      <c r="K3183" s="9">
        <f t="shared" ca="1" si="198"/>
        <v>45404.878290162036</v>
      </c>
      <c r="L3183" s="10">
        <f t="shared" ca="1" si="199"/>
        <v>45404.878290046297</v>
      </c>
    </row>
    <row r="3184" spans="6:12" x14ac:dyDescent="0.25">
      <c r="F3184" s="11" t="str">
        <f>IF(ISBLANK(D3184),"",(VLOOKUP(D3184,Cardápio!$A$2:$B$16,2,0))*E3184)</f>
        <v/>
      </c>
      <c r="H3184" s="7" t="str">
        <f t="shared" si="196"/>
        <v/>
      </c>
      <c r="I3184" s="7" t="str">
        <f>IF(AND(ISBLANK(D3184),ISBLANK(C3184)),"",((VLOOKUP(D3184,Cardápio!$A$2:$C$16,3,0))*E3184)+IF(B3184="iFood",F3184*0.27,(VLOOKUP(VENDAS!C3184,Bairros!$A$2:$B$90,2,0))))</f>
        <v/>
      </c>
      <c r="J3184" s="7" t="str">
        <f t="shared" si="197"/>
        <v/>
      </c>
      <c r="K3184" s="9">
        <f t="shared" ca="1" si="198"/>
        <v>45404.878290162036</v>
      </c>
      <c r="L3184" s="10">
        <f t="shared" ca="1" si="199"/>
        <v>45404.878290046297</v>
      </c>
    </row>
    <row r="3185" spans="6:12" x14ac:dyDescent="0.25">
      <c r="F3185" s="11" t="str">
        <f>IF(ISBLANK(D3185),"",(VLOOKUP(D3185,Cardápio!$A$2:$B$16,2,0))*E3185)</f>
        <v/>
      </c>
      <c r="H3185" s="7" t="str">
        <f t="shared" si="196"/>
        <v/>
      </c>
      <c r="I3185" s="7" t="str">
        <f>IF(AND(ISBLANK(D3185),ISBLANK(C3185)),"",((VLOOKUP(D3185,Cardápio!$A$2:$C$16,3,0))*E3185)+IF(B3185="iFood",F3185*0.27,(VLOOKUP(VENDAS!C3185,Bairros!$A$2:$B$90,2,0))))</f>
        <v/>
      </c>
      <c r="J3185" s="7" t="str">
        <f t="shared" si="197"/>
        <v/>
      </c>
      <c r="K3185" s="9">
        <f t="shared" ca="1" si="198"/>
        <v>45404.878290277775</v>
      </c>
      <c r="L3185" s="10">
        <f t="shared" ca="1" si="199"/>
        <v>45404.878290046297</v>
      </c>
    </row>
    <row r="3186" spans="6:12" x14ac:dyDescent="0.25">
      <c r="F3186" s="11" t="str">
        <f>IF(ISBLANK(D3186),"",(VLOOKUP(D3186,Cardápio!$A$2:$B$16,2,0))*E3186)</f>
        <v/>
      </c>
      <c r="H3186" s="7" t="str">
        <f t="shared" si="196"/>
        <v/>
      </c>
      <c r="I3186" s="7" t="str">
        <f>IF(AND(ISBLANK(D3186),ISBLANK(C3186)),"",((VLOOKUP(D3186,Cardápio!$A$2:$C$16,3,0))*E3186)+IF(B3186="iFood",F3186*0.27,(VLOOKUP(VENDAS!C3186,Bairros!$A$2:$B$90,2,0))))</f>
        <v/>
      </c>
      <c r="J3186" s="7" t="str">
        <f t="shared" si="197"/>
        <v/>
      </c>
      <c r="K3186" s="9">
        <f t="shared" ca="1" si="198"/>
        <v>45404.878290162036</v>
      </c>
      <c r="L3186" s="10">
        <f t="shared" ca="1" si="199"/>
        <v>45404.878290046297</v>
      </c>
    </row>
    <row r="3187" spans="6:12" x14ac:dyDescent="0.25">
      <c r="F3187" s="11" t="str">
        <f>IF(ISBLANK(D3187),"",(VLOOKUP(D3187,Cardápio!$A$2:$B$16,2,0))*E3187)</f>
        <v/>
      </c>
      <c r="H3187" s="7" t="str">
        <f t="shared" si="196"/>
        <v/>
      </c>
      <c r="I3187" s="7" t="str">
        <f>IF(AND(ISBLANK(D3187),ISBLANK(C3187)),"",((VLOOKUP(D3187,Cardápio!$A$2:$C$16,3,0))*E3187)+IF(B3187="iFood",F3187*0.27,(VLOOKUP(VENDAS!C3187,Bairros!$A$2:$B$90,2,0))))</f>
        <v/>
      </c>
      <c r="J3187" s="7" t="str">
        <f t="shared" si="197"/>
        <v/>
      </c>
      <c r="K3187" s="9">
        <f t="shared" ca="1" si="198"/>
        <v>45404.878290162036</v>
      </c>
      <c r="L3187" s="10">
        <f t="shared" ca="1" si="199"/>
        <v>45404.878290046297</v>
      </c>
    </row>
    <row r="3188" spans="6:12" x14ac:dyDescent="0.25">
      <c r="F3188" s="11" t="str">
        <f>IF(ISBLANK(D3188),"",(VLOOKUP(D3188,Cardápio!$A$2:$B$16,2,0))*E3188)</f>
        <v/>
      </c>
      <c r="H3188" s="7" t="str">
        <f t="shared" si="196"/>
        <v/>
      </c>
      <c r="I3188" s="7" t="str">
        <f>IF(AND(ISBLANK(D3188),ISBLANK(C3188)),"",((VLOOKUP(D3188,Cardápio!$A$2:$C$16,3,0))*E3188)+IF(B3188="iFood",F3188*0.27,(VLOOKUP(VENDAS!C3188,Bairros!$A$2:$B$90,2,0))))</f>
        <v/>
      </c>
      <c r="J3188" s="7" t="str">
        <f t="shared" si="197"/>
        <v/>
      </c>
      <c r="K3188" s="9">
        <f t="shared" ca="1" si="198"/>
        <v>45404.878290162036</v>
      </c>
      <c r="L3188" s="10">
        <f t="shared" ca="1" si="199"/>
        <v>45404.878290046297</v>
      </c>
    </row>
    <row r="3189" spans="6:12" x14ac:dyDescent="0.25">
      <c r="F3189" s="11" t="str">
        <f>IF(ISBLANK(D3189),"",(VLOOKUP(D3189,Cardápio!$A$2:$B$16,2,0))*E3189)</f>
        <v/>
      </c>
      <c r="H3189" s="7" t="str">
        <f t="shared" ref="H3189:H3252" si="200">IF(ISBLANK(D3189),"",F3189-G3189)</f>
        <v/>
      </c>
      <c r="I3189" s="7" t="str">
        <f>IF(AND(ISBLANK(D3189),ISBLANK(C3189)),"",((VLOOKUP(D3189,Cardápio!$A$2:$C$16,3,0))*E3189)+IF(B3189="iFood",F3189*0.27,(VLOOKUP(VENDAS!C3189,Bairros!$A$2:$B$90,2,0))))</f>
        <v/>
      </c>
      <c r="J3189" s="7" t="str">
        <f t="shared" ref="J3189:J3252" si="201">IF(OR(AND(ISBLANK(H3189),ISBLANK(I3189)),(AND(H3189="",I3189=""))),"",H3189-I3189)</f>
        <v/>
      </c>
      <c r="K3189" s="9">
        <f t="shared" ref="K3189:K3252" ca="1" si="202">IF(D3189&lt;&gt;"",K3189,NOW())</f>
        <v>45404.878290277775</v>
      </c>
      <c r="L3189" s="10">
        <f t="shared" ref="L3189:L3252" ca="1" si="203">IF(D3189&lt;&gt;"",L3189,NOW())</f>
        <v>45404.878290046297</v>
      </c>
    </row>
    <row r="3190" spans="6:12" x14ac:dyDescent="0.25">
      <c r="F3190" s="11" t="str">
        <f>IF(ISBLANK(D3190),"",(VLOOKUP(D3190,Cardápio!$A$2:$B$16,2,0))*E3190)</f>
        <v/>
      </c>
      <c r="H3190" s="7" t="str">
        <f t="shared" si="200"/>
        <v/>
      </c>
      <c r="I3190" s="7" t="str">
        <f>IF(AND(ISBLANK(D3190),ISBLANK(C3190)),"",((VLOOKUP(D3190,Cardápio!$A$2:$C$16,3,0))*E3190)+IF(B3190="iFood",F3190*0.27,(VLOOKUP(VENDAS!C3190,Bairros!$A$2:$B$90,2,0))))</f>
        <v/>
      </c>
      <c r="J3190" s="7" t="str">
        <f t="shared" si="201"/>
        <v/>
      </c>
      <c r="K3190" s="9">
        <f t="shared" ca="1" si="202"/>
        <v>45404.878290162036</v>
      </c>
      <c r="L3190" s="10">
        <f t="shared" ca="1" si="203"/>
        <v>45404.878290046297</v>
      </c>
    </row>
    <row r="3191" spans="6:12" x14ac:dyDescent="0.25">
      <c r="F3191" s="11" t="str">
        <f>IF(ISBLANK(D3191),"",(VLOOKUP(D3191,Cardápio!$A$2:$B$16,2,0))*E3191)</f>
        <v/>
      </c>
      <c r="H3191" s="7" t="str">
        <f t="shared" si="200"/>
        <v/>
      </c>
      <c r="I3191" s="7" t="str">
        <f>IF(AND(ISBLANK(D3191),ISBLANK(C3191)),"",((VLOOKUP(D3191,Cardápio!$A$2:$C$16,3,0))*E3191)+IF(B3191="iFood",F3191*0.27,(VLOOKUP(VENDAS!C3191,Bairros!$A$2:$B$90,2,0))))</f>
        <v/>
      </c>
      <c r="J3191" s="7" t="str">
        <f t="shared" si="201"/>
        <v/>
      </c>
      <c r="K3191" s="9">
        <f t="shared" ca="1" si="202"/>
        <v>45404.878290162036</v>
      </c>
      <c r="L3191" s="10">
        <f t="shared" ca="1" si="203"/>
        <v>45404.878290046297</v>
      </c>
    </row>
    <row r="3192" spans="6:12" x14ac:dyDescent="0.25">
      <c r="F3192" s="11" t="str">
        <f>IF(ISBLANK(D3192),"",(VLOOKUP(D3192,Cardápio!$A$2:$B$16,2,0))*E3192)</f>
        <v/>
      </c>
      <c r="H3192" s="7" t="str">
        <f t="shared" si="200"/>
        <v/>
      </c>
      <c r="I3192" s="7" t="str">
        <f>IF(AND(ISBLANK(D3192),ISBLANK(C3192)),"",((VLOOKUP(D3192,Cardápio!$A$2:$C$16,3,0))*E3192)+IF(B3192="iFood",F3192*0.27,(VLOOKUP(VENDAS!C3192,Bairros!$A$2:$B$90,2,0))))</f>
        <v/>
      </c>
      <c r="J3192" s="7" t="str">
        <f t="shared" si="201"/>
        <v/>
      </c>
      <c r="K3192" s="9">
        <f t="shared" ca="1" si="202"/>
        <v>45404.878290162036</v>
      </c>
      <c r="L3192" s="10">
        <f t="shared" ca="1" si="203"/>
        <v>45404.878290046297</v>
      </c>
    </row>
    <row r="3193" spans="6:12" x14ac:dyDescent="0.25">
      <c r="F3193" s="11" t="str">
        <f>IF(ISBLANK(D3193),"",(VLOOKUP(D3193,Cardápio!$A$2:$B$16,2,0))*E3193)</f>
        <v/>
      </c>
      <c r="H3193" s="7" t="str">
        <f t="shared" si="200"/>
        <v/>
      </c>
      <c r="I3193" s="7" t="str">
        <f>IF(AND(ISBLANK(D3193),ISBLANK(C3193)),"",((VLOOKUP(D3193,Cardápio!$A$2:$C$16,3,0))*E3193)+IF(B3193="iFood",F3193*0.27,(VLOOKUP(VENDAS!C3193,Bairros!$A$2:$B$90,2,0))))</f>
        <v/>
      </c>
      <c r="J3193" s="7" t="str">
        <f t="shared" si="201"/>
        <v/>
      </c>
      <c r="K3193" s="9">
        <f t="shared" ca="1" si="202"/>
        <v>45404.878290277775</v>
      </c>
      <c r="L3193" s="10">
        <f t="shared" ca="1" si="203"/>
        <v>45404.878290046297</v>
      </c>
    </row>
    <row r="3194" spans="6:12" x14ac:dyDescent="0.25">
      <c r="F3194" s="11" t="str">
        <f>IF(ISBLANK(D3194),"",(VLOOKUP(D3194,Cardápio!$A$2:$B$16,2,0))*E3194)</f>
        <v/>
      </c>
      <c r="H3194" s="7" t="str">
        <f t="shared" si="200"/>
        <v/>
      </c>
      <c r="I3194" s="7" t="str">
        <f>IF(AND(ISBLANK(D3194),ISBLANK(C3194)),"",((VLOOKUP(D3194,Cardápio!$A$2:$C$16,3,0))*E3194)+IF(B3194="iFood",F3194*0.27,(VLOOKUP(VENDAS!C3194,Bairros!$A$2:$B$90,2,0))))</f>
        <v/>
      </c>
      <c r="J3194" s="7" t="str">
        <f t="shared" si="201"/>
        <v/>
      </c>
      <c r="K3194" s="9">
        <f t="shared" ca="1" si="202"/>
        <v>45404.878290162036</v>
      </c>
      <c r="L3194" s="10">
        <f t="shared" ca="1" si="203"/>
        <v>45404.878290046297</v>
      </c>
    </row>
    <row r="3195" spans="6:12" x14ac:dyDescent="0.25">
      <c r="F3195" s="11" t="str">
        <f>IF(ISBLANK(D3195),"",(VLOOKUP(D3195,Cardápio!$A$2:$B$16,2,0))*E3195)</f>
        <v/>
      </c>
      <c r="H3195" s="7" t="str">
        <f t="shared" si="200"/>
        <v/>
      </c>
      <c r="I3195" s="7" t="str">
        <f>IF(AND(ISBLANK(D3195),ISBLANK(C3195)),"",((VLOOKUP(D3195,Cardápio!$A$2:$C$16,3,0))*E3195)+IF(B3195="iFood",F3195*0.27,(VLOOKUP(VENDAS!C3195,Bairros!$A$2:$B$90,2,0))))</f>
        <v/>
      </c>
      <c r="J3195" s="7" t="str">
        <f t="shared" si="201"/>
        <v/>
      </c>
      <c r="K3195" s="9">
        <f t="shared" ca="1" si="202"/>
        <v>45404.878290162036</v>
      </c>
      <c r="L3195" s="10">
        <f t="shared" ca="1" si="203"/>
        <v>45404.878290046297</v>
      </c>
    </row>
    <row r="3196" spans="6:12" x14ac:dyDescent="0.25">
      <c r="F3196" s="11" t="str">
        <f>IF(ISBLANK(D3196),"",(VLOOKUP(D3196,Cardápio!$A$2:$B$16,2,0))*E3196)</f>
        <v/>
      </c>
      <c r="H3196" s="7" t="str">
        <f t="shared" si="200"/>
        <v/>
      </c>
      <c r="I3196" s="7" t="str">
        <f>IF(AND(ISBLANK(D3196),ISBLANK(C3196)),"",((VLOOKUP(D3196,Cardápio!$A$2:$C$16,3,0))*E3196)+IF(B3196="iFood",F3196*0.27,(VLOOKUP(VENDAS!C3196,Bairros!$A$2:$B$90,2,0))))</f>
        <v/>
      </c>
      <c r="J3196" s="7" t="str">
        <f t="shared" si="201"/>
        <v/>
      </c>
      <c r="K3196" s="9">
        <f t="shared" ca="1" si="202"/>
        <v>45404.878290162036</v>
      </c>
      <c r="L3196" s="10">
        <f t="shared" ca="1" si="203"/>
        <v>45404.878290046297</v>
      </c>
    </row>
    <row r="3197" spans="6:12" x14ac:dyDescent="0.25">
      <c r="F3197" s="11" t="str">
        <f>IF(ISBLANK(D3197),"",(VLOOKUP(D3197,Cardápio!$A$2:$B$16,2,0))*E3197)</f>
        <v/>
      </c>
      <c r="H3197" s="7" t="str">
        <f t="shared" si="200"/>
        <v/>
      </c>
      <c r="I3197" s="7" t="str">
        <f>IF(AND(ISBLANK(D3197),ISBLANK(C3197)),"",((VLOOKUP(D3197,Cardápio!$A$2:$C$16,3,0))*E3197)+IF(B3197="iFood",F3197*0.27,(VLOOKUP(VENDAS!C3197,Bairros!$A$2:$B$90,2,0))))</f>
        <v/>
      </c>
      <c r="J3197" s="7" t="str">
        <f t="shared" si="201"/>
        <v/>
      </c>
      <c r="K3197" s="9">
        <f t="shared" ca="1" si="202"/>
        <v>45404.878290277775</v>
      </c>
      <c r="L3197" s="10">
        <f t="shared" ca="1" si="203"/>
        <v>45404.878290046297</v>
      </c>
    </row>
    <row r="3198" spans="6:12" x14ac:dyDescent="0.25">
      <c r="F3198" s="11" t="str">
        <f>IF(ISBLANK(D3198),"",(VLOOKUP(D3198,Cardápio!$A$2:$B$16,2,0))*E3198)</f>
        <v/>
      </c>
      <c r="H3198" s="7" t="str">
        <f t="shared" si="200"/>
        <v/>
      </c>
      <c r="I3198" s="7" t="str">
        <f>IF(AND(ISBLANK(D3198),ISBLANK(C3198)),"",((VLOOKUP(D3198,Cardápio!$A$2:$C$16,3,0))*E3198)+IF(B3198="iFood",F3198*0.27,(VLOOKUP(VENDAS!C3198,Bairros!$A$2:$B$90,2,0))))</f>
        <v/>
      </c>
      <c r="J3198" s="7" t="str">
        <f t="shared" si="201"/>
        <v/>
      </c>
      <c r="K3198" s="9">
        <f t="shared" ca="1" si="202"/>
        <v>45404.878290162036</v>
      </c>
      <c r="L3198" s="10">
        <f t="shared" ca="1" si="203"/>
        <v>45404.878290046297</v>
      </c>
    </row>
    <row r="3199" spans="6:12" x14ac:dyDescent="0.25">
      <c r="F3199" s="11" t="str">
        <f>IF(ISBLANK(D3199),"",(VLOOKUP(D3199,Cardápio!$A$2:$B$16,2,0))*E3199)</f>
        <v/>
      </c>
      <c r="H3199" s="7" t="str">
        <f t="shared" si="200"/>
        <v/>
      </c>
      <c r="I3199" s="7" t="str">
        <f>IF(AND(ISBLANK(D3199),ISBLANK(C3199)),"",((VLOOKUP(D3199,Cardápio!$A$2:$C$16,3,0))*E3199)+IF(B3199="iFood",F3199*0.27,(VLOOKUP(VENDAS!C3199,Bairros!$A$2:$B$90,2,0))))</f>
        <v/>
      </c>
      <c r="J3199" s="7" t="str">
        <f t="shared" si="201"/>
        <v/>
      </c>
      <c r="K3199" s="9">
        <f t="shared" ca="1" si="202"/>
        <v>45404.878290162036</v>
      </c>
      <c r="L3199" s="10">
        <f t="shared" ca="1" si="203"/>
        <v>45404.878290046297</v>
      </c>
    </row>
    <row r="3200" spans="6:12" x14ac:dyDescent="0.25">
      <c r="F3200" s="11" t="str">
        <f>IF(ISBLANK(D3200),"",(VLOOKUP(D3200,Cardápio!$A$2:$B$16,2,0))*E3200)</f>
        <v/>
      </c>
      <c r="H3200" s="7" t="str">
        <f t="shared" si="200"/>
        <v/>
      </c>
      <c r="I3200" s="7" t="str">
        <f>IF(AND(ISBLANK(D3200),ISBLANK(C3200)),"",((VLOOKUP(D3200,Cardápio!$A$2:$C$16,3,0))*E3200)+IF(B3200="iFood",F3200*0.27,(VLOOKUP(VENDAS!C3200,Bairros!$A$2:$B$90,2,0))))</f>
        <v/>
      </c>
      <c r="J3200" s="7" t="str">
        <f t="shared" si="201"/>
        <v/>
      </c>
      <c r="K3200" s="9">
        <f t="shared" ca="1" si="202"/>
        <v>45404.878290162036</v>
      </c>
      <c r="L3200" s="10">
        <f t="shared" ca="1" si="203"/>
        <v>45404.878290046297</v>
      </c>
    </row>
    <row r="3201" spans="6:12" x14ac:dyDescent="0.25">
      <c r="F3201" s="11" t="str">
        <f>IF(ISBLANK(D3201),"",(VLOOKUP(D3201,Cardápio!$A$2:$B$16,2,0))*E3201)</f>
        <v/>
      </c>
      <c r="H3201" s="7" t="str">
        <f t="shared" si="200"/>
        <v/>
      </c>
      <c r="I3201" s="7" t="str">
        <f>IF(AND(ISBLANK(D3201),ISBLANK(C3201)),"",((VLOOKUP(D3201,Cardápio!$A$2:$C$16,3,0))*E3201)+IF(B3201="iFood",F3201*0.27,(VLOOKUP(VENDAS!C3201,Bairros!$A$2:$B$90,2,0))))</f>
        <v/>
      </c>
      <c r="J3201" s="7" t="str">
        <f t="shared" si="201"/>
        <v/>
      </c>
      <c r="K3201" s="9">
        <f t="shared" ca="1" si="202"/>
        <v>45404.878290277775</v>
      </c>
      <c r="L3201" s="10">
        <f t="shared" ca="1" si="203"/>
        <v>45404.878290046297</v>
      </c>
    </row>
    <row r="3202" spans="6:12" x14ac:dyDescent="0.25">
      <c r="F3202" s="11" t="str">
        <f>IF(ISBLANK(D3202),"",(VLOOKUP(D3202,Cardápio!$A$2:$B$16,2,0))*E3202)</f>
        <v/>
      </c>
      <c r="H3202" s="7" t="str">
        <f t="shared" si="200"/>
        <v/>
      </c>
      <c r="I3202" s="7" t="str">
        <f>IF(AND(ISBLANK(D3202),ISBLANK(C3202)),"",((VLOOKUP(D3202,Cardápio!$A$2:$C$16,3,0))*E3202)+IF(B3202="iFood",F3202*0.27,(VLOOKUP(VENDAS!C3202,Bairros!$A$2:$B$90,2,0))))</f>
        <v/>
      </c>
      <c r="J3202" s="7" t="str">
        <f t="shared" si="201"/>
        <v/>
      </c>
      <c r="K3202" s="9">
        <f t="shared" ca="1" si="202"/>
        <v>45404.878290162036</v>
      </c>
      <c r="L3202" s="10">
        <f t="shared" ca="1" si="203"/>
        <v>45404.878290046297</v>
      </c>
    </row>
    <row r="3203" spans="6:12" x14ac:dyDescent="0.25">
      <c r="F3203" s="11" t="str">
        <f>IF(ISBLANK(D3203),"",(VLOOKUP(D3203,Cardápio!$A$2:$B$16,2,0))*E3203)</f>
        <v/>
      </c>
      <c r="H3203" s="7" t="str">
        <f t="shared" si="200"/>
        <v/>
      </c>
      <c r="I3203" s="7" t="str">
        <f>IF(AND(ISBLANK(D3203),ISBLANK(C3203)),"",((VLOOKUP(D3203,Cardápio!$A$2:$C$16,3,0))*E3203)+IF(B3203="iFood",F3203*0.27,(VLOOKUP(VENDAS!C3203,Bairros!$A$2:$B$90,2,0))))</f>
        <v/>
      </c>
      <c r="J3203" s="7" t="str">
        <f t="shared" si="201"/>
        <v/>
      </c>
      <c r="K3203" s="9">
        <f t="shared" ca="1" si="202"/>
        <v>45404.878290162036</v>
      </c>
      <c r="L3203" s="10">
        <f t="shared" ca="1" si="203"/>
        <v>45404.878290046297</v>
      </c>
    </row>
    <row r="3204" spans="6:12" x14ac:dyDescent="0.25">
      <c r="F3204" s="11" t="str">
        <f>IF(ISBLANK(D3204),"",(VLOOKUP(D3204,Cardápio!$A$2:$B$16,2,0))*E3204)</f>
        <v/>
      </c>
      <c r="H3204" s="7" t="str">
        <f t="shared" si="200"/>
        <v/>
      </c>
      <c r="I3204" s="7" t="str">
        <f>IF(AND(ISBLANK(D3204),ISBLANK(C3204)),"",((VLOOKUP(D3204,Cardápio!$A$2:$C$16,3,0))*E3204)+IF(B3204="iFood",F3204*0.27,(VLOOKUP(VENDAS!C3204,Bairros!$A$2:$B$90,2,0))))</f>
        <v/>
      </c>
      <c r="J3204" s="7" t="str">
        <f t="shared" si="201"/>
        <v/>
      </c>
      <c r="K3204" s="9">
        <f t="shared" ca="1" si="202"/>
        <v>45404.878290162036</v>
      </c>
      <c r="L3204" s="10">
        <f t="shared" ca="1" si="203"/>
        <v>45404.878290046297</v>
      </c>
    </row>
    <row r="3205" spans="6:12" x14ac:dyDescent="0.25">
      <c r="F3205" s="11" t="str">
        <f>IF(ISBLANK(D3205),"",(VLOOKUP(D3205,Cardápio!$A$2:$B$16,2,0))*E3205)</f>
        <v/>
      </c>
      <c r="H3205" s="7" t="str">
        <f t="shared" si="200"/>
        <v/>
      </c>
      <c r="I3205" s="7" t="str">
        <f>IF(AND(ISBLANK(D3205),ISBLANK(C3205)),"",((VLOOKUP(D3205,Cardápio!$A$2:$C$16,3,0))*E3205)+IF(B3205="iFood",F3205*0.27,(VLOOKUP(VENDAS!C3205,Bairros!$A$2:$B$90,2,0))))</f>
        <v/>
      </c>
      <c r="J3205" s="7" t="str">
        <f t="shared" si="201"/>
        <v/>
      </c>
      <c r="K3205" s="9">
        <f t="shared" ca="1" si="202"/>
        <v>45404.878290277775</v>
      </c>
      <c r="L3205" s="10">
        <f t="shared" ca="1" si="203"/>
        <v>45404.878290046297</v>
      </c>
    </row>
    <row r="3206" spans="6:12" x14ac:dyDescent="0.25">
      <c r="F3206" s="11" t="str">
        <f>IF(ISBLANK(D3206),"",(VLOOKUP(D3206,Cardápio!$A$2:$B$16,2,0))*E3206)</f>
        <v/>
      </c>
      <c r="H3206" s="7" t="str">
        <f t="shared" si="200"/>
        <v/>
      </c>
      <c r="I3206" s="7" t="str">
        <f>IF(AND(ISBLANK(D3206),ISBLANK(C3206)),"",((VLOOKUP(D3206,Cardápio!$A$2:$C$16,3,0))*E3206)+IF(B3206="iFood",F3206*0.27,(VLOOKUP(VENDAS!C3206,Bairros!$A$2:$B$90,2,0))))</f>
        <v/>
      </c>
      <c r="J3206" s="7" t="str">
        <f t="shared" si="201"/>
        <v/>
      </c>
      <c r="K3206" s="9">
        <f t="shared" ca="1" si="202"/>
        <v>45404.878290162036</v>
      </c>
      <c r="L3206" s="10">
        <f t="shared" ca="1" si="203"/>
        <v>45404.878290046297</v>
      </c>
    </row>
    <row r="3207" spans="6:12" x14ac:dyDescent="0.25">
      <c r="F3207" s="11" t="str">
        <f>IF(ISBLANK(D3207),"",(VLOOKUP(D3207,Cardápio!$A$2:$B$16,2,0))*E3207)</f>
        <v/>
      </c>
      <c r="H3207" s="7" t="str">
        <f t="shared" si="200"/>
        <v/>
      </c>
      <c r="I3207" s="7" t="str">
        <f>IF(AND(ISBLANK(D3207),ISBLANK(C3207)),"",((VLOOKUP(D3207,Cardápio!$A$2:$C$16,3,0))*E3207)+IF(B3207="iFood",F3207*0.27,(VLOOKUP(VENDAS!C3207,Bairros!$A$2:$B$90,2,0))))</f>
        <v/>
      </c>
      <c r="J3207" s="7" t="str">
        <f t="shared" si="201"/>
        <v/>
      </c>
      <c r="K3207" s="9">
        <f t="shared" ca="1" si="202"/>
        <v>45404.878290162036</v>
      </c>
      <c r="L3207" s="10">
        <f t="shared" ca="1" si="203"/>
        <v>45404.878290046297</v>
      </c>
    </row>
    <row r="3208" spans="6:12" x14ac:dyDescent="0.25">
      <c r="F3208" s="11" t="str">
        <f>IF(ISBLANK(D3208),"",(VLOOKUP(D3208,Cardápio!$A$2:$B$16,2,0))*E3208)</f>
        <v/>
      </c>
      <c r="H3208" s="7" t="str">
        <f t="shared" si="200"/>
        <v/>
      </c>
      <c r="I3208" s="7" t="str">
        <f>IF(AND(ISBLANK(D3208),ISBLANK(C3208)),"",((VLOOKUP(D3208,Cardápio!$A$2:$C$16,3,0))*E3208)+IF(B3208="iFood",F3208*0.27,(VLOOKUP(VENDAS!C3208,Bairros!$A$2:$B$90,2,0))))</f>
        <v/>
      </c>
      <c r="J3208" s="7" t="str">
        <f t="shared" si="201"/>
        <v/>
      </c>
      <c r="K3208" s="9">
        <f t="shared" ca="1" si="202"/>
        <v>45404.878290162036</v>
      </c>
      <c r="L3208" s="10">
        <f t="shared" ca="1" si="203"/>
        <v>45404.878290046297</v>
      </c>
    </row>
    <row r="3209" spans="6:12" x14ac:dyDescent="0.25">
      <c r="F3209" s="11" t="str">
        <f>IF(ISBLANK(D3209),"",(VLOOKUP(D3209,Cardápio!$A$2:$B$16,2,0))*E3209)</f>
        <v/>
      </c>
      <c r="H3209" s="7" t="str">
        <f t="shared" si="200"/>
        <v/>
      </c>
      <c r="I3209" s="7" t="str">
        <f>IF(AND(ISBLANK(D3209),ISBLANK(C3209)),"",((VLOOKUP(D3209,Cardápio!$A$2:$C$16,3,0))*E3209)+IF(B3209="iFood",F3209*0.27,(VLOOKUP(VENDAS!C3209,Bairros!$A$2:$B$90,2,0))))</f>
        <v/>
      </c>
      <c r="J3209" s="7" t="str">
        <f t="shared" si="201"/>
        <v/>
      </c>
      <c r="K3209" s="9">
        <f t="shared" ca="1" si="202"/>
        <v>45404.878290277775</v>
      </c>
      <c r="L3209" s="10">
        <f t="shared" ca="1" si="203"/>
        <v>45404.878290046297</v>
      </c>
    </row>
    <row r="3210" spans="6:12" x14ac:dyDescent="0.25">
      <c r="F3210" s="11" t="str">
        <f>IF(ISBLANK(D3210),"",(VLOOKUP(D3210,Cardápio!$A$2:$B$16,2,0))*E3210)</f>
        <v/>
      </c>
      <c r="H3210" s="7" t="str">
        <f t="shared" si="200"/>
        <v/>
      </c>
      <c r="I3210" s="7" t="str">
        <f>IF(AND(ISBLANK(D3210),ISBLANK(C3210)),"",((VLOOKUP(D3210,Cardápio!$A$2:$C$16,3,0))*E3210)+IF(B3210="iFood",F3210*0.27,(VLOOKUP(VENDAS!C3210,Bairros!$A$2:$B$90,2,0))))</f>
        <v/>
      </c>
      <c r="J3210" s="7" t="str">
        <f t="shared" si="201"/>
        <v/>
      </c>
      <c r="K3210" s="9">
        <f t="shared" ca="1" si="202"/>
        <v>45404.878290162036</v>
      </c>
      <c r="L3210" s="10">
        <f t="shared" ca="1" si="203"/>
        <v>45404.878290046297</v>
      </c>
    </row>
    <row r="3211" spans="6:12" x14ac:dyDescent="0.25">
      <c r="F3211" s="11" t="str">
        <f>IF(ISBLANK(D3211),"",(VLOOKUP(D3211,Cardápio!$A$2:$B$16,2,0))*E3211)</f>
        <v/>
      </c>
      <c r="H3211" s="7" t="str">
        <f t="shared" si="200"/>
        <v/>
      </c>
      <c r="I3211" s="7" t="str">
        <f>IF(AND(ISBLANK(D3211),ISBLANK(C3211)),"",((VLOOKUP(D3211,Cardápio!$A$2:$C$16,3,0))*E3211)+IF(B3211="iFood",F3211*0.27,(VLOOKUP(VENDAS!C3211,Bairros!$A$2:$B$90,2,0))))</f>
        <v/>
      </c>
      <c r="J3211" s="7" t="str">
        <f t="shared" si="201"/>
        <v/>
      </c>
      <c r="K3211" s="9">
        <f t="shared" ca="1" si="202"/>
        <v>45404.878290162036</v>
      </c>
      <c r="L3211" s="10">
        <f t="shared" ca="1" si="203"/>
        <v>45404.878290046297</v>
      </c>
    </row>
    <row r="3212" spans="6:12" x14ac:dyDescent="0.25">
      <c r="F3212" s="11" t="str">
        <f>IF(ISBLANK(D3212),"",(VLOOKUP(D3212,Cardápio!$A$2:$B$16,2,0))*E3212)</f>
        <v/>
      </c>
      <c r="H3212" s="7" t="str">
        <f t="shared" si="200"/>
        <v/>
      </c>
      <c r="I3212" s="7" t="str">
        <f>IF(AND(ISBLANK(D3212),ISBLANK(C3212)),"",((VLOOKUP(D3212,Cardápio!$A$2:$C$16,3,0))*E3212)+IF(B3212="iFood",F3212*0.27,(VLOOKUP(VENDAS!C3212,Bairros!$A$2:$B$90,2,0))))</f>
        <v/>
      </c>
      <c r="J3212" s="7" t="str">
        <f t="shared" si="201"/>
        <v/>
      </c>
      <c r="K3212" s="9">
        <f t="shared" ca="1" si="202"/>
        <v>45404.878290162036</v>
      </c>
      <c r="L3212" s="10">
        <f t="shared" ca="1" si="203"/>
        <v>45404.878290046297</v>
      </c>
    </row>
    <row r="3213" spans="6:12" x14ac:dyDescent="0.25">
      <c r="F3213" s="11" t="str">
        <f>IF(ISBLANK(D3213),"",(VLOOKUP(D3213,Cardápio!$A$2:$B$16,2,0))*E3213)</f>
        <v/>
      </c>
      <c r="H3213" s="7" t="str">
        <f t="shared" si="200"/>
        <v/>
      </c>
      <c r="I3213" s="7" t="str">
        <f>IF(AND(ISBLANK(D3213),ISBLANK(C3213)),"",((VLOOKUP(D3213,Cardápio!$A$2:$C$16,3,0))*E3213)+IF(B3213="iFood",F3213*0.27,(VLOOKUP(VENDAS!C3213,Bairros!$A$2:$B$90,2,0))))</f>
        <v/>
      </c>
      <c r="J3213" s="7" t="str">
        <f t="shared" si="201"/>
        <v/>
      </c>
      <c r="K3213" s="9">
        <f t="shared" ca="1" si="202"/>
        <v>45404.878290277775</v>
      </c>
      <c r="L3213" s="10">
        <f t="shared" ca="1" si="203"/>
        <v>45404.878290046297</v>
      </c>
    </row>
    <row r="3214" spans="6:12" x14ac:dyDescent="0.25">
      <c r="F3214" s="11" t="str">
        <f>IF(ISBLANK(D3214),"",(VLOOKUP(D3214,Cardápio!$A$2:$B$16,2,0))*E3214)</f>
        <v/>
      </c>
      <c r="H3214" s="7" t="str">
        <f t="shared" si="200"/>
        <v/>
      </c>
      <c r="I3214" s="7" t="str">
        <f>IF(AND(ISBLANK(D3214),ISBLANK(C3214)),"",((VLOOKUP(D3214,Cardápio!$A$2:$C$16,3,0))*E3214)+IF(B3214="iFood",F3214*0.27,(VLOOKUP(VENDAS!C3214,Bairros!$A$2:$B$90,2,0))))</f>
        <v/>
      </c>
      <c r="J3214" s="7" t="str">
        <f t="shared" si="201"/>
        <v/>
      </c>
      <c r="K3214" s="9">
        <f t="shared" ca="1" si="202"/>
        <v>45404.878290162036</v>
      </c>
      <c r="L3214" s="10">
        <f t="shared" ca="1" si="203"/>
        <v>45404.878290046297</v>
      </c>
    </row>
    <row r="3215" spans="6:12" x14ac:dyDescent="0.25">
      <c r="F3215" s="11" t="str">
        <f>IF(ISBLANK(D3215),"",(VLOOKUP(D3215,Cardápio!$A$2:$B$16,2,0))*E3215)</f>
        <v/>
      </c>
      <c r="H3215" s="7" t="str">
        <f t="shared" si="200"/>
        <v/>
      </c>
      <c r="I3215" s="7" t="str">
        <f>IF(AND(ISBLANK(D3215),ISBLANK(C3215)),"",((VLOOKUP(D3215,Cardápio!$A$2:$C$16,3,0))*E3215)+IF(B3215="iFood",F3215*0.27,(VLOOKUP(VENDAS!C3215,Bairros!$A$2:$B$90,2,0))))</f>
        <v/>
      </c>
      <c r="J3215" s="7" t="str">
        <f t="shared" si="201"/>
        <v/>
      </c>
      <c r="K3215" s="9">
        <f t="shared" ca="1" si="202"/>
        <v>45404.878290162036</v>
      </c>
      <c r="L3215" s="10">
        <f t="shared" ca="1" si="203"/>
        <v>45404.878290046297</v>
      </c>
    </row>
    <row r="3216" spans="6:12" x14ac:dyDescent="0.25">
      <c r="F3216" s="11" t="str">
        <f>IF(ISBLANK(D3216),"",(VLOOKUP(D3216,Cardápio!$A$2:$B$16,2,0))*E3216)</f>
        <v/>
      </c>
      <c r="H3216" s="7" t="str">
        <f t="shared" si="200"/>
        <v/>
      </c>
      <c r="I3216" s="7" t="str">
        <f>IF(AND(ISBLANK(D3216),ISBLANK(C3216)),"",((VLOOKUP(D3216,Cardápio!$A$2:$C$16,3,0))*E3216)+IF(B3216="iFood",F3216*0.27,(VLOOKUP(VENDAS!C3216,Bairros!$A$2:$B$90,2,0))))</f>
        <v/>
      </c>
      <c r="J3216" s="7" t="str">
        <f t="shared" si="201"/>
        <v/>
      </c>
      <c r="K3216" s="9">
        <f t="shared" ca="1" si="202"/>
        <v>45404.878290162036</v>
      </c>
      <c r="L3216" s="10">
        <f t="shared" ca="1" si="203"/>
        <v>45404.878290046297</v>
      </c>
    </row>
    <row r="3217" spans="6:12" x14ac:dyDescent="0.25">
      <c r="F3217" s="11" t="str">
        <f>IF(ISBLANK(D3217),"",(VLOOKUP(D3217,Cardápio!$A$2:$B$16,2,0))*E3217)</f>
        <v/>
      </c>
      <c r="H3217" s="7" t="str">
        <f t="shared" si="200"/>
        <v/>
      </c>
      <c r="I3217" s="7" t="str">
        <f>IF(AND(ISBLANK(D3217),ISBLANK(C3217)),"",((VLOOKUP(D3217,Cardápio!$A$2:$C$16,3,0))*E3217)+IF(B3217="iFood",F3217*0.27,(VLOOKUP(VENDAS!C3217,Bairros!$A$2:$B$90,2,0))))</f>
        <v/>
      </c>
      <c r="J3217" s="7" t="str">
        <f t="shared" si="201"/>
        <v/>
      </c>
      <c r="K3217" s="9">
        <f t="shared" ca="1" si="202"/>
        <v>45404.878290277775</v>
      </c>
      <c r="L3217" s="10">
        <f t="shared" ca="1" si="203"/>
        <v>45404.878290046297</v>
      </c>
    </row>
    <row r="3218" spans="6:12" x14ac:dyDescent="0.25">
      <c r="F3218" s="11" t="str">
        <f>IF(ISBLANK(D3218),"",(VLOOKUP(D3218,Cardápio!$A$2:$B$16,2,0))*E3218)</f>
        <v/>
      </c>
      <c r="H3218" s="7" t="str">
        <f t="shared" si="200"/>
        <v/>
      </c>
      <c r="I3218" s="7" t="str">
        <f>IF(AND(ISBLANK(D3218),ISBLANK(C3218)),"",((VLOOKUP(D3218,Cardápio!$A$2:$C$16,3,0))*E3218)+IF(B3218="iFood",F3218*0.27,(VLOOKUP(VENDAS!C3218,Bairros!$A$2:$B$90,2,0))))</f>
        <v/>
      </c>
      <c r="J3218" s="7" t="str">
        <f t="shared" si="201"/>
        <v/>
      </c>
      <c r="K3218" s="9">
        <f t="shared" ca="1" si="202"/>
        <v>45404.878290162036</v>
      </c>
      <c r="L3218" s="10">
        <f t="shared" ca="1" si="203"/>
        <v>45404.878290046297</v>
      </c>
    </row>
    <row r="3219" spans="6:12" x14ac:dyDescent="0.25">
      <c r="F3219" s="11" t="str">
        <f>IF(ISBLANK(D3219),"",(VLOOKUP(D3219,Cardápio!$A$2:$B$16,2,0))*E3219)</f>
        <v/>
      </c>
      <c r="H3219" s="7" t="str">
        <f t="shared" si="200"/>
        <v/>
      </c>
      <c r="I3219" s="7" t="str">
        <f>IF(AND(ISBLANK(D3219),ISBLANK(C3219)),"",((VLOOKUP(D3219,Cardápio!$A$2:$C$16,3,0))*E3219)+IF(B3219="iFood",F3219*0.27,(VLOOKUP(VENDAS!C3219,Bairros!$A$2:$B$90,2,0))))</f>
        <v/>
      </c>
      <c r="J3219" s="7" t="str">
        <f t="shared" si="201"/>
        <v/>
      </c>
      <c r="K3219" s="9">
        <f t="shared" ca="1" si="202"/>
        <v>45404.878290162036</v>
      </c>
      <c r="L3219" s="10">
        <f t="shared" ca="1" si="203"/>
        <v>45404.878290046297</v>
      </c>
    </row>
    <row r="3220" spans="6:12" x14ac:dyDescent="0.25">
      <c r="F3220" s="11" t="str">
        <f>IF(ISBLANK(D3220),"",(VLOOKUP(D3220,Cardápio!$A$2:$B$16,2,0))*E3220)</f>
        <v/>
      </c>
      <c r="H3220" s="7" t="str">
        <f t="shared" si="200"/>
        <v/>
      </c>
      <c r="I3220" s="7" t="str">
        <f>IF(AND(ISBLANK(D3220),ISBLANK(C3220)),"",((VLOOKUP(D3220,Cardápio!$A$2:$C$16,3,0))*E3220)+IF(B3220="iFood",F3220*0.27,(VLOOKUP(VENDAS!C3220,Bairros!$A$2:$B$90,2,0))))</f>
        <v/>
      </c>
      <c r="J3220" s="7" t="str">
        <f t="shared" si="201"/>
        <v/>
      </c>
      <c r="K3220" s="9">
        <f t="shared" ca="1" si="202"/>
        <v>45404.878290162036</v>
      </c>
      <c r="L3220" s="10">
        <f t="shared" ca="1" si="203"/>
        <v>45404.878290046297</v>
      </c>
    </row>
    <row r="3221" spans="6:12" x14ac:dyDescent="0.25">
      <c r="F3221" s="11" t="str">
        <f>IF(ISBLANK(D3221),"",(VLOOKUP(D3221,Cardápio!$A$2:$B$16,2,0))*E3221)</f>
        <v/>
      </c>
      <c r="H3221" s="7" t="str">
        <f t="shared" si="200"/>
        <v/>
      </c>
      <c r="I3221" s="7" t="str">
        <f>IF(AND(ISBLANK(D3221),ISBLANK(C3221)),"",((VLOOKUP(D3221,Cardápio!$A$2:$C$16,3,0))*E3221)+IF(B3221="iFood",F3221*0.27,(VLOOKUP(VENDAS!C3221,Bairros!$A$2:$B$90,2,0))))</f>
        <v/>
      </c>
      <c r="J3221" s="7" t="str">
        <f t="shared" si="201"/>
        <v/>
      </c>
      <c r="K3221" s="9">
        <f t="shared" ca="1" si="202"/>
        <v>45404.878290277775</v>
      </c>
      <c r="L3221" s="10">
        <f t="shared" ca="1" si="203"/>
        <v>45404.878290046297</v>
      </c>
    </row>
    <row r="3222" spans="6:12" x14ac:dyDescent="0.25">
      <c r="F3222" s="11" t="str">
        <f>IF(ISBLANK(D3222),"",(VLOOKUP(D3222,Cardápio!$A$2:$B$16,2,0))*E3222)</f>
        <v/>
      </c>
      <c r="H3222" s="7" t="str">
        <f t="shared" si="200"/>
        <v/>
      </c>
      <c r="I3222" s="7" t="str">
        <f>IF(AND(ISBLANK(D3222),ISBLANK(C3222)),"",((VLOOKUP(D3222,Cardápio!$A$2:$C$16,3,0))*E3222)+IF(B3222="iFood",F3222*0.27,(VLOOKUP(VENDAS!C3222,Bairros!$A$2:$B$90,2,0))))</f>
        <v/>
      </c>
      <c r="J3222" s="7" t="str">
        <f t="shared" si="201"/>
        <v/>
      </c>
      <c r="K3222" s="9">
        <f t="shared" ca="1" si="202"/>
        <v>45404.878290162036</v>
      </c>
      <c r="L3222" s="10">
        <f t="shared" ca="1" si="203"/>
        <v>45404.878290046297</v>
      </c>
    </row>
    <row r="3223" spans="6:12" x14ac:dyDescent="0.25">
      <c r="F3223" s="11" t="str">
        <f>IF(ISBLANK(D3223),"",(VLOOKUP(D3223,Cardápio!$A$2:$B$16,2,0))*E3223)</f>
        <v/>
      </c>
      <c r="H3223" s="7" t="str">
        <f t="shared" si="200"/>
        <v/>
      </c>
      <c r="I3223" s="7" t="str">
        <f>IF(AND(ISBLANK(D3223),ISBLANK(C3223)),"",((VLOOKUP(D3223,Cardápio!$A$2:$C$16,3,0))*E3223)+IF(B3223="iFood",F3223*0.27,(VLOOKUP(VENDAS!C3223,Bairros!$A$2:$B$90,2,0))))</f>
        <v/>
      </c>
      <c r="J3223" s="7" t="str">
        <f t="shared" si="201"/>
        <v/>
      </c>
      <c r="K3223" s="9">
        <f t="shared" ca="1" si="202"/>
        <v>45404.878290162036</v>
      </c>
      <c r="L3223" s="10">
        <f t="shared" ca="1" si="203"/>
        <v>45404.878290046297</v>
      </c>
    </row>
    <row r="3224" spans="6:12" x14ac:dyDescent="0.25">
      <c r="F3224" s="11" t="str">
        <f>IF(ISBLANK(D3224),"",(VLOOKUP(D3224,Cardápio!$A$2:$B$16,2,0))*E3224)</f>
        <v/>
      </c>
      <c r="H3224" s="7" t="str">
        <f t="shared" si="200"/>
        <v/>
      </c>
      <c r="I3224" s="7" t="str">
        <f>IF(AND(ISBLANK(D3224),ISBLANK(C3224)),"",((VLOOKUP(D3224,Cardápio!$A$2:$C$16,3,0))*E3224)+IF(B3224="iFood",F3224*0.27,(VLOOKUP(VENDAS!C3224,Bairros!$A$2:$B$90,2,0))))</f>
        <v/>
      </c>
      <c r="J3224" s="7" t="str">
        <f t="shared" si="201"/>
        <v/>
      </c>
      <c r="K3224" s="9">
        <f t="shared" ca="1" si="202"/>
        <v>45404.878290162036</v>
      </c>
      <c r="L3224" s="10">
        <f t="shared" ca="1" si="203"/>
        <v>45404.878290046297</v>
      </c>
    </row>
    <row r="3225" spans="6:12" x14ac:dyDescent="0.25">
      <c r="F3225" s="11" t="str">
        <f>IF(ISBLANK(D3225),"",(VLOOKUP(D3225,Cardápio!$A$2:$B$16,2,0))*E3225)</f>
        <v/>
      </c>
      <c r="H3225" s="7" t="str">
        <f t="shared" si="200"/>
        <v/>
      </c>
      <c r="I3225" s="7" t="str">
        <f>IF(AND(ISBLANK(D3225),ISBLANK(C3225)),"",((VLOOKUP(D3225,Cardápio!$A$2:$C$16,3,0))*E3225)+IF(B3225="iFood",F3225*0.27,(VLOOKUP(VENDAS!C3225,Bairros!$A$2:$B$90,2,0))))</f>
        <v/>
      </c>
      <c r="J3225" s="7" t="str">
        <f t="shared" si="201"/>
        <v/>
      </c>
      <c r="K3225" s="9">
        <f t="shared" ca="1" si="202"/>
        <v>45404.878290277775</v>
      </c>
      <c r="L3225" s="10">
        <f t="shared" ca="1" si="203"/>
        <v>45404.878290046297</v>
      </c>
    </row>
    <row r="3226" spans="6:12" x14ac:dyDescent="0.25">
      <c r="F3226" s="11" t="str">
        <f>IF(ISBLANK(D3226),"",(VLOOKUP(D3226,Cardápio!$A$2:$B$16,2,0))*E3226)</f>
        <v/>
      </c>
      <c r="H3226" s="7" t="str">
        <f t="shared" si="200"/>
        <v/>
      </c>
      <c r="I3226" s="7" t="str">
        <f>IF(AND(ISBLANK(D3226),ISBLANK(C3226)),"",((VLOOKUP(D3226,Cardápio!$A$2:$C$16,3,0))*E3226)+IF(B3226="iFood",F3226*0.27,(VLOOKUP(VENDAS!C3226,Bairros!$A$2:$B$90,2,0))))</f>
        <v/>
      </c>
      <c r="J3226" s="7" t="str">
        <f t="shared" si="201"/>
        <v/>
      </c>
      <c r="K3226" s="9">
        <f t="shared" ca="1" si="202"/>
        <v>45404.878290162036</v>
      </c>
      <c r="L3226" s="10">
        <f t="shared" ca="1" si="203"/>
        <v>45404.878290046297</v>
      </c>
    </row>
    <row r="3227" spans="6:12" x14ac:dyDescent="0.25">
      <c r="F3227" s="11" t="str">
        <f>IF(ISBLANK(D3227),"",(VLOOKUP(D3227,Cardápio!$A$2:$B$16,2,0))*E3227)</f>
        <v/>
      </c>
      <c r="H3227" s="7" t="str">
        <f t="shared" si="200"/>
        <v/>
      </c>
      <c r="I3227" s="7" t="str">
        <f>IF(AND(ISBLANK(D3227),ISBLANK(C3227)),"",((VLOOKUP(D3227,Cardápio!$A$2:$C$16,3,0))*E3227)+IF(B3227="iFood",F3227*0.27,(VLOOKUP(VENDAS!C3227,Bairros!$A$2:$B$90,2,0))))</f>
        <v/>
      </c>
      <c r="J3227" s="7" t="str">
        <f t="shared" si="201"/>
        <v/>
      </c>
      <c r="K3227" s="9">
        <f t="shared" ca="1" si="202"/>
        <v>45404.878290162036</v>
      </c>
      <c r="L3227" s="10">
        <f t="shared" ca="1" si="203"/>
        <v>45404.878290046297</v>
      </c>
    </row>
    <row r="3228" spans="6:12" x14ac:dyDescent="0.25">
      <c r="F3228" s="11" t="str">
        <f>IF(ISBLANK(D3228),"",(VLOOKUP(D3228,Cardápio!$A$2:$B$16,2,0))*E3228)</f>
        <v/>
      </c>
      <c r="H3228" s="7" t="str">
        <f t="shared" si="200"/>
        <v/>
      </c>
      <c r="I3228" s="7" t="str">
        <f>IF(AND(ISBLANK(D3228),ISBLANK(C3228)),"",((VLOOKUP(D3228,Cardápio!$A$2:$C$16,3,0))*E3228)+IF(B3228="iFood",F3228*0.27,(VLOOKUP(VENDAS!C3228,Bairros!$A$2:$B$90,2,0))))</f>
        <v/>
      </c>
      <c r="J3228" s="7" t="str">
        <f t="shared" si="201"/>
        <v/>
      </c>
      <c r="K3228" s="9">
        <f t="shared" ca="1" si="202"/>
        <v>45404.878290162036</v>
      </c>
      <c r="L3228" s="10">
        <f t="shared" ca="1" si="203"/>
        <v>45404.878290046297</v>
      </c>
    </row>
    <row r="3229" spans="6:12" x14ac:dyDescent="0.25">
      <c r="F3229" s="11" t="str">
        <f>IF(ISBLANK(D3229),"",(VLOOKUP(D3229,Cardápio!$A$2:$B$16,2,0))*E3229)</f>
        <v/>
      </c>
      <c r="H3229" s="7" t="str">
        <f t="shared" si="200"/>
        <v/>
      </c>
      <c r="I3229" s="7" t="str">
        <f>IF(AND(ISBLANK(D3229),ISBLANK(C3229)),"",((VLOOKUP(D3229,Cardápio!$A$2:$C$16,3,0))*E3229)+IF(B3229="iFood",F3229*0.27,(VLOOKUP(VENDAS!C3229,Bairros!$A$2:$B$90,2,0))))</f>
        <v/>
      </c>
      <c r="J3229" s="7" t="str">
        <f t="shared" si="201"/>
        <v/>
      </c>
      <c r="K3229" s="9">
        <f t="shared" ca="1" si="202"/>
        <v>45404.878290277775</v>
      </c>
      <c r="L3229" s="10">
        <f t="shared" ca="1" si="203"/>
        <v>45404.878290046297</v>
      </c>
    </row>
    <row r="3230" spans="6:12" x14ac:dyDescent="0.25">
      <c r="F3230" s="11" t="str">
        <f>IF(ISBLANK(D3230),"",(VLOOKUP(D3230,Cardápio!$A$2:$B$16,2,0))*E3230)</f>
        <v/>
      </c>
      <c r="H3230" s="7" t="str">
        <f t="shared" si="200"/>
        <v/>
      </c>
      <c r="I3230" s="7" t="str">
        <f>IF(AND(ISBLANK(D3230),ISBLANK(C3230)),"",((VLOOKUP(D3230,Cardápio!$A$2:$C$16,3,0))*E3230)+IF(B3230="iFood",F3230*0.27,(VLOOKUP(VENDAS!C3230,Bairros!$A$2:$B$90,2,0))))</f>
        <v/>
      </c>
      <c r="J3230" s="7" t="str">
        <f t="shared" si="201"/>
        <v/>
      </c>
      <c r="K3230" s="9">
        <f t="shared" ca="1" si="202"/>
        <v>45404.878290162036</v>
      </c>
      <c r="L3230" s="10">
        <f t="shared" ca="1" si="203"/>
        <v>45404.878290046297</v>
      </c>
    </row>
    <row r="3231" spans="6:12" x14ac:dyDescent="0.25">
      <c r="F3231" s="11" t="str">
        <f>IF(ISBLANK(D3231),"",(VLOOKUP(D3231,Cardápio!$A$2:$B$16,2,0))*E3231)</f>
        <v/>
      </c>
      <c r="H3231" s="7" t="str">
        <f t="shared" si="200"/>
        <v/>
      </c>
      <c r="I3231" s="7" t="str">
        <f>IF(AND(ISBLANK(D3231),ISBLANK(C3231)),"",((VLOOKUP(D3231,Cardápio!$A$2:$C$16,3,0))*E3231)+IF(B3231="iFood",F3231*0.27,(VLOOKUP(VENDAS!C3231,Bairros!$A$2:$B$90,2,0))))</f>
        <v/>
      </c>
      <c r="J3231" s="7" t="str">
        <f t="shared" si="201"/>
        <v/>
      </c>
      <c r="K3231" s="9">
        <f t="shared" ca="1" si="202"/>
        <v>45404.878290162036</v>
      </c>
      <c r="L3231" s="10">
        <f t="shared" ca="1" si="203"/>
        <v>45404.878290046297</v>
      </c>
    </row>
    <row r="3232" spans="6:12" x14ac:dyDescent="0.25">
      <c r="F3232" s="11" t="str">
        <f>IF(ISBLANK(D3232),"",(VLOOKUP(D3232,Cardápio!$A$2:$B$16,2,0))*E3232)</f>
        <v/>
      </c>
      <c r="H3232" s="7" t="str">
        <f t="shared" si="200"/>
        <v/>
      </c>
      <c r="I3232" s="7" t="str">
        <f>IF(AND(ISBLANK(D3232),ISBLANK(C3232)),"",((VLOOKUP(D3232,Cardápio!$A$2:$C$16,3,0))*E3232)+IF(B3232="iFood",F3232*0.27,(VLOOKUP(VENDAS!C3232,Bairros!$A$2:$B$90,2,0))))</f>
        <v/>
      </c>
      <c r="J3232" s="7" t="str">
        <f t="shared" si="201"/>
        <v/>
      </c>
      <c r="K3232" s="9">
        <f t="shared" ca="1" si="202"/>
        <v>45404.878290162036</v>
      </c>
      <c r="L3232" s="10">
        <f t="shared" ca="1" si="203"/>
        <v>45404.878290046297</v>
      </c>
    </row>
    <row r="3233" spans="6:12" x14ac:dyDescent="0.25">
      <c r="F3233" s="11" t="str">
        <f>IF(ISBLANK(D3233),"",(VLOOKUP(D3233,Cardápio!$A$2:$B$16,2,0))*E3233)</f>
        <v/>
      </c>
      <c r="H3233" s="7" t="str">
        <f t="shared" si="200"/>
        <v/>
      </c>
      <c r="I3233" s="7" t="str">
        <f>IF(AND(ISBLANK(D3233),ISBLANK(C3233)),"",((VLOOKUP(D3233,Cardápio!$A$2:$C$16,3,0))*E3233)+IF(B3233="iFood",F3233*0.27,(VLOOKUP(VENDAS!C3233,Bairros!$A$2:$B$90,2,0))))</f>
        <v/>
      </c>
      <c r="J3233" s="7" t="str">
        <f t="shared" si="201"/>
        <v/>
      </c>
      <c r="K3233" s="9">
        <f t="shared" ca="1" si="202"/>
        <v>45404.878290277775</v>
      </c>
      <c r="L3233" s="10">
        <f t="shared" ca="1" si="203"/>
        <v>45404.878290046297</v>
      </c>
    </row>
    <row r="3234" spans="6:12" x14ac:dyDescent="0.25">
      <c r="F3234" s="11" t="str">
        <f>IF(ISBLANK(D3234),"",(VLOOKUP(D3234,Cardápio!$A$2:$B$16,2,0))*E3234)</f>
        <v/>
      </c>
      <c r="H3234" s="7" t="str">
        <f t="shared" si="200"/>
        <v/>
      </c>
      <c r="I3234" s="7" t="str">
        <f>IF(AND(ISBLANK(D3234),ISBLANK(C3234)),"",((VLOOKUP(D3234,Cardápio!$A$2:$C$16,3,0))*E3234)+IF(B3234="iFood",F3234*0.27,(VLOOKUP(VENDAS!C3234,Bairros!$A$2:$B$90,2,0))))</f>
        <v/>
      </c>
      <c r="J3234" s="7" t="str">
        <f t="shared" si="201"/>
        <v/>
      </c>
      <c r="K3234" s="9">
        <f t="shared" ca="1" si="202"/>
        <v>45404.878290162036</v>
      </c>
      <c r="L3234" s="10">
        <f t="shared" ca="1" si="203"/>
        <v>45404.878290046297</v>
      </c>
    </row>
    <row r="3235" spans="6:12" x14ac:dyDescent="0.25">
      <c r="F3235" s="11" t="str">
        <f>IF(ISBLANK(D3235),"",(VLOOKUP(D3235,Cardápio!$A$2:$B$16,2,0))*E3235)</f>
        <v/>
      </c>
      <c r="H3235" s="7" t="str">
        <f t="shared" si="200"/>
        <v/>
      </c>
      <c r="I3235" s="7" t="str">
        <f>IF(AND(ISBLANK(D3235),ISBLANK(C3235)),"",((VLOOKUP(D3235,Cardápio!$A$2:$C$16,3,0))*E3235)+IF(B3235="iFood",F3235*0.27,(VLOOKUP(VENDAS!C3235,Bairros!$A$2:$B$90,2,0))))</f>
        <v/>
      </c>
      <c r="J3235" s="7" t="str">
        <f t="shared" si="201"/>
        <v/>
      </c>
      <c r="K3235" s="9">
        <f t="shared" ca="1" si="202"/>
        <v>45404.878290162036</v>
      </c>
      <c r="L3235" s="10">
        <f t="shared" ca="1" si="203"/>
        <v>45404.878290046297</v>
      </c>
    </row>
    <row r="3236" spans="6:12" x14ac:dyDescent="0.25">
      <c r="F3236" s="11" t="str">
        <f>IF(ISBLANK(D3236),"",(VLOOKUP(D3236,Cardápio!$A$2:$B$16,2,0))*E3236)</f>
        <v/>
      </c>
      <c r="H3236" s="7" t="str">
        <f t="shared" si="200"/>
        <v/>
      </c>
      <c r="I3236" s="7" t="str">
        <f>IF(AND(ISBLANK(D3236),ISBLANK(C3236)),"",((VLOOKUP(D3236,Cardápio!$A$2:$C$16,3,0))*E3236)+IF(B3236="iFood",F3236*0.27,(VLOOKUP(VENDAS!C3236,Bairros!$A$2:$B$90,2,0))))</f>
        <v/>
      </c>
      <c r="J3236" s="7" t="str">
        <f t="shared" si="201"/>
        <v/>
      </c>
      <c r="K3236" s="9">
        <f t="shared" ca="1" si="202"/>
        <v>45404.878290162036</v>
      </c>
      <c r="L3236" s="10">
        <f t="shared" ca="1" si="203"/>
        <v>45404.878290046297</v>
      </c>
    </row>
    <row r="3237" spans="6:12" x14ac:dyDescent="0.25">
      <c r="F3237" s="11" t="str">
        <f>IF(ISBLANK(D3237),"",(VLOOKUP(D3237,Cardápio!$A$2:$B$16,2,0))*E3237)</f>
        <v/>
      </c>
      <c r="H3237" s="7" t="str">
        <f t="shared" si="200"/>
        <v/>
      </c>
      <c r="I3237" s="7" t="str">
        <f>IF(AND(ISBLANK(D3237),ISBLANK(C3237)),"",((VLOOKUP(D3237,Cardápio!$A$2:$C$16,3,0))*E3237)+IF(B3237="iFood",F3237*0.27,(VLOOKUP(VENDAS!C3237,Bairros!$A$2:$B$90,2,0))))</f>
        <v/>
      </c>
      <c r="J3237" s="7" t="str">
        <f t="shared" si="201"/>
        <v/>
      </c>
      <c r="K3237" s="9">
        <f t="shared" ca="1" si="202"/>
        <v>45404.878290277775</v>
      </c>
      <c r="L3237" s="10">
        <f t="shared" ca="1" si="203"/>
        <v>45404.878290046297</v>
      </c>
    </row>
    <row r="3238" spans="6:12" x14ac:dyDescent="0.25">
      <c r="F3238" s="11" t="str">
        <f>IF(ISBLANK(D3238),"",(VLOOKUP(D3238,Cardápio!$A$2:$B$16,2,0))*E3238)</f>
        <v/>
      </c>
      <c r="H3238" s="7" t="str">
        <f t="shared" si="200"/>
        <v/>
      </c>
      <c r="I3238" s="7" t="str">
        <f>IF(AND(ISBLANK(D3238),ISBLANK(C3238)),"",((VLOOKUP(D3238,Cardápio!$A$2:$C$16,3,0))*E3238)+IF(B3238="iFood",F3238*0.27,(VLOOKUP(VENDAS!C3238,Bairros!$A$2:$B$90,2,0))))</f>
        <v/>
      </c>
      <c r="J3238" s="7" t="str">
        <f t="shared" si="201"/>
        <v/>
      </c>
      <c r="K3238" s="9">
        <f t="shared" ca="1" si="202"/>
        <v>45404.878290162036</v>
      </c>
      <c r="L3238" s="10">
        <f t="shared" ca="1" si="203"/>
        <v>45404.878290046297</v>
      </c>
    </row>
    <row r="3239" spans="6:12" x14ac:dyDescent="0.25">
      <c r="F3239" s="11" t="str">
        <f>IF(ISBLANK(D3239),"",(VLOOKUP(D3239,Cardápio!$A$2:$B$16,2,0))*E3239)</f>
        <v/>
      </c>
      <c r="H3239" s="7" t="str">
        <f t="shared" si="200"/>
        <v/>
      </c>
      <c r="I3239" s="7" t="str">
        <f>IF(AND(ISBLANK(D3239),ISBLANK(C3239)),"",((VLOOKUP(D3239,Cardápio!$A$2:$C$16,3,0))*E3239)+IF(B3239="iFood",F3239*0.27,(VLOOKUP(VENDAS!C3239,Bairros!$A$2:$B$90,2,0))))</f>
        <v/>
      </c>
      <c r="J3239" s="7" t="str">
        <f t="shared" si="201"/>
        <v/>
      </c>
      <c r="K3239" s="9">
        <f t="shared" ca="1" si="202"/>
        <v>45404.878290162036</v>
      </c>
      <c r="L3239" s="10">
        <f t="shared" ca="1" si="203"/>
        <v>45404.878290046297</v>
      </c>
    </row>
    <row r="3240" spans="6:12" x14ac:dyDescent="0.25">
      <c r="F3240" s="11" t="str">
        <f>IF(ISBLANK(D3240),"",(VLOOKUP(D3240,Cardápio!$A$2:$B$16,2,0))*E3240)</f>
        <v/>
      </c>
      <c r="H3240" s="7" t="str">
        <f t="shared" si="200"/>
        <v/>
      </c>
      <c r="I3240" s="7" t="str">
        <f>IF(AND(ISBLANK(D3240),ISBLANK(C3240)),"",((VLOOKUP(D3240,Cardápio!$A$2:$C$16,3,0))*E3240)+IF(B3240="iFood",F3240*0.27,(VLOOKUP(VENDAS!C3240,Bairros!$A$2:$B$90,2,0))))</f>
        <v/>
      </c>
      <c r="J3240" s="7" t="str">
        <f t="shared" si="201"/>
        <v/>
      </c>
      <c r="K3240" s="9">
        <f t="shared" ca="1" si="202"/>
        <v>45404.878290162036</v>
      </c>
      <c r="L3240" s="10">
        <f t="shared" ca="1" si="203"/>
        <v>45404.878290046297</v>
      </c>
    </row>
    <row r="3241" spans="6:12" x14ac:dyDescent="0.25">
      <c r="F3241" s="11" t="str">
        <f>IF(ISBLANK(D3241),"",(VLOOKUP(D3241,Cardápio!$A$2:$B$16,2,0))*E3241)</f>
        <v/>
      </c>
      <c r="H3241" s="7" t="str">
        <f t="shared" si="200"/>
        <v/>
      </c>
      <c r="I3241" s="7" t="str">
        <f>IF(AND(ISBLANK(D3241),ISBLANK(C3241)),"",((VLOOKUP(D3241,Cardápio!$A$2:$C$16,3,0))*E3241)+IF(B3241="iFood",F3241*0.27,(VLOOKUP(VENDAS!C3241,Bairros!$A$2:$B$90,2,0))))</f>
        <v/>
      </c>
      <c r="J3241" s="7" t="str">
        <f t="shared" si="201"/>
        <v/>
      </c>
      <c r="K3241" s="9">
        <f t="shared" ca="1" si="202"/>
        <v>45404.878290277775</v>
      </c>
      <c r="L3241" s="10">
        <f t="shared" ca="1" si="203"/>
        <v>45404.878290046297</v>
      </c>
    </row>
    <row r="3242" spans="6:12" x14ac:dyDescent="0.25">
      <c r="F3242" s="11" t="str">
        <f>IF(ISBLANK(D3242),"",(VLOOKUP(D3242,Cardápio!$A$2:$B$16,2,0))*E3242)</f>
        <v/>
      </c>
      <c r="H3242" s="7" t="str">
        <f t="shared" si="200"/>
        <v/>
      </c>
      <c r="I3242" s="7" t="str">
        <f>IF(AND(ISBLANK(D3242),ISBLANK(C3242)),"",((VLOOKUP(D3242,Cardápio!$A$2:$C$16,3,0))*E3242)+IF(B3242="iFood",F3242*0.27,(VLOOKUP(VENDAS!C3242,Bairros!$A$2:$B$90,2,0))))</f>
        <v/>
      </c>
      <c r="J3242" s="7" t="str">
        <f t="shared" si="201"/>
        <v/>
      </c>
      <c r="K3242" s="9">
        <f t="shared" ca="1" si="202"/>
        <v>45404.878290162036</v>
      </c>
      <c r="L3242" s="10">
        <f t="shared" ca="1" si="203"/>
        <v>45404.878290046297</v>
      </c>
    </row>
    <row r="3243" spans="6:12" x14ac:dyDescent="0.25">
      <c r="F3243" s="11" t="str">
        <f>IF(ISBLANK(D3243),"",(VLOOKUP(D3243,Cardápio!$A$2:$B$16,2,0))*E3243)</f>
        <v/>
      </c>
      <c r="H3243" s="7" t="str">
        <f t="shared" si="200"/>
        <v/>
      </c>
      <c r="I3243" s="7" t="str">
        <f>IF(AND(ISBLANK(D3243),ISBLANK(C3243)),"",((VLOOKUP(D3243,Cardápio!$A$2:$C$16,3,0))*E3243)+IF(B3243="iFood",F3243*0.27,(VLOOKUP(VENDAS!C3243,Bairros!$A$2:$B$90,2,0))))</f>
        <v/>
      </c>
      <c r="J3243" s="7" t="str">
        <f t="shared" si="201"/>
        <v/>
      </c>
      <c r="K3243" s="9">
        <f t="shared" ca="1" si="202"/>
        <v>45404.878290162036</v>
      </c>
      <c r="L3243" s="10">
        <f t="shared" ca="1" si="203"/>
        <v>45404.878290046297</v>
      </c>
    </row>
    <row r="3244" spans="6:12" x14ac:dyDescent="0.25">
      <c r="F3244" s="11" t="str">
        <f>IF(ISBLANK(D3244),"",(VLOOKUP(D3244,Cardápio!$A$2:$B$16,2,0))*E3244)</f>
        <v/>
      </c>
      <c r="H3244" s="7" t="str">
        <f t="shared" si="200"/>
        <v/>
      </c>
      <c r="I3244" s="7" t="str">
        <f>IF(AND(ISBLANK(D3244),ISBLANK(C3244)),"",((VLOOKUP(D3244,Cardápio!$A$2:$C$16,3,0))*E3244)+IF(B3244="iFood",F3244*0.27,(VLOOKUP(VENDAS!C3244,Bairros!$A$2:$B$90,2,0))))</f>
        <v/>
      </c>
      <c r="J3244" s="7" t="str">
        <f t="shared" si="201"/>
        <v/>
      </c>
      <c r="K3244" s="9">
        <f t="shared" ca="1" si="202"/>
        <v>45404.878290162036</v>
      </c>
      <c r="L3244" s="10">
        <f t="shared" ca="1" si="203"/>
        <v>45404.878290046297</v>
      </c>
    </row>
    <row r="3245" spans="6:12" x14ac:dyDescent="0.25">
      <c r="F3245" s="11" t="str">
        <f>IF(ISBLANK(D3245),"",(VLOOKUP(D3245,Cardápio!$A$2:$B$16,2,0))*E3245)</f>
        <v/>
      </c>
      <c r="H3245" s="7" t="str">
        <f t="shared" si="200"/>
        <v/>
      </c>
      <c r="I3245" s="7" t="str">
        <f>IF(AND(ISBLANK(D3245),ISBLANK(C3245)),"",((VLOOKUP(D3245,Cardápio!$A$2:$C$16,3,0))*E3245)+IF(B3245="iFood",F3245*0.27,(VLOOKUP(VENDAS!C3245,Bairros!$A$2:$B$90,2,0))))</f>
        <v/>
      </c>
      <c r="J3245" s="7" t="str">
        <f t="shared" si="201"/>
        <v/>
      </c>
      <c r="K3245" s="9">
        <f t="shared" ca="1" si="202"/>
        <v>45404.878290277775</v>
      </c>
      <c r="L3245" s="10">
        <f t="shared" ca="1" si="203"/>
        <v>45404.878290046297</v>
      </c>
    </row>
    <row r="3246" spans="6:12" x14ac:dyDescent="0.25">
      <c r="F3246" s="11" t="str">
        <f>IF(ISBLANK(D3246),"",(VLOOKUP(D3246,Cardápio!$A$2:$B$16,2,0))*E3246)</f>
        <v/>
      </c>
      <c r="H3246" s="7" t="str">
        <f t="shared" si="200"/>
        <v/>
      </c>
      <c r="I3246" s="7" t="str">
        <f>IF(AND(ISBLANK(D3246),ISBLANK(C3246)),"",((VLOOKUP(D3246,Cardápio!$A$2:$C$16,3,0))*E3246)+IF(B3246="iFood",F3246*0.27,(VLOOKUP(VENDAS!C3246,Bairros!$A$2:$B$90,2,0))))</f>
        <v/>
      </c>
      <c r="J3246" s="7" t="str">
        <f t="shared" si="201"/>
        <v/>
      </c>
      <c r="K3246" s="9">
        <f t="shared" ca="1" si="202"/>
        <v>45404.878290162036</v>
      </c>
      <c r="L3246" s="10">
        <f t="shared" ca="1" si="203"/>
        <v>45404.878290046297</v>
      </c>
    </row>
    <row r="3247" spans="6:12" x14ac:dyDescent="0.25">
      <c r="F3247" s="11" t="str">
        <f>IF(ISBLANK(D3247),"",(VLOOKUP(D3247,Cardápio!$A$2:$B$16,2,0))*E3247)</f>
        <v/>
      </c>
      <c r="H3247" s="7" t="str">
        <f t="shared" si="200"/>
        <v/>
      </c>
      <c r="I3247" s="7" t="str">
        <f>IF(AND(ISBLANK(D3247),ISBLANK(C3247)),"",((VLOOKUP(D3247,Cardápio!$A$2:$C$16,3,0))*E3247)+IF(B3247="iFood",F3247*0.27,(VLOOKUP(VENDAS!C3247,Bairros!$A$2:$B$90,2,0))))</f>
        <v/>
      </c>
      <c r="J3247" s="7" t="str">
        <f t="shared" si="201"/>
        <v/>
      </c>
      <c r="K3247" s="9">
        <f t="shared" ca="1" si="202"/>
        <v>45404.878290162036</v>
      </c>
      <c r="L3247" s="10">
        <f t="shared" ca="1" si="203"/>
        <v>45404.878290046297</v>
      </c>
    </row>
    <row r="3248" spans="6:12" x14ac:dyDescent="0.25">
      <c r="F3248" s="11" t="str">
        <f>IF(ISBLANK(D3248),"",(VLOOKUP(D3248,Cardápio!$A$2:$B$16,2,0))*E3248)</f>
        <v/>
      </c>
      <c r="H3248" s="7" t="str">
        <f t="shared" si="200"/>
        <v/>
      </c>
      <c r="I3248" s="7" t="str">
        <f>IF(AND(ISBLANK(D3248),ISBLANK(C3248)),"",((VLOOKUP(D3248,Cardápio!$A$2:$C$16,3,0))*E3248)+IF(B3248="iFood",F3248*0.27,(VLOOKUP(VENDAS!C3248,Bairros!$A$2:$B$90,2,0))))</f>
        <v/>
      </c>
      <c r="J3248" s="7" t="str">
        <f t="shared" si="201"/>
        <v/>
      </c>
      <c r="K3248" s="9">
        <f t="shared" ca="1" si="202"/>
        <v>45404.878290162036</v>
      </c>
      <c r="L3248" s="10">
        <f t="shared" ca="1" si="203"/>
        <v>45404.878290046297</v>
      </c>
    </row>
    <row r="3249" spans="6:12" x14ac:dyDescent="0.25">
      <c r="F3249" s="11" t="str">
        <f>IF(ISBLANK(D3249),"",(VLOOKUP(D3249,Cardápio!$A$2:$B$16,2,0))*E3249)</f>
        <v/>
      </c>
      <c r="H3249" s="7" t="str">
        <f t="shared" si="200"/>
        <v/>
      </c>
      <c r="I3249" s="7" t="str">
        <f>IF(AND(ISBLANK(D3249),ISBLANK(C3249)),"",((VLOOKUP(D3249,Cardápio!$A$2:$C$16,3,0))*E3249)+IF(B3249="iFood",F3249*0.27,(VLOOKUP(VENDAS!C3249,Bairros!$A$2:$B$90,2,0))))</f>
        <v/>
      </c>
      <c r="J3249" s="7" t="str">
        <f t="shared" si="201"/>
        <v/>
      </c>
      <c r="K3249" s="9">
        <f t="shared" ca="1" si="202"/>
        <v>45404.878290277775</v>
      </c>
      <c r="L3249" s="10">
        <f t="shared" ca="1" si="203"/>
        <v>45404.878290046297</v>
      </c>
    </row>
    <row r="3250" spans="6:12" x14ac:dyDescent="0.25">
      <c r="F3250" s="11" t="str">
        <f>IF(ISBLANK(D3250),"",(VLOOKUP(D3250,Cardápio!$A$2:$B$16,2,0))*E3250)</f>
        <v/>
      </c>
      <c r="H3250" s="7" t="str">
        <f t="shared" si="200"/>
        <v/>
      </c>
      <c r="I3250" s="7" t="str">
        <f>IF(AND(ISBLANK(D3250),ISBLANK(C3250)),"",((VLOOKUP(D3250,Cardápio!$A$2:$C$16,3,0))*E3250)+IF(B3250="iFood",F3250*0.27,(VLOOKUP(VENDAS!C3250,Bairros!$A$2:$B$90,2,0))))</f>
        <v/>
      </c>
      <c r="J3250" s="7" t="str">
        <f t="shared" si="201"/>
        <v/>
      </c>
      <c r="K3250" s="9">
        <f t="shared" ca="1" si="202"/>
        <v>45404.878290162036</v>
      </c>
      <c r="L3250" s="10">
        <f t="shared" ca="1" si="203"/>
        <v>45404.878290046297</v>
      </c>
    </row>
    <row r="3251" spans="6:12" x14ac:dyDescent="0.25">
      <c r="F3251" s="11" t="str">
        <f>IF(ISBLANK(D3251),"",(VLOOKUP(D3251,Cardápio!$A$2:$B$16,2,0))*E3251)</f>
        <v/>
      </c>
      <c r="H3251" s="7" t="str">
        <f t="shared" si="200"/>
        <v/>
      </c>
      <c r="I3251" s="7" t="str">
        <f>IF(AND(ISBLANK(D3251),ISBLANK(C3251)),"",((VLOOKUP(D3251,Cardápio!$A$2:$C$16,3,0))*E3251)+IF(B3251="iFood",F3251*0.27,(VLOOKUP(VENDAS!C3251,Bairros!$A$2:$B$90,2,0))))</f>
        <v/>
      </c>
      <c r="J3251" s="7" t="str">
        <f t="shared" si="201"/>
        <v/>
      </c>
      <c r="K3251" s="9">
        <f t="shared" ca="1" si="202"/>
        <v>45404.878290162036</v>
      </c>
      <c r="L3251" s="10">
        <f t="shared" ca="1" si="203"/>
        <v>45404.878290046297</v>
      </c>
    </row>
    <row r="3252" spans="6:12" x14ac:dyDescent="0.25">
      <c r="F3252" s="11" t="str">
        <f>IF(ISBLANK(D3252),"",(VLOOKUP(D3252,Cardápio!$A$2:$B$16,2,0))*E3252)</f>
        <v/>
      </c>
      <c r="H3252" s="7" t="str">
        <f t="shared" si="200"/>
        <v/>
      </c>
      <c r="I3252" s="7" t="str">
        <f>IF(AND(ISBLANK(D3252),ISBLANK(C3252)),"",((VLOOKUP(D3252,Cardápio!$A$2:$C$16,3,0))*E3252)+IF(B3252="iFood",F3252*0.27,(VLOOKUP(VENDAS!C3252,Bairros!$A$2:$B$90,2,0))))</f>
        <v/>
      </c>
      <c r="J3252" s="7" t="str">
        <f t="shared" si="201"/>
        <v/>
      </c>
      <c r="K3252" s="9">
        <f t="shared" ca="1" si="202"/>
        <v>45404.878290162036</v>
      </c>
      <c r="L3252" s="10">
        <f t="shared" ca="1" si="203"/>
        <v>45404.878290046297</v>
      </c>
    </row>
    <row r="3253" spans="6:12" x14ac:dyDescent="0.25">
      <c r="F3253" s="11" t="str">
        <f>IF(ISBLANK(D3253),"",(VLOOKUP(D3253,Cardápio!$A$2:$B$16,2,0))*E3253)</f>
        <v/>
      </c>
      <c r="H3253" s="7" t="str">
        <f t="shared" ref="H3253:H3316" si="204">IF(ISBLANK(D3253),"",F3253-G3253)</f>
        <v/>
      </c>
      <c r="I3253" s="7" t="str">
        <f>IF(AND(ISBLANK(D3253),ISBLANK(C3253)),"",((VLOOKUP(D3253,Cardápio!$A$2:$C$16,3,0))*E3253)+IF(B3253="iFood",F3253*0.27,(VLOOKUP(VENDAS!C3253,Bairros!$A$2:$B$90,2,0))))</f>
        <v/>
      </c>
      <c r="J3253" s="7" t="str">
        <f t="shared" ref="J3253:J3316" si="205">IF(OR(AND(ISBLANK(H3253),ISBLANK(I3253)),(AND(H3253="",I3253=""))),"",H3253-I3253)</f>
        <v/>
      </c>
      <c r="K3253" s="9">
        <f t="shared" ref="K3253:K3316" ca="1" si="206">IF(D3253&lt;&gt;"",K3253,NOW())</f>
        <v>45404.878290277775</v>
      </c>
      <c r="L3253" s="10">
        <f t="shared" ref="L3253:L3316" ca="1" si="207">IF(D3253&lt;&gt;"",L3253,NOW())</f>
        <v>45404.878290046297</v>
      </c>
    </row>
    <row r="3254" spans="6:12" x14ac:dyDescent="0.25">
      <c r="F3254" s="11" t="str">
        <f>IF(ISBLANK(D3254),"",(VLOOKUP(D3254,Cardápio!$A$2:$B$16,2,0))*E3254)</f>
        <v/>
      </c>
      <c r="H3254" s="7" t="str">
        <f t="shared" si="204"/>
        <v/>
      </c>
      <c r="I3254" s="7" t="str">
        <f>IF(AND(ISBLANK(D3254),ISBLANK(C3254)),"",((VLOOKUP(D3254,Cardápio!$A$2:$C$16,3,0))*E3254)+IF(B3254="iFood",F3254*0.27,(VLOOKUP(VENDAS!C3254,Bairros!$A$2:$B$90,2,0))))</f>
        <v/>
      </c>
      <c r="J3254" s="7" t="str">
        <f t="shared" si="205"/>
        <v/>
      </c>
      <c r="K3254" s="9">
        <f t="shared" ca="1" si="206"/>
        <v>45404.878290162036</v>
      </c>
      <c r="L3254" s="10">
        <f t="shared" ca="1" si="207"/>
        <v>45404.878290046297</v>
      </c>
    </row>
    <row r="3255" spans="6:12" x14ac:dyDescent="0.25">
      <c r="F3255" s="11" t="str">
        <f>IF(ISBLANK(D3255),"",(VLOOKUP(D3255,Cardápio!$A$2:$B$16,2,0))*E3255)</f>
        <v/>
      </c>
      <c r="H3255" s="7" t="str">
        <f t="shared" si="204"/>
        <v/>
      </c>
      <c r="I3255" s="7" t="str">
        <f>IF(AND(ISBLANK(D3255),ISBLANK(C3255)),"",((VLOOKUP(D3255,Cardápio!$A$2:$C$16,3,0))*E3255)+IF(B3255="iFood",F3255*0.27,(VLOOKUP(VENDAS!C3255,Bairros!$A$2:$B$90,2,0))))</f>
        <v/>
      </c>
      <c r="J3255" s="7" t="str">
        <f t="shared" si="205"/>
        <v/>
      </c>
      <c r="K3255" s="9">
        <f t="shared" ca="1" si="206"/>
        <v>45404.878290162036</v>
      </c>
      <c r="L3255" s="10">
        <f t="shared" ca="1" si="207"/>
        <v>45404.878290046297</v>
      </c>
    </row>
    <row r="3256" spans="6:12" x14ac:dyDescent="0.25">
      <c r="F3256" s="11" t="str">
        <f>IF(ISBLANK(D3256),"",(VLOOKUP(D3256,Cardápio!$A$2:$B$16,2,0))*E3256)</f>
        <v/>
      </c>
      <c r="H3256" s="7" t="str">
        <f t="shared" si="204"/>
        <v/>
      </c>
      <c r="I3256" s="7" t="str">
        <f>IF(AND(ISBLANK(D3256),ISBLANK(C3256)),"",((VLOOKUP(D3256,Cardápio!$A$2:$C$16,3,0))*E3256)+IF(B3256="iFood",F3256*0.27,(VLOOKUP(VENDAS!C3256,Bairros!$A$2:$B$90,2,0))))</f>
        <v/>
      </c>
      <c r="J3256" s="7" t="str">
        <f t="shared" si="205"/>
        <v/>
      </c>
      <c r="K3256" s="9">
        <f t="shared" ca="1" si="206"/>
        <v>45404.878290162036</v>
      </c>
      <c r="L3256" s="10">
        <f t="shared" ca="1" si="207"/>
        <v>45404.878290046297</v>
      </c>
    </row>
    <row r="3257" spans="6:12" x14ac:dyDescent="0.25">
      <c r="F3257" s="11" t="str">
        <f>IF(ISBLANK(D3257),"",(VLOOKUP(D3257,Cardápio!$A$2:$B$16,2,0))*E3257)</f>
        <v/>
      </c>
      <c r="H3257" s="7" t="str">
        <f t="shared" si="204"/>
        <v/>
      </c>
      <c r="I3257" s="7" t="str">
        <f>IF(AND(ISBLANK(D3257),ISBLANK(C3257)),"",((VLOOKUP(D3257,Cardápio!$A$2:$C$16,3,0))*E3257)+IF(B3257="iFood",F3257*0.27,(VLOOKUP(VENDAS!C3257,Bairros!$A$2:$B$90,2,0))))</f>
        <v/>
      </c>
      <c r="J3257" s="7" t="str">
        <f t="shared" si="205"/>
        <v/>
      </c>
      <c r="K3257" s="9">
        <f t="shared" ca="1" si="206"/>
        <v>45404.878290277775</v>
      </c>
      <c r="L3257" s="10">
        <f t="shared" ca="1" si="207"/>
        <v>45404.878290046297</v>
      </c>
    </row>
    <row r="3258" spans="6:12" x14ac:dyDescent="0.25">
      <c r="F3258" s="11" t="str">
        <f>IF(ISBLANK(D3258),"",(VLOOKUP(D3258,Cardápio!$A$2:$B$16,2,0))*E3258)</f>
        <v/>
      </c>
      <c r="H3258" s="7" t="str">
        <f t="shared" si="204"/>
        <v/>
      </c>
      <c r="I3258" s="7" t="str">
        <f>IF(AND(ISBLANK(D3258),ISBLANK(C3258)),"",((VLOOKUP(D3258,Cardápio!$A$2:$C$16,3,0))*E3258)+IF(B3258="iFood",F3258*0.27,(VLOOKUP(VENDAS!C3258,Bairros!$A$2:$B$90,2,0))))</f>
        <v/>
      </c>
      <c r="J3258" s="7" t="str">
        <f t="shared" si="205"/>
        <v/>
      </c>
      <c r="K3258" s="9">
        <f t="shared" ca="1" si="206"/>
        <v>45404.878290162036</v>
      </c>
      <c r="L3258" s="10">
        <f t="shared" ca="1" si="207"/>
        <v>45404.878290046297</v>
      </c>
    </row>
    <row r="3259" spans="6:12" x14ac:dyDescent="0.25">
      <c r="F3259" s="11" t="str">
        <f>IF(ISBLANK(D3259),"",(VLOOKUP(D3259,Cardápio!$A$2:$B$16,2,0))*E3259)</f>
        <v/>
      </c>
      <c r="H3259" s="7" t="str">
        <f t="shared" si="204"/>
        <v/>
      </c>
      <c r="I3259" s="7" t="str">
        <f>IF(AND(ISBLANK(D3259),ISBLANK(C3259)),"",((VLOOKUP(D3259,Cardápio!$A$2:$C$16,3,0))*E3259)+IF(B3259="iFood",F3259*0.27,(VLOOKUP(VENDAS!C3259,Bairros!$A$2:$B$90,2,0))))</f>
        <v/>
      </c>
      <c r="J3259" s="7" t="str">
        <f t="shared" si="205"/>
        <v/>
      </c>
      <c r="K3259" s="9">
        <f t="shared" ca="1" si="206"/>
        <v>45404.878290162036</v>
      </c>
      <c r="L3259" s="10">
        <f t="shared" ca="1" si="207"/>
        <v>45404.878290046297</v>
      </c>
    </row>
    <row r="3260" spans="6:12" x14ac:dyDescent="0.25">
      <c r="F3260" s="11" t="str">
        <f>IF(ISBLANK(D3260),"",(VLOOKUP(D3260,Cardápio!$A$2:$B$16,2,0))*E3260)</f>
        <v/>
      </c>
      <c r="H3260" s="7" t="str">
        <f t="shared" si="204"/>
        <v/>
      </c>
      <c r="I3260" s="7" t="str">
        <f>IF(AND(ISBLANK(D3260),ISBLANK(C3260)),"",((VLOOKUP(D3260,Cardápio!$A$2:$C$16,3,0))*E3260)+IF(B3260="iFood",F3260*0.27,(VLOOKUP(VENDAS!C3260,Bairros!$A$2:$B$90,2,0))))</f>
        <v/>
      </c>
      <c r="J3260" s="7" t="str">
        <f t="shared" si="205"/>
        <v/>
      </c>
      <c r="K3260" s="9">
        <f t="shared" ca="1" si="206"/>
        <v>45404.878290162036</v>
      </c>
      <c r="L3260" s="10">
        <f t="shared" ca="1" si="207"/>
        <v>45404.878290046297</v>
      </c>
    </row>
    <row r="3261" spans="6:12" x14ac:dyDescent="0.25">
      <c r="F3261" s="11" t="str">
        <f>IF(ISBLANK(D3261),"",(VLOOKUP(D3261,Cardápio!$A$2:$B$16,2,0))*E3261)</f>
        <v/>
      </c>
      <c r="H3261" s="7" t="str">
        <f t="shared" si="204"/>
        <v/>
      </c>
      <c r="I3261" s="7" t="str">
        <f>IF(AND(ISBLANK(D3261),ISBLANK(C3261)),"",((VLOOKUP(D3261,Cardápio!$A$2:$C$16,3,0))*E3261)+IF(B3261="iFood",F3261*0.27,(VLOOKUP(VENDAS!C3261,Bairros!$A$2:$B$90,2,0))))</f>
        <v/>
      </c>
      <c r="J3261" s="7" t="str">
        <f t="shared" si="205"/>
        <v/>
      </c>
      <c r="K3261" s="9">
        <f t="shared" ca="1" si="206"/>
        <v>45404.878290277775</v>
      </c>
      <c r="L3261" s="10">
        <f t="shared" ca="1" si="207"/>
        <v>45404.878290046297</v>
      </c>
    </row>
    <row r="3262" spans="6:12" x14ac:dyDescent="0.25">
      <c r="F3262" s="11" t="str">
        <f>IF(ISBLANK(D3262),"",(VLOOKUP(D3262,Cardápio!$A$2:$B$16,2,0))*E3262)</f>
        <v/>
      </c>
      <c r="H3262" s="7" t="str">
        <f t="shared" si="204"/>
        <v/>
      </c>
      <c r="I3262" s="7" t="str">
        <f>IF(AND(ISBLANK(D3262),ISBLANK(C3262)),"",((VLOOKUP(D3262,Cardápio!$A$2:$C$16,3,0))*E3262)+IF(B3262="iFood",F3262*0.27,(VLOOKUP(VENDAS!C3262,Bairros!$A$2:$B$90,2,0))))</f>
        <v/>
      </c>
      <c r="J3262" s="7" t="str">
        <f t="shared" si="205"/>
        <v/>
      </c>
      <c r="K3262" s="9">
        <f t="shared" ca="1" si="206"/>
        <v>45404.878290162036</v>
      </c>
      <c r="L3262" s="10">
        <f t="shared" ca="1" si="207"/>
        <v>45404.878290046297</v>
      </c>
    </row>
    <row r="3263" spans="6:12" x14ac:dyDescent="0.25">
      <c r="F3263" s="11" t="str">
        <f>IF(ISBLANK(D3263),"",(VLOOKUP(D3263,Cardápio!$A$2:$B$16,2,0))*E3263)</f>
        <v/>
      </c>
      <c r="H3263" s="7" t="str">
        <f t="shared" si="204"/>
        <v/>
      </c>
      <c r="I3263" s="7" t="str">
        <f>IF(AND(ISBLANK(D3263),ISBLANK(C3263)),"",((VLOOKUP(D3263,Cardápio!$A$2:$C$16,3,0))*E3263)+IF(B3263="iFood",F3263*0.27,(VLOOKUP(VENDAS!C3263,Bairros!$A$2:$B$90,2,0))))</f>
        <v/>
      </c>
      <c r="J3263" s="7" t="str">
        <f t="shared" si="205"/>
        <v/>
      </c>
      <c r="K3263" s="9">
        <f t="shared" ca="1" si="206"/>
        <v>45404.878290162036</v>
      </c>
      <c r="L3263" s="10">
        <f t="shared" ca="1" si="207"/>
        <v>45404.878290162036</v>
      </c>
    </row>
    <row r="3264" spans="6:12" x14ac:dyDescent="0.25">
      <c r="F3264" s="11" t="str">
        <f>IF(ISBLANK(D3264),"",(VLOOKUP(D3264,Cardápio!$A$2:$B$16,2,0))*E3264)</f>
        <v/>
      </c>
      <c r="H3264" s="7" t="str">
        <f t="shared" si="204"/>
        <v/>
      </c>
      <c r="I3264" s="7" t="str">
        <f>IF(AND(ISBLANK(D3264),ISBLANK(C3264)),"",((VLOOKUP(D3264,Cardápio!$A$2:$C$16,3,0))*E3264)+IF(B3264="iFood",F3264*0.27,(VLOOKUP(VENDAS!C3264,Bairros!$A$2:$B$90,2,0))))</f>
        <v/>
      </c>
      <c r="J3264" s="7" t="str">
        <f t="shared" si="205"/>
        <v/>
      </c>
      <c r="K3264" s="9">
        <f t="shared" ca="1" si="206"/>
        <v>45404.878290162036</v>
      </c>
      <c r="L3264" s="10">
        <f t="shared" ca="1" si="207"/>
        <v>45404.878290046297</v>
      </c>
    </row>
    <row r="3265" spans="6:12" x14ac:dyDescent="0.25">
      <c r="F3265" s="11" t="str">
        <f>IF(ISBLANK(D3265),"",(VLOOKUP(D3265,Cardápio!$A$2:$B$16,2,0))*E3265)</f>
        <v/>
      </c>
      <c r="H3265" s="7" t="str">
        <f t="shared" si="204"/>
        <v/>
      </c>
      <c r="I3265" s="7" t="str">
        <f>IF(AND(ISBLANK(D3265),ISBLANK(C3265)),"",((VLOOKUP(D3265,Cardápio!$A$2:$C$16,3,0))*E3265)+IF(B3265="iFood",F3265*0.27,(VLOOKUP(VENDAS!C3265,Bairros!$A$2:$B$90,2,0))))</f>
        <v/>
      </c>
      <c r="J3265" s="7" t="str">
        <f t="shared" si="205"/>
        <v/>
      </c>
      <c r="K3265" s="9">
        <f t="shared" ca="1" si="206"/>
        <v>45404.878290277775</v>
      </c>
      <c r="L3265" s="10">
        <f t="shared" ca="1" si="207"/>
        <v>45404.878290046297</v>
      </c>
    </row>
    <row r="3266" spans="6:12" x14ac:dyDescent="0.25">
      <c r="F3266" s="11" t="str">
        <f>IF(ISBLANK(D3266),"",(VLOOKUP(D3266,Cardápio!$A$2:$B$16,2,0))*E3266)</f>
        <v/>
      </c>
      <c r="H3266" s="7" t="str">
        <f t="shared" si="204"/>
        <v/>
      </c>
      <c r="I3266" s="7" t="str">
        <f>IF(AND(ISBLANK(D3266),ISBLANK(C3266)),"",((VLOOKUP(D3266,Cardápio!$A$2:$C$16,3,0))*E3266)+IF(B3266="iFood",F3266*0.27,(VLOOKUP(VENDAS!C3266,Bairros!$A$2:$B$90,2,0))))</f>
        <v/>
      </c>
      <c r="J3266" s="7" t="str">
        <f t="shared" si="205"/>
        <v/>
      </c>
      <c r="K3266" s="9">
        <f t="shared" ca="1" si="206"/>
        <v>45404.878290162036</v>
      </c>
      <c r="L3266" s="10">
        <f t="shared" ca="1" si="207"/>
        <v>45404.878290046297</v>
      </c>
    </row>
    <row r="3267" spans="6:12" x14ac:dyDescent="0.25">
      <c r="F3267" s="11" t="str">
        <f>IF(ISBLANK(D3267),"",(VLOOKUP(D3267,Cardápio!$A$2:$B$16,2,0))*E3267)</f>
        <v/>
      </c>
      <c r="H3267" s="7" t="str">
        <f t="shared" si="204"/>
        <v/>
      </c>
      <c r="I3267" s="7" t="str">
        <f>IF(AND(ISBLANK(D3267),ISBLANK(C3267)),"",((VLOOKUP(D3267,Cardápio!$A$2:$C$16,3,0))*E3267)+IF(B3267="iFood",F3267*0.27,(VLOOKUP(VENDAS!C3267,Bairros!$A$2:$B$90,2,0))))</f>
        <v/>
      </c>
      <c r="J3267" s="7" t="str">
        <f t="shared" si="205"/>
        <v/>
      </c>
      <c r="K3267" s="9">
        <f t="shared" ca="1" si="206"/>
        <v>45404.878290162036</v>
      </c>
      <c r="L3267" s="10">
        <f t="shared" ca="1" si="207"/>
        <v>45404.878290162036</v>
      </c>
    </row>
    <row r="3268" spans="6:12" x14ac:dyDescent="0.25">
      <c r="F3268" s="11" t="str">
        <f>IF(ISBLANK(D3268),"",(VLOOKUP(D3268,Cardápio!$A$2:$B$16,2,0))*E3268)</f>
        <v/>
      </c>
      <c r="H3268" s="7" t="str">
        <f t="shared" si="204"/>
        <v/>
      </c>
      <c r="I3268" s="7" t="str">
        <f>IF(AND(ISBLANK(D3268),ISBLANK(C3268)),"",((VLOOKUP(D3268,Cardápio!$A$2:$C$16,3,0))*E3268)+IF(B3268="iFood",F3268*0.27,(VLOOKUP(VENDAS!C3268,Bairros!$A$2:$B$90,2,0))))</f>
        <v/>
      </c>
      <c r="J3268" s="7" t="str">
        <f t="shared" si="205"/>
        <v/>
      </c>
      <c r="K3268" s="9">
        <f t="shared" ca="1" si="206"/>
        <v>45404.878290162036</v>
      </c>
      <c r="L3268" s="10">
        <f t="shared" ca="1" si="207"/>
        <v>45404.878290046297</v>
      </c>
    </row>
    <row r="3269" spans="6:12" x14ac:dyDescent="0.25">
      <c r="F3269" s="11" t="str">
        <f>IF(ISBLANK(D3269),"",(VLOOKUP(D3269,Cardápio!$A$2:$B$16,2,0))*E3269)</f>
        <v/>
      </c>
      <c r="H3269" s="7" t="str">
        <f t="shared" si="204"/>
        <v/>
      </c>
      <c r="I3269" s="7" t="str">
        <f>IF(AND(ISBLANK(D3269),ISBLANK(C3269)),"",((VLOOKUP(D3269,Cardápio!$A$2:$C$16,3,0))*E3269)+IF(B3269="iFood",F3269*0.27,(VLOOKUP(VENDAS!C3269,Bairros!$A$2:$B$90,2,0))))</f>
        <v/>
      </c>
      <c r="J3269" s="7" t="str">
        <f t="shared" si="205"/>
        <v/>
      </c>
      <c r="K3269" s="9">
        <f t="shared" ca="1" si="206"/>
        <v>45404.878290277775</v>
      </c>
      <c r="L3269" s="10">
        <f t="shared" ca="1" si="207"/>
        <v>45404.878290046297</v>
      </c>
    </row>
    <row r="3270" spans="6:12" x14ac:dyDescent="0.25">
      <c r="F3270" s="11" t="str">
        <f>IF(ISBLANK(D3270),"",(VLOOKUP(D3270,Cardápio!$A$2:$B$16,2,0))*E3270)</f>
        <v/>
      </c>
      <c r="H3270" s="7" t="str">
        <f t="shared" si="204"/>
        <v/>
      </c>
      <c r="I3270" s="7" t="str">
        <f>IF(AND(ISBLANK(D3270),ISBLANK(C3270)),"",((VLOOKUP(D3270,Cardápio!$A$2:$C$16,3,0))*E3270)+IF(B3270="iFood",F3270*0.27,(VLOOKUP(VENDAS!C3270,Bairros!$A$2:$B$90,2,0))))</f>
        <v/>
      </c>
      <c r="J3270" s="7" t="str">
        <f t="shared" si="205"/>
        <v/>
      </c>
      <c r="K3270" s="9">
        <f t="shared" ca="1" si="206"/>
        <v>45404.878290162036</v>
      </c>
      <c r="L3270" s="10">
        <f t="shared" ca="1" si="207"/>
        <v>45404.878290046297</v>
      </c>
    </row>
    <row r="3271" spans="6:12" x14ac:dyDescent="0.25">
      <c r="F3271" s="11" t="str">
        <f>IF(ISBLANK(D3271),"",(VLOOKUP(D3271,Cardápio!$A$2:$B$16,2,0))*E3271)</f>
        <v/>
      </c>
      <c r="H3271" s="7" t="str">
        <f t="shared" si="204"/>
        <v/>
      </c>
      <c r="I3271" s="7" t="str">
        <f>IF(AND(ISBLANK(D3271),ISBLANK(C3271)),"",((VLOOKUP(D3271,Cardápio!$A$2:$C$16,3,0))*E3271)+IF(B3271="iFood",F3271*0.27,(VLOOKUP(VENDAS!C3271,Bairros!$A$2:$B$90,2,0))))</f>
        <v/>
      </c>
      <c r="J3271" s="7" t="str">
        <f t="shared" si="205"/>
        <v/>
      </c>
      <c r="K3271" s="9">
        <f t="shared" ca="1" si="206"/>
        <v>45404.878290162036</v>
      </c>
      <c r="L3271" s="10">
        <f t="shared" ca="1" si="207"/>
        <v>45404.878290162036</v>
      </c>
    </row>
    <row r="3272" spans="6:12" x14ac:dyDescent="0.25">
      <c r="F3272" s="11" t="str">
        <f>IF(ISBLANK(D3272),"",(VLOOKUP(D3272,Cardápio!$A$2:$B$16,2,0))*E3272)</f>
        <v/>
      </c>
      <c r="H3272" s="7" t="str">
        <f t="shared" si="204"/>
        <v/>
      </c>
      <c r="I3272" s="7" t="str">
        <f>IF(AND(ISBLANK(D3272),ISBLANK(C3272)),"",((VLOOKUP(D3272,Cardápio!$A$2:$C$16,3,0))*E3272)+IF(B3272="iFood",F3272*0.27,(VLOOKUP(VENDAS!C3272,Bairros!$A$2:$B$90,2,0))))</f>
        <v/>
      </c>
      <c r="J3272" s="7" t="str">
        <f t="shared" si="205"/>
        <v/>
      </c>
      <c r="K3272" s="9">
        <f t="shared" ca="1" si="206"/>
        <v>45404.878290162036</v>
      </c>
      <c r="L3272" s="10">
        <f t="shared" ca="1" si="207"/>
        <v>45404.878290046297</v>
      </c>
    </row>
    <row r="3273" spans="6:12" x14ac:dyDescent="0.25">
      <c r="F3273" s="11" t="str">
        <f>IF(ISBLANK(D3273),"",(VLOOKUP(D3273,Cardápio!$A$2:$B$16,2,0))*E3273)</f>
        <v/>
      </c>
      <c r="H3273" s="7" t="str">
        <f t="shared" si="204"/>
        <v/>
      </c>
      <c r="I3273" s="7" t="str">
        <f>IF(AND(ISBLANK(D3273),ISBLANK(C3273)),"",((VLOOKUP(D3273,Cardápio!$A$2:$C$16,3,0))*E3273)+IF(B3273="iFood",F3273*0.27,(VLOOKUP(VENDAS!C3273,Bairros!$A$2:$B$90,2,0))))</f>
        <v/>
      </c>
      <c r="J3273" s="7" t="str">
        <f t="shared" si="205"/>
        <v/>
      </c>
      <c r="K3273" s="9">
        <f t="shared" ca="1" si="206"/>
        <v>45404.878290277775</v>
      </c>
      <c r="L3273" s="10">
        <f t="shared" ca="1" si="207"/>
        <v>45404.878290046297</v>
      </c>
    </row>
    <row r="3274" spans="6:12" x14ac:dyDescent="0.25">
      <c r="F3274" s="11" t="str">
        <f>IF(ISBLANK(D3274),"",(VLOOKUP(D3274,Cardápio!$A$2:$B$16,2,0))*E3274)</f>
        <v/>
      </c>
      <c r="H3274" s="7" t="str">
        <f t="shared" si="204"/>
        <v/>
      </c>
      <c r="I3274" s="7" t="str">
        <f>IF(AND(ISBLANK(D3274),ISBLANK(C3274)),"",((VLOOKUP(D3274,Cardápio!$A$2:$C$16,3,0))*E3274)+IF(B3274="iFood",F3274*0.27,(VLOOKUP(VENDAS!C3274,Bairros!$A$2:$B$90,2,0))))</f>
        <v/>
      </c>
      <c r="J3274" s="7" t="str">
        <f t="shared" si="205"/>
        <v/>
      </c>
      <c r="K3274" s="9">
        <f t="shared" ca="1" si="206"/>
        <v>45404.878290162036</v>
      </c>
      <c r="L3274" s="10">
        <f t="shared" ca="1" si="207"/>
        <v>45404.878290046297</v>
      </c>
    </row>
    <row r="3275" spans="6:12" x14ac:dyDescent="0.25">
      <c r="F3275" s="11" t="str">
        <f>IF(ISBLANK(D3275),"",(VLOOKUP(D3275,Cardápio!$A$2:$B$16,2,0))*E3275)</f>
        <v/>
      </c>
      <c r="H3275" s="7" t="str">
        <f t="shared" si="204"/>
        <v/>
      </c>
      <c r="I3275" s="7" t="str">
        <f>IF(AND(ISBLANK(D3275),ISBLANK(C3275)),"",((VLOOKUP(D3275,Cardápio!$A$2:$C$16,3,0))*E3275)+IF(B3275="iFood",F3275*0.27,(VLOOKUP(VENDAS!C3275,Bairros!$A$2:$B$90,2,0))))</f>
        <v/>
      </c>
      <c r="J3275" s="7" t="str">
        <f t="shared" si="205"/>
        <v/>
      </c>
      <c r="K3275" s="9">
        <f t="shared" ca="1" si="206"/>
        <v>45404.878290162036</v>
      </c>
      <c r="L3275" s="10">
        <f t="shared" ca="1" si="207"/>
        <v>45404.878290162036</v>
      </c>
    </row>
    <row r="3276" spans="6:12" x14ac:dyDescent="0.25">
      <c r="F3276" s="11" t="str">
        <f>IF(ISBLANK(D3276),"",(VLOOKUP(D3276,Cardápio!$A$2:$B$16,2,0))*E3276)</f>
        <v/>
      </c>
      <c r="H3276" s="7" t="str">
        <f t="shared" si="204"/>
        <v/>
      </c>
      <c r="I3276" s="7" t="str">
        <f>IF(AND(ISBLANK(D3276),ISBLANK(C3276)),"",((VLOOKUP(D3276,Cardápio!$A$2:$C$16,3,0))*E3276)+IF(B3276="iFood",F3276*0.27,(VLOOKUP(VENDAS!C3276,Bairros!$A$2:$B$90,2,0))))</f>
        <v/>
      </c>
      <c r="J3276" s="7" t="str">
        <f t="shared" si="205"/>
        <v/>
      </c>
      <c r="K3276" s="9">
        <f t="shared" ca="1" si="206"/>
        <v>45404.878290162036</v>
      </c>
      <c r="L3276" s="10">
        <f t="shared" ca="1" si="207"/>
        <v>45404.878290046297</v>
      </c>
    </row>
    <row r="3277" spans="6:12" x14ac:dyDescent="0.25">
      <c r="F3277" s="11" t="str">
        <f>IF(ISBLANK(D3277),"",(VLOOKUP(D3277,Cardápio!$A$2:$B$16,2,0))*E3277)</f>
        <v/>
      </c>
      <c r="H3277" s="7" t="str">
        <f t="shared" si="204"/>
        <v/>
      </c>
      <c r="I3277" s="7" t="str">
        <f>IF(AND(ISBLANK(D3277),ISBLANK(C3277)),"",((VLOOKUP(D3277,Cardápio!$A$2:$C$16,3,0))*E3277)+IF(B3277="iFood",F3277*0.27,(VLOOKUP(VENDAS!C3277,Bairros!$A$2:$B$90,2,0))))</f>
        <v/>
      </c>
      <c r="J3277" s="7" t="str">
        <f t="shared" si="205"/>
        <v/>
      </c>
      <c r="K3277" s="9">
        <f t="shared" ca="1" si="206"/>
        <v>45404.878290277775</v>
      </c>
      <c r="L3277" s="10">
        <f t="shared" ca="1" si="207"/>
        <v>45404.878290046297</v>
      </c>
    </row>
    <row r="3278" spans="6:12" x14ac:dyDescent="0.25">
      <c r="F3278" s="11" t="str">
        <f>IF(ISBLANK(D3278),"",(VLOOKUP(D3278,Cardápio!$A$2:$B$16,2,0))*E3278)</f>
        <v/>
      </c>
      <c r="H3278" s="7" t="str">
        <f t="shared" si="204"/>
        <v/>
      </c>
      <c r="I3278" s="7" t="str">
        <f>IF(AND(ISBLANK(D3278),ISBLANK(C3278)),"",((VLOOKUP(D3278,Cardápio!$A$2:$C$16,3,0))*E3278)+IF(B3278="iFood",F3278*0.27,(VLOOKUP(VENDAS!C3278,Bairros!$A$2:$B$90,2,0))))</f>
        <v/>
      </c>
      <c r="J3278" s="7" t="str">
        <f t="shared" si="205"/>
        <v/>
      </c>
      <c r="K3278" s="9">
        <f t="shared" ca="1" si="206"/>
        <v>45404.878290162036</v>
      </c>
      <c r="L3278" s="10">
        <f t="shared" ca="1" si="207"/>
        <v>45404.878290046297</v>
      </c>
    </row>
    <row r="3279" spans="6:12" x14ac:dyDescent="0.25">
      <c r="F3279" s="11" t="str">
        <f>IF(ISBLANK(D3279),"",(VLOOKUP(D3279,Cardápio!$A$2:$B$16,2,0))*E3279)</f>
        <v/>
      </c>
      <c r="H3279" s="7" t="str">
        <f t="shared" si="204"/>
        <v/>
      </c>
      <c r="I3279" s="7" t="str">
        <f>IF(AND(ISBLANK(D3279),ISBLANK(C3279)),"",((VLOOKUP(D3279,Cardápio!$A$2:$C$16,3,0))*E3279)+IF(B3279="iFood",F3279*0.27,(VLOOKUP(VENDAS!C3279,Bairros!$A$2:$B$90,2,0))))</f>
        <v/>
      </c>
      <c r="J3279" s="7" t="str">
        <f t="shared" si="205"/>
        <v/>
      </c>
      <c r="K3279" s="9">
        <f t="shared" ca="1" si="206"/>
        <v>45404.878290162036</v>
      </c>
      <c r="L3279" s="10">
        <f t="shared" ca="1" si="207"/>
        <v>45404.878290162036</v>
      </c>
    </row>
    <row r="3280" spans="6:12" x14ac:dyDescent="0.25">
      <c r="F3280" s="11" t="str">
        <f>IF(ISBLANK(D3280),"",(VLOOKUP(D3280,Cardápio!$A$2:$B$16,2,0))*E3280)</f>
        <v/>
      </c>
      <c r="H3280" s="7" t="str">
        <f t="shared" si="204"/>
        <v/>
      </c>
      <c r="I3280" s="7" t="str">
        <f>IF(AND(ISBLANK(D3280),ISBLANK(C3280)),"",((VLOOKUP(D3280,Cardápio!$A$2:$C$16,3,0))*E3280)+IF(B3280="iFood",F3280*0.27,(VLOOKUP(VENDAS!C3280,Bairros!$A$2:$B$90,2,0))))</f>
        <v/>
      </c>
      <c r="J3280" s="7" t="str">
        <f t="shared" si="205"/>
        <v/>
      </c>
      <c r="K3280" s="9">
        <f t="shared" ca="1" si="206"/>
        <v>45404.878290162036</v>
      </c>
      <c r="L3280" s="10">
        <f t="shared" ca="1" si="207"/>
        <v>45404.878290046297</v>
      </c>
    </row>
    <row r="3281" spans="6:12" x14ac:dyDescent="0.25">
      <c r="F3281" s="11" t="str">
        <f>IF(ISBLANK(D3281),"",(VLOOKUP(D3281,Cardápio!$A$2:$B$16,2,0))*E3281)</f>
        <v/>
      </c>
      <c r="H3281" s="7" t="str">
        <f t="shared" si="204"/>
        <v/>
      </c>
      <c r="I3281" s="7" t="str">
        <f>IF(AND(ISBLANK(D3281),ISBLANK(C3281)),"",((VLOOKUP(D3281,Cardápio!$A$2:$C$16,3,0))*E3281)+IF(B3281="iFood",F3281*0.27,(VLOOKUP(VENDAS!C3281,Bairros!$A$2:$B$90,2,0))))</f>
        <v/>
      </c>
      <c r="J3281" s="7" t="str">
        <f t="shared" si="205"/>
        <v/>
      </c>
      <c r="K3281" s="9">
        <f t="shared" ca="1" si="206"/>
        <v>45404.878290277775</v>
      </c>
      <c r="L3281" s="10">
        <f t="shared" ca="1" si="207"/>
        <v>45404.878290046297</v>
      </c>
    </row>
    <row r="3282" spans="6:12" x14ac:dyDescent="0.25">
      <c r="F3282" s="11" t="str">
        <f>IF(ISBLANK(D3282),"",(VLOOKUP(D3282,Cardápio!$A$2:$B$16,2,0))*E3282)</f>
        <v/>
      </c>
      <c r="H3282" s="7" t="str">
        <f t="shared" si="204"/>
        <v/>
      </c>
      <c r="I3282" s="7" t="str">
        <f>IF(AND(ISBLANK(D3282),ISBLANK(C3282)),"",((VLOOKUP(D3282,Cardápio!$A$2:$C$16,3,0))*E3282)+IF(B3282="iFood",F3282*0.27,(VLOOKUP(VENDAS!C3282,Bairros!$A$2:$B$90,2,0))))</f>
        <v/>
      </c>
      <c r="J3282" s="7" t="str">
        <f t="shared" si="205"/>
        <v/>
      </c>
      <c r="K3282" s="9">
        <f t="shared" ca="1" si="206"/>
        <v>45404.878290162036</v>
      </c>
      <c r="L3282" s="10">
        <f t="shared" ca="1" si="207"/>
        <v>45404.878290046297</v>
      </c>
    </row>
    <row r="3283" spans="6:12" x14ac:dyDescent="0.25">
      <c r="F3283" s="11" t="str">
        <f>IF(ISBLANK(D3283),"",(VLOOKUP(D3283,Cardápio!$A$2:$B$16,2,0))*E3283)</f>
        <v/>
      </c>
      <c r="H3283" s="7" t="str">
        <f t="shared" si="204"/>
        <v/>
      </c>
      <c r="I3283" s="7" t="str">
        <f>IF(AND(ISBLANK(D3283),ISBLANK(C3283)),"",((VLOOKUP(D3283,Cardápio!$A$2:$C$16,3,0))*E3283)+IF(B3283="iFood",F3283*0.27,(VLOOKUP(VENDAS!C3283,Bairros!$A$2:$B$90,2,0))))</f>
        <v/>
      </c>
      <c r="J3283" s="7" t="str">
        <f t="shared" si="205"/>
        <v/>
      </c>
      <c r="K3283" s="9">
        <f t="shared" ca="1" si="206"/>
        <v>45404.878290162036</v>
      </c>
      <c r="L3283" s="10">
        <f t="shared" ca="1" si="207"/>
        <v>45404.878290162036</v>
      </c>
    </row>
    <row r="3284" spans="6:12" x14ac:dyDescent="0.25">
      <c r="F3284" s="11" t="str">
        <f>IF(ISBLANK(D3284),"",(VLOOKUP(D3284,Cardápio!$A$2:$B$16,2,0))*E3284)</f>
        <v/>
      </c>
      <c r="H3284" s="7" t="str">
        <f t="shared" si="204"/>
        <v/>
      </c>
      <c r="I3284" s="7" t="str">
        <f>IF(AND(ISBLANK(D3284),ISBLANK(C3284)),"",((VLOOKUP(D3284,Cardápio!$A$2:$C$16,3,0))*E3284)+IF(B3284="iFood",F3284*0.27,(VLOOKUP(VENDAS!C3284,Bairros!$A$2:$B$90,2,0))))</f>
        <v/>
      </c>
      <c r="J3284" s="7" t="str">
        <f t="shared" si="205"/>
        <v/>
      </c>
      <c r="K3284" s="9">
        <f t="shared" ca="1" si="206"/>
        <v>45404.878290162036</v>
      </c>
      <c r="L3284" s="10">
        <f t="shared" ca="1" si="207"/>
        <v>45404.878290046297</v>
      </c>
    </row>
    <row r="3285" spans="6:12" x14ac:dyDescent="0.25">
      <c r="F3285" s="11" t="str">
        <f>IF(ISBLANK(D3285),"",(VLOOKUP(D3285,Cardápio!$A$2:$B$16,2,0))*E3285)</f>
        <v/>
      </c>
      <c r="H3285" s="7" t="str">
        <f t="shared" si="204"/>
        <v/>
      </c>
      <c r="I3285" s="7" t="str">
        <f>IF(AND(ISBLANK(D3285),ISBLANK(C3285)),"",((VLOOKUP(D3285,Cardápio!$A$2:$C$16,3,0))*E3285)+IF(B3285="iFood",F3285*0.27,(VLOOKUP(VENDAS!C3285,Bairros!$A$2:$B$90,2,0))))</f>
        <v/>
      </c>
      <c r="J3285" s="7" t="str">
        <f t="shared" si="205"/>
        <v/>
      </c>
      <c r="K3285" s="9">
        <f t="shared" ca="1" si="206"/>
        <v>45404.878290277775</v>
      </c>
      <c r="L3285" s="10">
        <f t="shared" ca="1" si="207"/>
        <v>45404.878290046297</v>
      </c>
    </row>
    <row r="3286" spans="6:12" x14ac:dyDescent="0.25">
      <c r="F3286" s="11" t="str">
        <f>IF(ISBLANK(D3286),"",(VLOOKUP(D3286,Cardápio!$A$2:$B$16,2,0))*E3286)</f>
        <v/>
      </c>
      <c r="H3286" s="7" t="str">
        <f t="shared" si="204"/>
        <v/>
      </c>
      <c r="I3286" s="7" t="str">
        <f>IF(AND(ISBLANK(D3286),ISBLANK(C3286)),"",((VLOOKUP(D3286,Cardápio!$A$2:$C$16,3,0))*E3286)+IF(B3286="iFood",F3286*0.27,(VLOOKUP(VENDAS!C3286,Bairros!$A$2:$B$90,2,0))))</f>
        <v/>
      </c>
      <c r="J3286" s="7" t="str">
        <f t="shared" si="205"/>
        <v/>
      </c>
      <c r="K3286" s="9">
        <f t="shared" ca="1" si="206"/>
        <v>45404.878290162036</v>
      </c>
      <c r="L3286" s="10">
        <f t="shared" ca="1" si="207"/>
        <v>45404.878290046297</v>
      </c>
    </row>
    <row r="3287" spans="6:12" x14ac:dyDescent="0.25">
      <c r="F3287" s="11" t="str">
        <f>IF(ISBLANK(D3287),"",(VLOOKUP(D3287,Cardápio!$A$2:$B$16,2,0))*E3287)</f>
        <v/>
      </c>
      <c r="H3287" s="7" t="str">
        <f t="shared" si="204"/>
        <v/>
      </c>
      <c r="I3287" s="7" t="str">
        <f>IF(AND(ISBLANK(D3287),ISBLANK(C3287)),"",((VLOOKUP(D3287,Cardápio!$A$2:$C$16,3,0))*E3287)+IF(B3287="iFood",F3287*0.27,(VLOOKUP(VENDAS!C3287,Bairros!$A$2:$B$90,2,0))))</f>
        <v/>
      </c>
      <c r="J3287" s="7" t="str">
        <f t="shared" si="205"/>
        <v/>
      </c>
      <c r="K3287" s="9">
        <f t="shared" ca="1" si="206"/>
        <v>45404.878290162036</v>
      </c>
      <c r="L3287" s="10">
        <f t="shared" ca="1" si="207"/>
        <v>45404.878290162036</v>
      </c>
    </row>
    <row r="3288" spans="6:12" x14ac:dyDescent="0.25">
      <c r="F3288" s="11" t="str">
        <f>IF(ISBLANK(D3288),"",(VLOOKUP(D3288,Cardápio!$A$2:$B$16,2,0))*E3288)</f>
        <v/>
      </c>
      <c r="H3288" s="7" t="str">
        <f t="shared" si="204"/>
        <v/>
      </c>
      <c r="I3288" s="7" t="str">
        <f>IF(AND(ISBLANK(D3288),ISBLANK(C3288)),"",((VLOOKUP(D3288,Cardápio!$A$2:$C$16,3,0))*E3288)+IF(B3288="iFood",F3288*0.27,(VLOOKUP(VENDAS!C3288,Bairros!$A$2:$B$90,2,0))))</f>
        <v/>
      </c>
      <c r="J3288" s="7" t="str">
        <f t="shared" si="205"/>
        <v/>
      </c>
      <c r="K3288" s="9">
        <f t="shared" ca="1" si="206"/>
        <v>45404.878290162036</v>
      </c>
      <c r="L3288" s="10">
        <f t="shared" ca="1" si="207"/>
        <v>45404.878290046297</v>
      </c>
    </row>
    <row r="3289" spans="6:12" x14ac:dyDescent="0.25">
      <c r="F3289" s="11" t="str">
        <f>IF(ISBLANK(D3289),"",(VLOOKUP(D3289,Cardápio!$A$2:$B$16,2,0))*E3289)</f>
        <v/>
      </c>
      <c r="H3289" s="7" t="str">
        <f t="shared" si="204"/>
        <v/>
      </c>
      <c r="I3289" s="7" t="str">
        <f>IF(AND(ISBLANK(D3289),ISBLANK(C3289)),"",((VLOOKUP(D3289,Cardápio!$A$2:$C$16,3,0))*E3289)+IF(B3289="iFood",F3289*0.27,(VLOOKUP(VENDAS!C3289,Bairros!$A$2:$B$90,2,0))))</f>
        <v/>
      </c>
      <c r="J3289" s="7" t="str">
        <f t="shared" si="205"/>
        <v/>
      </c>
      <c r="K3289" s="9">
        <f t="shared" ca="1" si="206"/>
        <v>45404.878290277775</v>
      </c>
      <c r="L3289" s="10">
        <f t="shared" ca="1" si="207"/>
        <v>45404.878290046297</v>
      </c>
    </row>
    <row r="3290" spans="6:12" x14ac:dyDescent="0.25">
      <c r="F3290" s="11" t="str">
        <f>IF(ISBLANK(D3290),"",(VLOOKUP(D3290,Cardápio!$A$2:$B$16,2,0))*E3290)</f>
        <v/>
      </c>
      <c r="H3290" s="7" t="str">
        <f t="shared" si="204"/>
        <v/>
      </c>
      <c r="I3290" s="7" t="str">
        <f>IF(AND(ISBLANK(D3290),ISBLANK(C3290)),"",((VLOOKUP(D3290,Cardápio!$A$2:$C$16,3,0))*E3290)+IF(B3290="iFood",F3290*0.27,(VLOOKUP(VENDAS!C3290,Bairros!$A$2:$B$90,2,0))))</f>
        <v/>
      </c>
      <c r="J3290" s="7" t="str">
        <f t="shared" si="205"/>
        <v/>
      </c>
      <c r="K3290" s="9">
        <f t="shared" ca="1" si="206"/>
        <v>45404.878290162036</v>
      </c>
      <c r="L3290" s="10">
        <f t="shared" ca="1" si="207"/>
        <v>45404.878290046297</v>
      </c>
    </row>
    <row r="3291" spans="6:12" x14ac:dyDescent="0.25">
      <c r="F3291" s="11" t="str">
        <f>IF(ISBLANK(D3291),"",(VLOOKUP(D3291,Cardápio!$A$2:$B$16,2,0))*E3291)</f>
        <v/>
      </c>
      <c r="H3291" s="7" t="str">
        <f t="shared" si="204"/>
        <v/>
      </c>
      <c r="I3291" s="7" t="str">
        <f>IF(AND(ISBLANK(D3291),ISBLANK(C3291)),"",((VLOOKUP(D3291,Cardápio!$A$2:$C$16,3,0))*E3291)+IF(B3291="iFood",F3291*0.27,(VLOOKUP(VENDAS!C3291,Bairros!$A$2:$B$90,2,0))))</f>
        <v/>
      </c>
      <c r="J3291" s="7" t="str">
        <f t="shared" si="205"/>
        <v/>
      </c>
      <c r="K3291" s="9">
        <f t="shared" ca="1" si="206"/>
        <v>45404.878290162036</v>
      </c>
      <c r="L3291" s="10">
        <f t="shared" ca="1" si="207"/>
        <v>45404.878290162036</v>
      </c>
    </row>
    <row r="3292" spans="6:12" x14ac:dyDescent="0.25">
      <c r="F3292" s="11" t="str">
        <f>IF(ISBLANK(D3292),"",(VLOOKUP(D3292,Cardápio!$A$2:$B$16,2,0))*E3292)</f>
        <v/>
      </c>
      <c r="H3292" s="7" t="str">
        <f t="shared" si="204"/>
        <v/>
      </c>
      <c r="I3292" s="7" t="str">
        <f>IF(AND(ISBLANK(D3292),ISBLANK(C3292)),"",((VLOOKUP(D3292,Cardápio!$A$2:$C$16,3,0))*E3292)+IF(B3292="iFood",F3292*0.27,(VLOOKUP(VENDAS!C3292,Bairros!$A$2:$B$90,2,0))))</f>
        <v/>
      </c>
      <c r="J3292" s="7" t="str">
        <f t="shared" si="205"/>
        <v/>
      </c>
      <c r="K3292" s="9">
        <f t="shared" ca="1" si="206"/>
        <v>45404.878290162036</v>
      </c>
      <c r="L3292" s="10">
        <f t="shared" ca="1" si="207"/>
        <v>45404.878290046297</v>
      </c>
    </row>
    <row r="3293" spans="6:12" x14ac:dyDescent="0.25">
      <c r="F3293" s="11" t="str">
        <f>IF(ISBLANK(D3293),"",(VLOOKUP(D3293,Cardápio!$A$2:$B$16,2,0))*E3293)</f>
        <v/>
      </c>
      <c r="H3293" s="7" t="str">
        <f t="shared" si="204"/>
        <v/>
      </c>
      <c r="I3293" s="7" t="str">
        <f>IF(AND(ISBLANK(D3293),ISBLANK(C3293)),"",((VLOOKUP(D3293,Cardápio!$A$2:$C$16,3,0))*E3293)+IF(B3293="iFood",F3293*0.27,(VLOOKUP(VENDAS!C3293,Bairros!$A$2:$B$90,2,0))))</f>
        <v/>
      </c>
      <c r="J3293" s="7" t="str">
        <f t="shared" si="205"/>
        <v/>
      </c>
      <c r="K3293" s="9">
        <f t="shared" ca="1" si="206"/>
        <v>45404.878290277775</v>
      </c>
      <c r="L3293" s="10">
        <f t="shared" ca="1" si="207"/>
        <v>45404.878290046297</v>
      </c>
    </row>
    <row r="3294" spans="6:12" x14ac:dyDescent="0.25">
      <c r="F3294" s="11" t="str">
        <f>IF(ISBLANK(D3294),"",(VLOOKUP(D3294,Cardápio!$A$2:$B$16,2,0))*E3294)</f>
        <v/>
      </c>
      <c r="H3294" s="7" t="str">
        <f t="shared" si="204"/>
        <v/>
      </c>
      <c r="I3294" s="7" t="str">
        <f>IF(AND(ISBLANK(D3294),ISBLANK(C3294)),"",((VLOOKUP(D3294,Cardápio!$A$2:$C$16,3,0))*E3294)+IF(B3294="iFood",F3294*0.27,(VLOOKUP(VENDAS!C3294,Bairros!$A$2:$B$90,2,0))))</f>
        <v/>
      </c>
      <c r="J3294" s="7" t="str">
        <f t="shared" si="205"/>
        <v/>
      </c>
      <c r="K3294" s="9">
        <f t="shared" ca="1" si="206"/>
        <v>45404.878290162036</v>
      </c>
      <c r="L3294" s="10">
        <f t="shared" ca="1" si="207"/>
        <v>45404.878290046297</v>
      </c>
    </row>
    <row r="3295" spans="6:12" x14ac:dyDescent="0.25">
      <c r="F3295" s="11" t="str">
        <f>IF(ISBLANK(D3295),"",(VLOOKUP(D3295,Cardápio!$A$2:$B$16,2,0))*E3295)</f>
        <v/>
      </c>
      <c r="H3295" s="7" t="str">
        <f t="shared" si="204"/>
        <v/>
      </c>
      <c r="I3295" s="7" t="str">
        <f>IF(AND(ISBLANK(D3295),ISBLANK(C3295)),"",((VLOOKUP(D3295,Cardápio!$A$2:$C$16,3,0))*E3295)+IF(B3295="iFood",F3295*0.27,(VLOOKUP(VENDAS!C3295,Bairros!$A$2:$B$90,2,0))))</f>
        <v/>
      </c>
      <c r="J3295" s="7" t="str">
        <f t="shared" si="205"/>
        <v/>
      </c>
      <c r="K3295" s="9">
        <f t="shared" ca="1" si="206"/>
        <v>45404.878290162036</v>
      </c>
      <c r="L3295" s="10">
        <f t="shared" ca="1" si="207"/>
        <v>45404.878290162036</v>
      </c>
    </row>
    <row r="3296" spans="6:12" x14ac:dyDescent="0.25">
      <c r="F3296" s="11" t="str">
        <f>IF(ISBLANK(D3296),"",(VLOOKUP(D3296,Cardápio!$A$2:$B$16,2,0))*E3296)</f>
        <v/>
      </c>
      <c r="H3296" s="7" t="str">
        <f t="shared" si="204"/>
        <v/>
      </c>
      <c r="I3296" s="7" t="str">
        <f>IF(AND(ISBLANK(D3296),ISBLANK(C3296)),"",((VLOOKUP(D3296,Cardápio!$A$2:$C$16,3,0))*E3296)+IF(B3296="iFood",F3296*0.27,(VLOOKUP(VENDAS!C3296,Bairros!$A$2:$B$90,2,0))))</f>
        <v/>
      </c>
      <c r="J3296" s="7" t="str">
        <f t="shared" si="205"/>
        <v/>
      </c>
      <c r="K3296" s="9">
        <f t="shared" ca="1" si="206"/>
        <v>45404.878290162036</v>
      </c>
      <c r="L3296" s="10">
        <f t="shared" ca="1" si="207"/>
        <v>45404.878290046297</v>
      </c>
    </row>
    <row r="3297" spans="6:12" x14ac:dyDescent="0.25">
      <c r="F3297" s="11" t="str">
        <f>IF(ISBLANK(D3297),"",(VLOOKUP(D3297,Cardápio!$A$2:$B$16,2,0))*E3297)</f>
        <v/>
      </c>
      <c r="H3297" s="7" t="str">
        <f t="shared" si="204"/>
        <v/>
      </c>
      <c r="I3297" s="7" t="str">
        <f>IF(AND(ISBLANK(D3297),ISBLANK(C3297)),"",((VLOOKUP(D3297,Cardápio!$A$2:$C$16,3,0))*E3297)+IF(B3297="iFood",F3297*0.27,(VLOOKUP(VENDAS!C3297,Bairros!$A$2:$B$90,2,0))))</f>
        <v/>
      </c>
      <c r="J3297" s="7" t="str">
        <f t="shared" si="205"/>
        <v/>
      </c>
      <c r="K3297" s="9">
        <f t="shared" ca="1" si="206"/>
        <v>45404.878290277775</v>
      </c>
      <c r="L3297" s="10">
        <f t="shared" ca="1" si="207"/>
        <v>45404.878290046297</v>
      </c>
    </row>
    <row r="3298" spans="6:12" x14ac:dyDescent="0.25">
      <c r="F3298" s="11" t="str">
        <f>IF(ISBLANK(D3298),"",(VLOOKUP(D3298,Cardápio!$A$2:$B$16,2,0))*E3298)</f>
        <v/>
      </c>
      <c r="H3298" s="7" t="str">
        <f t="shared" si="204"/>
        <v/>
      </c>
      <c r="I3298" s="7" t="str">
        <f>IF(AND(ISBLANK(D3298),ISBLANK(C3298)),"",((VLOOKUP(D3298,Cardápio!$A$2:$C$16,3,0))*E3298)+IF(B3298="iFood",F3298*0.27,(VLOOKUP(VENDAS!C3298,Bairros!$A$2:$B$90,2,0))))</f>
        <v/>
      </c>
      <c r="J3298" s="7" t="str">
        <f t="shared" si="205"/>
        <v/>
      </c>
      <c r="K3298" s="9">
        <f t="shared" ca="1" si="206"/>
        <v>45404.878290162036</v>
      </c>
      <c r="L3298" s="10">
        <f t="shared" ca="1" si="207"/>
        <v>45404.878290046297</v>
      </c>
    </row>
    <row r="3299" spans="6:12" x14ac:dyDescent="0.25">
      <c r="F3299" s="11" t="str">
        <f>IF(ISBLANK(D3299),"",(VLOOKUP(D3299,Cardápio!$A$2:$B$16,2,0))*E3299)</f>
        <v/>
      </c>
      <c r="H3299" s="7" t="str">
        <f t="shared" si="204"/>
        <v/>
      </c>
      <c r="I3299" s="7" t="str">
        <f>IF(AND(ISBLANK(D3299),ISBLANK(C3299)),"",((VLOOKUP(D3299,Cardápio!$A$2:$C$16,3,0))*E3299)+IF(B3299="iFood",F3299*0.27,(VLOOKUP(VENDAS!C3299,Bairros!$A$2:$B$90,2,0))))</f>
        <v/>
      </c>
      <c r="J3299" s="7" t="str">
        <f t="shared" si="205"/>
        <v/>
      </c>
      <c r="K3299" s="9">
        <f t="shared" ca="1" si="206"/>
        <v>45404.878290162036</v>
      </c>
      <c r="L3299" s="10">
        <f t="shared" ca="1" si="207"/>
        <v>45404.878290162036</v>
      </c>
    </row>
    <row r="3300" spans="6:12" x14ac:dyDescent="0.25">
      <c r="F3300" s="11" t="str">
        <f>IF(ISBLANK(D3300),"",(VLOOKUP(D3300,Cardápio!$A$2:$B$16,2,0))*E3300)</f>
        <v/>
      </c>
      <c r="H3300" s="7" t="str">
        <f t="shared" si="204"/>
        <v/>
      </c>
      <c r="I3300" s="7" t="str">
        <f>IF(AND(ISBLANK(D3300),ISBLANK(C3300)),"",((VLOOKUP(D3300,Cardápio!$A$2:$C$16,3,0))*E3300)+IF(B3300="iFood",F3300*0.27,(VLOOKUP(VENDAS!C3300,Bairros!$A$2:$B$90,2,0))))</f>
        <v/>
      </c>
      <c r="J3300" s="7" t="str">
        <f t="shared" si="205"/>
        <v/>
      </c>
      <c r="K3300" s="9">
        <f t="shared" ca="1" si="206"/>
        <v>45404.878290162036</v>
      </c>
      <c r="L3300" s="10">
        <f t="shared" ca="1" si="207"/>
        <v>45404.878290046297</v>
      </c>
    </row>
    <row r="3301" spans="6:12" x14ac:dyDescent="0.25">
      <c r="F3301" s="11" t="str">
        <f>IF(ISBLANK(D3301),"",(VLOOKUP(D3301,Cardápio!$A$2:$B$16,2,0))*E3301)</f>
        <v/>
      </c>
      <c r="H3301" s="7" t="str">
        <f t="shared" si="204"/>
        <v/>
      </c>
      <c r="I3301" s="7" t="str">
        <f>IF(AND(ISBLANK(D3301),ISBLANK(C3301)),"",((VLOOKUP(D3301,Cardápio!$A$2:$C$16,3,0))*E3301)+IF(B3301="iFood",F3301*0.27,(VLOOKUP(VENDAS!C3301,Bairros!$A$2:$B$90,2,0))))</f>
        <v/>
      </c>
      <c r="J3301" s="7" t="str">
        <f t="shared" si="205"/>
        <v/>
      </c>
      <c r="K3301" s="9">
        <f t="shared" ca="1" si="206"/>
        <v>45404.878290277775</v>
      </c>
      <c r="L3301" s="10">
        <f t="shared" ca="1" si="207"/>
        <v>45404.878290046297</v>
      </c>
    </row>
    <row r="3302" spans="6:12" x14ac:dyDescent="0.25">
      <c r="F3302" s="11" t="str">
        <f>IF(ISBLANK(D3302),"",(VLOOKUP(D3302,Cardápio!$A$2:$B$16,2,0))*E3302)</f>
        <v/>
      </c>
      <c r="H3302" s="7" t="str">
        <f t="shared" si="204"/>
        <v/>
      </c>
      <c r="I3302" s="7" t="str">
        <f>IF(AND(ISBLANK(D3302),ISBLANK(C3302)),"",((VLOOKUP(D3302,Cardápio!$A$2:$C$16,3,0))*E3302)+IF(B3302="iFood",F3302*0.27,(VLOOKUP(VENDAS!C3302,Bairros!$A$2:$B$90,2,0))))</f>
        <v/>
      </c>
      <c r="J3302" s="7" t="str">
        <f t="shared" si="205"/>
        <v/>
      </c>
      <c r="K3302" s="9">
        <f t="shared" ca="1" si="206"/>
        <v>45404.878290162036</v>
      </c>
      <c r="L3302" s="10">
        <f t="shared" ca="1" si="207"/>
        <v>45404.878290046297</v>
      </c>
    </row>
    <row r="3303" spans="6:12" x14ac:dyDescent="0.25">
      <c r="F3303" s="11" t="str">
        <f>IF(ISBLANK(D3303),"",(VLOOKUP(D3303,Cardápio!$A$2:$B$16,2,0))*E3303)</f>
        <v/>
      </c>
      <c r="H3303" s="7" t="str">
        <f t="shared" si="204"/>
        <v/>
      </c>
      <c r="I3303" s="7" t="str">
        <f>IF(AND(ISBLANK(D3303),ISBLANK(C3303)),"",((VLOOKUP(D3303,Cardápio!$A$2:$C$16,3,0))*E3303)+IF(B3303="iFood",F3303*0.27,(VLOOKUP(VENDAS!C3303,Bairros!$A$2:$B$90,2,0))))</f>
        <v/>
      </c>
      <c r="J3303" s="7" t="str">
        <f t="shared" si="205"/>
        <v/>
      </c>
      <c r="K3303" s="9">
        <f t="shared" ca="1" si="206"/>
        <v>45404.878290162036</v>
      </c>
      <c r="L3303" s="10">
        <f t="shared" ca="1" si="207"/>
        <v>45404.878290162036</v>
      </c>
    </row>
    <row r="3304" spans="6:12" x14ac:dyDescent="0.25">
      <c r="F3304" s="11" t="str">
        <f>IF(ISBLANK(D3304),"",(VLOOKUP(D3304,Cardápio!$A$2:$B$16,2,0))*E3304)</f>
        <v/>
      </c>
      <c r="H3304" s="7" t="str">
        <f t="shared" si="204"/>
        <v/>
      </c>
      <c r="I3304" s="7" t="str">
        <f>IF(AND(ISBLANK(D3304),ISBLANK(C3304)),"",((VLOOKUP(D3304,Cardápio!$A$2:$C$16,3,0))*E3304)+IF(B3304="iFood",F3304*0.27,(VLOOKUP(VENDAS!C3304,Bairros!$A$2:$B$90,2,0))))</f>
        <v/>
      </c>
      <c r="J3304" s="7" t="str">
        <f t="shared" si="205"/>
        <v/>
      </c>
      <c r="K3304" s="9">
        <f t="shared" ca="1" si="206"/>
        <v>45404.878290162036</v>
      </c>
      <c r="L3304" s="10">
        <f t="shared" ca="1" si="207"/>
        <v>45404.878290046297</v>
      </c>
    </row>
    <row r="3305" spans="6:12" x14ac:dyDescent="0.25">
      <c r="F3305" s="11" t="str">
        <f>IF(ISBLANK(D3305),"",(VLOOKUP(D3305,Cardápio!$A$2:$B$16,2,0))*E3305)</f>
        <v/>
      </c>
      <c r="H3305" s="7" t="str">
        <f t="shared" si="204"/>
        <v/>
      </c>
      <c r="I3305" s="7" t="str">
        <f>IF(AND(ISBLANK(D3305),ISBLANK(C3305)),"",((VLOOKUP(D3305,Cardápio!$A$2:$C$16,3,0))*E3305)+IF(B3305="iFood",F3305*0.27,(VLOOKUP(VENDAS!C3305,Bairros!$A$2:$B$90,2,0))))</f>
        <v/>
      </c>
      <c r="J3305" s="7" t="str">
        <f t="shared" si="205"/>
        <v/>
      </c>
      <c r="K3305" s="9">
        <f t="shared" ca="1" si="206"/>
        <v>45404.878290277775</v>
      </c>
      <c r="L3305" s="10">
        <f t="shared" ca="1" si="207"/>
        <v>45404.878290046297</v>
      </c>
    </row>
    <row r="3306" spans="6:12" x14ac:dyDescent="0.25">
      <c r="F3306" s="11" t="str">
        <f>IF(ISBLANK(D3306),"",(VLOOKUP(D3306,Cardápio!$A$2:$B$16,2,0))*E3306)</f>
        <v/>
      </c>
      <c r="H3306" s="7" t="str">
        <f t="shared" si="204"/>
        <v/>
      </c>
      <c r="I3306" s="7" t="str">
        <f>IF(AND(ISBLANK(D3306),ISBLANK(C3306)),"",((VLOOKUP(D3306,Cardápio!$A$2:$C$16,3,0))*E3306)+IF(B3306="iFood",F3306*0.27,(VLOOKUP(VENDAS!C3306,Bairros!$A$2:$B$90,2,0))))</f>
        <v/>
      </c>
      <c r="J3306" s="7" t="str">
        <f t="shared" si="205"/>
        <v/>
      </c>
      <c r="K3306" s="9">
        <f t="shared" ca="1" si="206"/>
        <v>45404.878290162036</v>
      </c>
      <c r="L3306" s="10">
        <f t="shared" ca="1" si="207"/>
        <v>45404.878290046297</v>
      </c>
    </row>
    <row r="3307" spans="6:12" x14ac:dyDescent="0.25">
      <c r="F3307" s="11" t="str">
        <f>IF(ISBLANK(D3307),"",(VLOOKUP(D3307,Cardápio!$A$2:$B$16,2,0))*E3307)</f>
        <v/>
      </c>
      <c r="H3307" s="7" t="str">
        <f t="shared" si="204"/>
        <v/>
      </c>
      <c r="I3307" s="7" t="str">
        <f>IF(AND(ISBLANK(D3307),ISBLANK(C3307)),"",((VLOOKUP(D3307,Cardápio!$A$2:$C$16,3,0))*E3307)+IF(B3307="iFood",F3307*0.27,(VLOOKUP(VENDAS!C3307,Bairros!$A$2:$B$90,2,0))))</f>
        <v/>
      </c>
      <c r="J3307" s="7" t="str">
        <f t="shared" si="205"/>
        <v/>
      </c>
      <c r="K3307" s="9">
        <f t="shared" ca="1" si="206"/>
        <v>45404.878290162036</v>
      </c>
      <c r="L3307" s="10">
        <f t="shared" ca="1" si="207"/>
        <v>45404.878290162036</v>
      </c>
    </row>
    <row r="3308" spans="6:12" x14ac:dyDescent="0.25">
      <c r="F3308" s="11" t="str">
        <f>IF(ISBLANK(D3308),"",(VLOOKUP(D3308,Cardápio!$A$2:$B$16,2,0))*E3308)</f>
        <v/>
      </c>
      <c r="H3308" s="7" t="str">
        <f t="shared" si="204"/>
        <v/>
      </c>
      <c r="I3308" s="7" t="str">
        <f>IF(AND(ISBLANK(D3308),ISBLANK(C3308)),"",((VLOOKUP(D3308,Cardápio!$A$2:$C$16,3,0))*E3308)+IF(B3308="iFood",F3308*0.27,(VLOOKUP(VENDAS!C3308,Bairros!$A$2:$B$90,2,0))))</f>
        <v/>
      </c>
      <c r="J3308" s="7" t="str">
        <f t="shared" si="205"/>
        <v/>
      </c>
      <c r="K3308" s="9">
        <f t="shared" ca="1" si="206"/>
        <v>45404.878290162036</v>
      </c>
      <c r="L3308" s="10">
        <f t="shared" ca="1" si="207"/>
        <v>45404.878290046297</v>
      </c>
    </row>
    <row r="3309" spans="6:12" x14ac:dyDescent="0.25">
      <c r="F3309" s="11" t="str">
        <f>IF(ISBLANK(D3309),"",(VLOOKUP(D3309,Cardápio!$A$2:$B$16,2,0))*E3309)</f>
        <v/>
      </c>
      <c r="H3309" s="7" t="str">
        <f t="shared" si="204"/>
        <v/>
      </c>
      <c r="I3309" s="7" t="str">
        <f>IF(AND(ISBLANK(D3309),ISBLANK(C3309)),"",((VLOOKUP(D3309,Cardápio!$A$2:$C$16,3,0))*E3309)+IF(B3309="iFood",F3309*0.27,(VLOOKUP(VENDAS!C3309,Bairros!$A$2:$B$90,2,0))))</f>
        <v/>
      </c>
      <c r="J3309" s="7" t="str">
        <f t="shared" si="205"/>
        <v/>
      </c>
      <c r="K3309" s="9">
        <f t="shared" ca="1" si="206"/>
        <v>45404.878290277775</v>
      </c>
      <c r="L3309" s="10">
        <f t="shared" ca="1" si="207"/>
        <v>45404.878290046297</v>
      </c>
    </row>
    <row r="3310" spans="6:12" x14ac:dyDescent="0.25">
      <c r="F3310" s="11" t="str">
        <f>IF(ISBLANK(D3310),"",(VLOOKUP(D3310,Cardápio!$A$2:$B$16,2,0))*E3310)</f>
        <v/>
      </c>
      <c r="H3310" s="7" t="str">
        <f t="shared" si="204"/>
        <v/>
      </c>
      <c r="I3310" s="7" t="str">
        <f>IF(AND(ISBLANK(D3310),ISBLANK(C3310)),"",((VLOOKUP(D3310,Cardápio!$A$2:$C$16,3,0))*E3310)+IF(B3310="iFood",F3310*0.27,(VLOOKUP(VENDAS!C3310,Bairros!$A$2:$B$90,2,0))))</f>
        <v/>
      </c>
      <c r="J3310" s="7" t="str">
        <f t="shared" si="205"/>
        <v/>
      </c>
      <c r="K3310" s="9">
        <f t="shared" ca="1" si="206"/>
        <v>45404.878290162036</v>
      </c>
      <c r="L3310" s="10">
        <f t="shared" ca="1" si="207"/>
        <v>45404.878290046297</v>
      </c>
    </row>
    <row r="3311" spans="6:12" x14ac:dyDescent="0.25">
      <c r="F3311" s="11" t="str">
        <f>IF(ISBLANK(D3311),"",(VLOOKUP(D3311,Cardápio!$A$2:$B$16,2,0))*E3311)</f>
        <v/>
      </c>
      <c r="H3311" s="7" t="str">
        <f t="shared" si="204"/>
        <v/>
      </c>
      <c r="I3311" s="7" t="str">
        <f>IF(AND(ISBLANK(D3311),ISBLANK(C3311)),"",((VLOOKUP(D3311,Cardápio!$A$2:$C$16,3,0))*E3311)+IF(B3311="iFood",F3311*0.27,(VLOOKUP(VENDAS!C3311,Bairros!$A$2:$B$90,2,0))))</f>
        <v/>
      </c>
      <c r="J3311" s="7" t="str">
        <f t="shared" si="205"/>
        <v/>
      </c>
      <c r="K3311" s="9">
        <f t="shared" ca="1" si="206"/>
        <v>45404.878290162036</v>
      </c>
      <c r="L3311" s="10">
        <f t="shared" ca="1" si="207"/>
        <v>45404.878290162036</v>
      </c>
    </row>
    <row r="3312" spans="6:12" x14ac:dyDescent="0.25">
      <c r="F3312" s="11" t="str">
        <f>IF(ISBLANK(D3312),"",(VLOOKUP(D3312,Cardápio!$A$2:$B$16,2,0))*E3312)</f>
        <v/>
      </c>
      <c r="H3312" s="7" t="str">
        <f t="shared" si="204"/>
        <v/>
      </c>
      <c r="I3312" s="7" t="str">
        <f>IF(AND(ISBLANK(D3312),ISBLANK(C3312)),"",((VLOOKUP(D3312,Cardápio!$A$2:$C$16,3,0))*E3312)+IF(B3312="iFood",F3312*0.27,(VLOOKUP(VENDAS!C3312,Bairros!$A$2:$B$90,2,0))))</f>
        <v/>
      </c>
      <c r="J3312" s="7" t="str">
        <f t="shared" si="205"/>
        <v/>
      </c>
      <c r="K3312" s="9">
        <f t="shared" ca="1" si="206"/>
        <v>45404.878290162036</v>
      </c>
      <c r="L3312" s="10">
        <f t="shared" ca="1" si="207"/>
        <v>45404.878290046297</v>
      </c>
    </row>
    <row r="3313" spans="6:12" x14ac:dyDescent="0.25">
      <c r="F3313" s="11" t="str">
        <f>IF(ISBLANK(D3313),"",(VLOOKUP(D3313,Cardápio!$A$2:$B$16,2,0))*E3313)</f>
        <v/>
      </c>
      <c r="H3313" s="7" t="str">
        <f t="shared" si="204"/>
        <v/>
      </c>
      <c r="I3313" s="7" t="str">
        <f>IF(AND(ISBLANK(D3313),ISBLANK(C3313)),"",((VLOOKUP(D3313,Cardápio!$A$2:$C$16,3,0))*E3313)+IF(B3313="iFood",F3313*0.27,(VLOOKUP(VENDAS!C3313,Bairros!$A$2:$B$90,2,0))))</f>
        <v/>
      </c>
      <c r="J3313" s="7" t="str">
        <f t="shared" si="205"/>
        <v/>
      </c>
      <c r="K3313" s="9">
        <f t="shared" ca="1" si="206"/>
        <v>45404.878290277775</v>
      </c>
      <c r="L3313" s="10">
        <f t="shared" ca="1" si="207"/>
        <v>45404.878290046297</v>
      </c>
    </row>
    <row r="3314" spans="6:12" x14ac:dyDescent="0.25">
      <c r="F3314" s="11" t="str">
        <f>IF(ISBLANK(D3314),"",(VLOOKUP(D3314,Cardápio!$A$2:$B$16,2,0))*E3314)</f>
        <v/>
      </c>
      <c r="H3314" s="7" t="str">
        <f t="shared" si="204"/>
        <v/>
      </c>
      <c r="I3314" s="7" t="str">
        <f>IF(AND(ISBLANK(D3314),ISBLANK(C3314)),"",((VLOOKUP(D3314,Cardápio!$A$2:$C$16,3,0))*E3314)+IF(B3314="iFood",F3314*0.27,(VLOOKUP(VENDAS!C3314,Bairros!$A$2:$B$90,2,0))))</f>
        <v/>
      </c>
      <c r="J3314" s="7" t="str">
        <f t="shared" si="205"/>
        <v/>
      </c>
      <c r="K3314" s="9">
        <f t="shared" ca="1" si="206"/>
        <v>45404.878290162036</v>
      </c>
      <c r="L3314" s="10">
        <f t="shared" ca="1" si="207"/>
        <v>45404.878290046297</v>
      </c>
    </row>
    <row r="3315" spans="6:12" x14ac:dyDescent="0.25">
      <c r="F3315" s="11" t="str">
        <f>IF(ISBLANK(D3315),"",(VLOOKUP(D3315,Cardápio!$A$2:$B$16,2,0))*E3315)</f>
        <v/>
      </c>
      <c r="H3315" s="7" t="str">
        <f t="shared" si="204"/>
        <v/>
      </c>
      <c r="I3315" s="7" t="str">
        <f>IF(AND(ISBLANK(D3315),ISBLANK(C3315)),"",((VLOOKUP(D3315,Cardápio!$A$2:$C$16,3,0))*E3315)+IF(B3315="iFood",F3315*0.27,(VLOOKUP(VENDAS!C3315,Bairros!$A$2:$B$90,2,0))))</f>
        <v/>
      </c>
      <c r="J3315" s="7" t="str">
        <f t="shared" si="205"/>
        <v/>
      </c>
      <c r="K3315" s="9">
        <f t="shared" ca="1" si="206"/>
        <v>45404.878290162036</v>
      </c>
      <c r="L3315" s="10">
        <f t="shared" ca="1" si="207"/>
        <v>45404.878290162036</v>
      </c>
    </row>
    <row r="3316" spans="6:12" x14ac:dyDescent="0.25">
      <c r="F3316" s="11" t="str">
        <f>IF(ISBLANK(D3316),"",(VLOOKUP(D3316,Cardápio!$A$2:$B$16,2,0))*E3316)</f>
        <v/>
      </c>
      <c r="H3316" s="7" t="str">
        <f t="shared" si="204"/>
        <v/>
      </c>
      <c r="I3316" s="7" t="str">
        <f>IF(AND(ISBLANK(D3316),ISBLANK(C3316)),"",((VLOOKUP(D3316,Cardápio!$A$2:$C$16,3,0))*E3316)+IF(B3316="iFood",F3316*0.27,(VLOOKUP(VENDAS!C3316,Bairros!$A$2:$B$90,2,0))))</f>
        <v/>
      </c>
      <c r="J3316" s="7" t="str">
        <f t="shared" si="205"/>
        <v/>
      </c>
      <c r="K3316" s="9">
        <f t="shared" ca="1" si="206"/>
        <v>45404.878290162036</v>
      </c>
      <c r="L3316" s="10">
        <f t="shared" ca="1" si="207"/>
        <v>45404.878290046297</v>
      </c>
    </row>
    <row r="3317" spans="6:12" x14ac:dyDescent="0.25">
      <c r="F3317" s="11" t="str">
        <f>IF(ISBLANK(D3317),"",(VLOOKUP(D3317,Cardápio!$A$2:$B$16,2,0))*E3317)</f>
        <v/>
      </c>
      <c r="H3317" s="7" t="str">
        <f t="shared" ref="H3317:H3380" si="208">IF(ISBLANK(D3317),"",F3317-G3317)</f>
        <v/>
      </c>
      <c r="I3317" s="7" t="str">
        <f>IF(AND(ISBLANK(D3317),ISBLANK(C3317)),"",((VLOOKUP(D3317,Cardápio!$A$2:$C$16,3,0))*E3317)+IF(B3317="iFood",F3317*0.27,(VLOOKUP(VENDAS!C3317,Bairros!$A$2:$B$90,2,0))))</f>
        <v/>
      </c>
      <c r="J3317" s="7" t="str">
        <f t="shared" ref="J3317:J3380" si="209">IF(OR(AND(ISBLANK(H3317),ISBLANK(I3317)),(AND(H3317="",I3317=""))),"",H3317-I3317)</f>
        <v/>
      </c>
      <c r="K3317" s="9">
        <f t="shared" ref="K3317:K3380" ca="1" si="210">IF(D3317&lt;&gt;"",K3317,NOW())</f>
        <v>45404.878290277775</v>
      </c>
      <c r="L3317" s="10">
        <f t="shared" ref="L3317:L3380" ca="1" si="211">IF(D3317&lt;&gt;"",L3317,NOW())</f>
        <v>45404.878290046297</v>
      </c>
    </row>
    <row r="3318" spans="6:12" x14ac:dyDescent="0.25">
      <c r="F3318" s="11" t="str">
        <f>IF(ISBLANK(D3318),"",(VLOOKUP(D3318,Cardápio!$A$2:$B$16,2,0))*E3318)</f>
        <v/>
      </c>
      <c r="H3318" s="7" t="str">
        <f t="shared" si="208"/>
        <v/>
      </c>
      <c r="I3318" s="7" t="str">
        <f>IF(AND(ISBLANK(D3318),ISBLANK(C3318)),"",((VLOOKUP(D3318,Cardápio!$A$2:$C$16,3,0))*E3318)+IF(B3318="iFood",F3318*0.27,(VLOOKUP(VENDAS!C3318,Bairros!$A$2:$B$90,2,0))))</f>
        <v/>
      </c>
      <c r="J3318" s="7" t="str">
        <f t="shared" si="209"/>
        <v/>
      </c>
      <c r="K3318" s="9">
        <f t="shared" ca="1" si="210"/>
        <v>45404.878290162036</v>
      </c>
      <c r="L3318" s="10">
        <f t="shared" ca="1" si="211"/>
        <v>45404.878290046297</v>
      </c>
    </row>
    <row r="3319" spans="6:12" x14ac:dyDescent="0.25">
      <c r="F3319" s="11" t="str">
        <f>IF(ISBLANK(D3319),"",(VLOOKUP(D3319,Cardápio!$A$2:$B$16,2,0))*E3319)</f>
        <v/>
      </c>
      <c r="H3319" s="7" t="str">
        <f t="shared" si="208"/>
        <v/>
      </c>
      <c r="I3319" s="7" t="str">
        <f>IF(AND(ISBLANK(D3319),ISBLANK(C3319)),"",((VLOOKUP(D3319,Cardápio!$A$2:$C$16,3,0))*E3319)+IF(B3319="iFood",F3319*0.27,(VLOOKUP(VENDAS!C3319,Bairros!$A$2:$B$90,2,0))))</f>
        <v/>
      </c>
      <c r="J3319" s="7" t="str">
        <f t="shared" si="209"/>
        <v/>
      </c>
      <c r="K3319" s="9">
        <f t="shared" ca="1" si="210"/>
        <v>45404.878290162036</v>
      </c>
      <c r="L3319" s="10">
        <f t="shared" ca="1" si="211"/>
        <v>45404.878290162036</v>
      </c>
    </row>
    <row r="3320" spans="6:12" x14ac:dyDescent="0.25">
      <c r="F3320" s="11" t="str">
        <f>IF(ISBLANK(D3320),"",(VLOOKUP(D3320,Cardápio!$A$2:$B$16,2,0))*E3320)</f>
        <v/>
      </c>
      <c r="H3320" s="7" t="str">
        <f t="shared" si="208"/>
        <v/>
      </c>
      <c r="I3320" s="7" t="str">
        <f>IF(AND(ISBLANK(D3320),ISBLANK(C3320)),"",((VLOOKUP(D3320,Cardápio!$A$2:$C$16,3,0))*E3320)+IF(B3320="iFood",F3320*0.27,(VLOOKUP(VENDAS!C3320,Bairros!$A$2:$B$90,2,0))))</f>
        <v/>
      </c>
      <c r="J3320" s="7" t="str">
        <f t="shared" si="209"/>
        <v/>
      </c>
      <c r="K3320" s="9">
        <f t="shared" ca="1" si="210"/>
        <v>45404.878290162036</v>
      </c>
      <c r="L3320" s="10">
        <f t="shared" ca="1" si="211"/>
        <v>45404.878290046297</v>
      </c>
    </row>
    <row r="3321" spans="6:12" x14ac:dyDescent="0.25">
      <c r="F3321" s="11" t="str">
        <f>IF(ISBLANK(D3321),"",(VLOOKUP(D3321,Cardápio!$A$2:$B$16,2,0))*E3321)</f>
        <v/>
      </c>
      <c r="H3321" s="7" t="str">
        <f t="shared" si="208"/>
        <v/>
      </c>
      <c r="I3321" s="7" t="str">
        <f>IF(AND(ISBLANK(D3321),ISBLANK(C3321)),"",((VLOOKUP(D3321,Cardápio!$A$2:$C$16,3,0))*E3321)+IF(B3321="iFood",F3321*0.27,(VLOOKUP(VENDAS!C3321,Bairros!$A$2:$B$90,2,0))))</f>
        <v/>
      </c>
      <c r="J3321" s="7" t="str">
        <f t="shared" si="209"/>
        <v/>
      </c>
      <c r="K3321" s="9">
        <f t="shared" ca="1" si="210"/>
        <v>45404.878290277775</v>
      </c>
      <c r="L3321" s="10">
        <f t="shared" ca="1" si="211"/>
        <v>45404.878290046297</v>
      </c>
    </row>
    <row r="3322" spans="6:12" x14ac:dyDescent="0.25">
      <c r="F3322" s="11" t="str">
        <f>IF(ISBLANK(D3322),"",(VLOOKUP(D3322,Cardápio!$A$2:$B$16,2,0))*E3322)</f>
        <v/>
      </c>
      <c r="H3322" s="7" t="str">
        <f t="shared" si="208"/>
        <v/>
      </c>
      <c r="I3322" s="7" t="str">
        <f>IF(AND(ISBLANK(D3322),ISBLANK(C3322)),"",((VLOOKUP(D3322,Cardápio!$A$2:$C$16,3,0))*E3322)+IF(B3322="iFood",F3322*0.27,(VLOOKUP(VENDAS!C3322,Bairros!$A$2:$B$90,2,0))))</f>
        <v/>
      </c>
      <c r="J3322" s="7" t="str">
        <f t="shared" si="209"/>
        <v/>
      </c>
      <c r="K3322" s="9">
        <f t="shared" ca="1" si="210"/>
        <v>45404.878290162036</v>
      </c>
      <c r="L3322" s="10">
        <f t="shared" ca="1" si="211"/>
        <v>45404.878290046297</v>
      </c>
    </row>
    <row r="3323" spans="6:12" x14ac:dyDescent="0.25">
      <c r="F3323" s="11" t="str">
        <f>IF(ISBLANK(D3323),"",(VLOOKUP(D3323,Cardápio!$A$2:$B$16,2,0))*E3323)</f>
        <v/>
      </c>
      <c r="H3323" s="7" t="str">
        <f t="shared" si="208"/>
        <v/>
      </c>
      <c r="I3323" s="7" t="str">
        <f>IF(AND(ISBLANK(D3323),ISBLANK(C3323)),"",((VLOOKUP(D3323,Cardápio!$A$2:$C$16,3,0))*E3323)+IF(B3323="iFood",F3323*0.27,(VLOOKUP(VENDAS!C3323,Bairros!$A$2:$B$90,2,0))))</f>
        <v/>
      </c>
      <c r="J3323" s="7" t="str">
        <f t="shared" si="209"/>
        <v/>
      </c>
      <c r="K3323" s="9">
        <f t="shared" ca="1" si="210"/>
        <v>45404.878290162036</v>
      </c>
      <c r="L3323" s="10">
        <f t="shared" ca="1" si="211"/>
        <v>45404.878290162036</v>
      </c>
    </row>
    <row r="3324" spans="6:12" x14ac:dyDescent="0.25">
      <c r="F3324" s="11" t="str">
        <f>IF(ISBLANK(D3324),"",(VLOOKUP(D3324,Cardápio!$A$2:$B$16,2,0))*E3324)</f>
        <v/>
      </c>
      <c r="H3324" s="7" t="str">
        <f t="shared" si="208"/>
        <v/>
      </c>
      <c r="I3324" s="7" t="str">
        <f>IF(AND(ISBLANK(D3324),ISBLANK(C3324)),"",((VLOOKUP(D3324,Cardápio!$A$2:$C$16,3,0))*E3324)+IF(B3324="iFood",F3324*0.27,(VLOOKUP(VENDAS!C3324,Bairros!$A$2:$B$90,2,0))))</f>
        <v/>
      </c>
      <c r="J3324" s="7" t="str">
        <f t="shared" si="209"/>
        <v/>
      </c>
      <c r="K3324" s="9">
        <f t="shared" ca="1" si="210"/>
        <v>45404.878290162036</v>
      </c>
      <c r="L3324" s="10">
        <f t="shared" ca="1" si="211"/>
        <v>45404.878290046297</v>
      </c>
    </row>
    <row r="3325" spans="6:12" x14ac:dyDescent="0.25">
      <c r="F3325" s="11" t="str">
        <f>IF(ISBLANK(D3325),"",(VLOOKUP(D3325,Cardápio!$A$2:$B$16,2,0))*E3325)</f>
        <v/>
      </c>
      <c r="H3325" s="7" t="str">
        <f t="shared" si="208"/>
        <v/>
      </c>
      <c r="I3325" s="7" t="str">
        <f>IF(AND(ISBLANK(D3325),ISBLANK(C3325)),"",((VLOOKUP(D3325,Cardápio!$A$2:$C$16,3,0))*E3325)+IF(B3325="iFood",F3325*0.27,(VLOOKUP(VENDAS!C3325,Bairros!$A$2:$B$90,2,0))))</f>
        <v/>
      </c>
      <c r="J3325" s="7" t="str">
        <f t="shared" si="209"/>
        <v/>
      </c>
      <c r="K3325" s="9">
        <f t="shared" ca="1" si="210"/>
        <v>45404.878290277775</v>
      </c>
      <c r="L3325" s="10">
        <f t="shared" ca="1" si="211"/>
        <v>45404.878290046297</v>
      </c>
    </row>
    <row r="3326" spans="6:12" x14ac:dyDescent="0.25">
      <c r="F3326" s="11" t="str">
        <f>IF(ISBLANK(D3326),"",(VLOOKUP(D3326,Cardápio!$A$2:$B$16,2,0))*E3326)</f>
        <v/>
      </c>
      <c r="H3326" s="7" t="str">
        <f t="shared" si="208"/>
        <v/>
      </c>
      <c r="I3326" s="7" t="str">
        <f>IF(AND(ISBLANK(D3326),ISBLANK(C3326)),"",((VLOOKUP(D3326,Cardápio!$A$2:$C$16,3,0))*E3326)+IF(B3326="iFood",F3326*0.27,(VLOOKUP(VENDAS!C3326,Bairros!$A$2:$B$90,2,0))))</f>
        <v/>
      </c>
      <c r="J3326" s="7" t="str">
        <f t="shared" si="209"/>
        <v/>
      </c>
      <c r="K3326" s="9">
        <f t="shared" ca="1" si="210"/>
        <v>45404.878290162036</v>
      </c>
      <c r="L3326" s="10">
        <f t="shared" ca="1" si="211"/>
        <v>45404.878290046297</v>
      </c>
    </row>
    <row r="3327" spans="6:12" x14ac:dyDescent="0.25">
      <c r="F3327" s="11" t="str">
        <f>IF(ISBLANK(D3327),"",(VLOOKUP(D3327,Cardápio!$A$2:$B$16,2,0))*E3327)</f>
        <v/>
      </c>
      <c r="H3327" s="7" t="str">
        <f t="shared" si="208"/>
        <v/>
      </c>
      <c r="I3327" s="7" t="str">
        <f>IF(AND(ISBLANK(D3327),ISBLANK(C3327)),"",((VLOOKUP(D3327,Cardápio!$A$2:$C$16,3,0))*E3327)+IF(B3327="iFood",F3327*0.27,(VLOOKUP(VENDAS!C3327,Bairros!$A$2:$B$90,2,0))))</f>
        <v/>
      </c>
      <c r="J3327" s="7" t="str">
        <f t="shared" si="209"/>
        <v/>
      </c>
      <c r="K3327" s="9">
        <f t="shared" ca="1" si="210"/>
        <v>45404.878290162036</v>
      </c>
      <c r="L3327" s="10">
        <f t="shared" ca="1" si="211"/>
        <v>45404.878290162036</v>
      </c>
    </row>
    <row r="3328" spans="6:12" x14ac:dyDescent="0.25">
      <c r="F3328" s="11" t="str">
        <f>IF(ISBLANK(D3328),"",(VLOOKUP(D3328,Cardápio!$A$2:$B$16,2,0))*E3328)</f>
        <v/>
      </c>
      <c r="H3328" s="7" t="str">
        <f t="shared" si="208"/>
        <v/>
      </c>
      <c r="I3328" s="7" t="str">
        <f>IF(AND(ISBLANK(D3328),ISBLANK(C3328)),"",((VLOOKUP(D3328,Cardápio!$A$2:$C$16,3,0))*E3328)+IF(B3328="iFood",F3328*0.27,(VLOOKUP(VENDAS!C3328,Bairros!$A$2:$B$90,2,0))))</f>
        <v/>
      </c>
      <c r="J3328" s="7" t="str">
        <f t="shared" si="209"/>
        <v/>
      </c>
      <c r="K3328" s="9">
        <f t="shared" ca="1" si="210"/>
        <v>45404.878290162036</v>
      </c>
      <c r="L3328" s="10">
        <f t="shared" ca="1" si="211"/>
        <v>45404.878290046297</v>
      </c>
    </row>
    <row r="3329" spans="6:12" x14ac:dyDescent="0.25">
      <c r="F3329" s="11" t="str">
        <f>IF(ISBLANK(D3329),"",(VLOOKUP(D3329,Cardápio!$A$2:$B$16,2,0))*E3329)</f>
        <v/>
      </c>
      <c r="H3329" s="7" t="str">
        <f t="shared" si="208"/>
        <v/>
      </c>
      <c r="I3329" s="7" t="str">
        <f>IF(AND(ISBLANK(D3329),ISBLANK(C3329)),"",((VLOOKUP(D3329,Cardápio!$A$2:$C$16,3,0))*E3329)+IF(B3329="iFood",F3329*0.27,(VLOOKUP(VENDAS!C3329,Bairros!$A$2:$B$90,2,0))))</f>
        <v/>
      </c>
      <c r="J3329" s="7" t="str">
        <f t="shared" si="209"/>
        <v/>
      </c>
      <c r="K3329" s="9">
        <f t="shared" ca="1" si="210"/>
        <v>45404.878290277775</v>
      </c>
      <c r="L3329" s="10">
        <f t="shared" ca="1" si="211"/>
        <v>45404.878290046297</v>
      </c>
    </row>
    <row r="3330" spans="6:12" x14ac:dyDescent="0.25">
      <c r="F3330" s="11" t="str">
        <f>IF(ISBLANK(D3330),"",(VLOOKUP(D3330,Cardápio!$A$2:$B$16,2,0))*E3330)</f>
        <v/>
      </c>
      <c r="H3330" s="7" t="str">
        <f t="shared" si="208"/>
        <v/>
      </c>
      <c r="I3330" s="7" t="str">
        <f>IF(AND(ISBLANK(D3330),ISBLANK(C3330)),"",((VLOOKUP(D3330,Cardápio!$A$2:$C$16,3,0))*E3330)+IF(B3330="iFood",F3330*0.27,(VLOOKUP(VENDAS!C3330,Bairros!$A$2:$B$90,2,0))))</f>
        <v/>
      </c>
      <c r="J3330" s="7" t="str">
        <f t="shared" si="209"/>
        <v/>
      </c>
      <c r="K3330" s="9">
        <f t="shared" ca="1" si="210"/>
        <v>45404.878290162036</v>
      </c>
      <c r="L3330" s="10">
        <f t="shared" ca="1" si="211"/>
        <v>45404.878290046297</v>
      </c>
    </row>
    <row r="3331" spans="6:12" x14ac:dyDescent="0.25">
      <c r="F3331" s="11" t="str">
        <f>IF(ISBLANK(D3331),"",(VLOOKUP(D3331,Cardápio!$A$2:$B$16,2,0))*E3331)</f>
        <v/>
      </c>
      <c r="H3331" s="7" t="str">
        <f t="shared" si="208"/>
        <v/>
      </c>
      <c r="I3331" s="7" t="str">
        <f>IF(AND(ISBLANK(D3331),ISBLANK(C3331)),"",((VLOOKUP(D3331,Cardápio!$A$2:$C$16,3,0))*E3331)+IF(B3331="iFood",F3331*0.27,(VLOOKUP(VENDAS!C3331,Bairros!$A$2:$B$90,2,0))))</f>
        <v/>
      </c>
      <c r="J3331" s="7" t="str">
        <f t="shared" si="209"/>
        <v/>
      </c>
      <c r="K3331" s="9">
        <f t="shared" ca="1" si="210"/>
        <v>45404.878290162036</v>
      </c>
      <c r="L3331" s="10">
        <f t="shared" ca="1" si="211"/>
        <v>45404.878290162036</v>
      </c>
    </row>
    <row r="3332" spans="6:12" x14ac:dyDescent="0.25">
      <c r="F3332" s="11" t="str">
        <f>IF(ISBLANK(D3332),"",(VLOOKUP(D3332,Cardápio!$A$2:$B$16,2,0))*E3332)</f>
        <v/>
      </c>
      <c r="H3332" s="7" t="str">
        <f t="shared" si="208"/>
        <v/>
      </c>
      <c r="I3332" s="7" t="str">
        <f>IF(AND(ISBLANK(D3332),ISBLANK(C3332)),"",((VLOOKUP(D3332,Cardápio!$A$2:$C$16,3,0))*E3332)+IF(B3332="iFood",F3332*0.27,(VLOOKUP(VENDAS!C3332,Bairros!$A$2:$B$90,2,0))))</f>
        <v/>
      </c>
      <c r="J3332" s="7" t="str">
        <f t="shared" si="209"/>
        <v/>
      </c>
      <c r="K3332" s="9">
        <f t="shared" ca="1" si="210"/>
        <v>45404.878290162036</v>
      </c>
      <c r="L3332" s="10">
        <f t="shared" ca="1" si="211"/>
        <v>45404.878290046297</v>
      </c>
    </row>
    <row r="3333" spans="6:12" x14ac:dyDescent="0.25">
      <c r="F3333" s="11" t="str">
        <f>IF(ISBLANK(D3333),"",(VLOOKUP(D3333,Cardápio!$A$2:$B$16,2,0))*E3333)</f>
        <v/>
      </c>
      <c r="H3333" s="7" t="str">
        <f t="shared" si="208"/>
        <v/>
      </c>
      <c r="I3333" s="7" t="str">
        <f>IF(AND(ISBLANK(D3333),ISBLANK(C3333)),"",((VLOOKUP(D3333,Cardápio!$A$2:$C$16,3,0))*E3333)+IF(B3333="iFood",F3333*0.27,(VLOOKUP(VENDAS!C3333,Bairros!$A$2:$B$90,2,0))))</f>
        <v/>
      </c>
      <c r="J3333" s="7" t="str">
        <f t="shared" si="209"/>
        <v/>
      </c>
      <c r="K3333" s="9">
        <f t="shared" ca="1" si="210"/>
        <v>45404.878290277775</v>
      </c>
      <c r="L3333" s="10">
        <f t="shared" ca="1" si="211"/>
        <v>45404.878290046297</v>
      </c>
    </row>
    <row r="3334" spans="6:12" x14ac:dyDescent="0.25">
      <c r="F3334" s="11" t="str">
        <f>IF(ISBLANK(D3334),"",(VLOOKUP(D3334,Cardápio!$A$2:$B$16,2,0))*E3334)</f>
        <v/>
      </c>
      <c r="H3334" s="7" t="str">
        <f t="shared" si="208"/>
        <v/>
      </c>
      <c r="I3334" s="7" t="str">
        <f>IF(AND(ISBLANK(D3334),ISBLANK(C3334)),"",((VLOOKUP(D3334,Cardápio!$A$2:$C$16,3,0))*E3334)+IF(B3334="iFood",F3334*0.27,(VLOOKUP(VENDAS!C3334,Bairros!$A$2:$B$90,2,0))))</f>
        <v/>
      </c>
      <c r="J3334" s="7" t="str">
        <f t="shared" si="209"/>
        <v/>
      </c>
      <c r="K3334" s="9">
        <f t="shared" ca="1" si="210"/>
        <v>45404.878290162036</v>
      </c>
      <c r="L3334" s="10">
        <f t="shared" ca="1" si="211"/>
        <v>45404.878290046297</v>
      </c>
    </row>
    <row r="3335" spans="6:12" x14ac:dyDescent="0.25">
      <c r="F3335" s="11" t="str">
        <f>IF(ISBLANK(D3335),"",(VLOOKUP(D3335,Cardápio!$A$2:$B$16,2,0))*E3335)</f>
        <v/>
      </c>
      <c r="H3335" s="7" t="str">
        <f t="shared" si="208"/>
        <v/>
      </c>
      <c r="I3335" s="7" t="str">
        <f>IF(AND(ISBLANK(D3335),ISBLANK(C3335)),"",((VLOOKUP(D3335,Cardápio!$A$2:$C$16,3,0))*E3335)+IF(B3335="iFood",F3335*0.27,(VLOOKUP(VENDAS!C3335,Bairros!$A$2:$B$90,2,0))))</f>
        <v/>
      </c>
      <c r="J3335" s="7" t="str">
        <f t="shared" si="209"/>
        <v/>
      </c>
      <c r="K3335" s="9">
        <f t="shared" ca="1" si="210"/>
        <v>45404.878290162036</v>
      </c>
      <c r="L3335" s="10">
        <f t="shared" ca="1" si="211"/>
        <v>45404.878290162036</v>
      </c>
    </row>
    <row r="3336" spans="6:12" x14ac:dyDescent="0.25">
      <c r="F3336" s="11" t="str">
        <f>IF(ISBLANK(D3336),"",(VLOOKUP(D3336,Cardápio!$A$2:$B$16,2,0))*E3336)</f>
        <v/>
      </c>
      <c r="H3336" s="7" t="str">
        <f t="shared" si="208"/>
        <v/>
      </c>
      <c r="I3336" s="7" t="str">
        <f>IF(AND(ISBLANK(D3336),ISBLANK(C3336)),"",((VLOOKUP(D3336,Cardápio!$A$2:$C$16,3,0))*E3336)+IF(B3336="iFood",F3336*0.27,(VLOOKUP(VENDAS!C3336,Bairros!$A$2:$B$90,2,0))))</f>
        <v/>
      </c>
      <c r="J3336" s="7" t="str">
        <f t="shared" si="209"/>
        <v/>
      </c>
      <c r="K3336" s="9">
        <f t="shared" ca="1" si="210"/>
        <v>45404.878290162036</v>
      </c>
      <c r="L3336" s="10">
        <f t="shared" ca="1" si="211"/>
        <v>45404.878290046297</v>
      </c>
    </row>
    <row r="3337" spans="6:12" x14ac:dyDescent="0.25">
      <c r="F3337" s="11" t="str">
        <f>IF(ISBLANK(D3337),"",(VLOOKUP(D3337,Cardápio!$A$2:$B$16,2,0))*E3337)</f>
        <v/>
      </c>
      <c r="H3337" s="7" t="str">
        <f t="shared" si="208"/>
        <v/>
      </c>
      <c r="I3337" s="7" t="str">
        <f>IF(AND(ISBLANK(D3337),ISBLANK(C3337)),"",((VLOOKUP(D3337,Cardápio!$A$2:$C$16,3,0))*E3337)+IF(B3337="iFood",F3337*0.27,(VLOOKUP(VENDAS!C3337,Bairros!$A$2:$B$90,2,0))))</f>
        <v/>
      </c>
      <c r="J3337" s="7" t="str">
        <f t="shared" si="209"/>
        <v/>
      </c>
      <c r="K3337" s="9">
        <f t="shared" ca="1" si="210"/>
        <v>45404.878290277775</v>
      </c>
      <c r="L3337" s="10">
        <f t="shared" ca="1" si="211"/>
        <v>45404.878290046297</v>
      </c>
    </row>
    <row r="3338" spans="6:12" x14ac:dyDescent="0.25">
      <c r="F3338" s="11" t="str">
        <f>IF(ISBLANK(D3338),"",(VLOOKUP(D3338,Cardápio!$A$2:$B$16,2,0))*E3338)</f>
        <v/>
      </c>
      <c r="H3338" s="7" t="str">
        <f t="shared" si="208"/>
        <v/>
      </c>
      <c r="I3338" s="7" t="str">
        <f>IF(AND(ISBLANK(D3338),ISBLANK(C3338)),"",((VLOOKUP(D3338,Cardápio!$A$2:$C$16,3,0))*E3338)+IF(B3338="iFood",F3338*0.27,(VLOOKUP(VENDAS!C3338,Bairros!$A$2:$B$90,2,0))))</f>
        <v/>
      </c>
      <c r="J3338" s="7" t="str">
        <f t="shared" si="209"/>
        <v/>
      </c>
      <c r="K3338" s="9">
        <f t="shared" ca="1" si="210"/>
        <v>45404.878290162036</v>
      </c>
      <c r="L3338" s="10">
        <f t="shared" ca="1" si="211"/>
        <v>45404.878290046297</v>
      </c>
    </row>
    <row r="3339" spans="6:12" x14ac:dyDescent="0.25">
      <c r="F3339" s="11" t="str">
        <f>IF(ISBLANK(D3339),"",(VLOOKUP(D3339,Cardápio!$A$2:$B$16,2,0))*E3339)</f>
        <v/>
      </c>
      <c r="H3339" s="7" t="str">
        <f t="shared" si="208"/>
        <v/>
      </c>
      <c r="I3339" s="7" t="str">
        <f>IF(AND(ISBLANK(D3339),ISBLANK(C3339)),"",((VLOOKUP(D3339,Cardápio!$A$2:$C$16,3,0))*E3339)+IF(B3339="iFood",F3339*0.27,(VLOOKUP(VENDAS!C3339,Bairros!$A$2:$B$90,2,0))))</f>
        <v/>
      </c>
      <c r="J3339" s="7" t="str">
        <f t="shared" si="209"/>
        <v/>
      </c>
      <c r="K3339" s="9">
        <f t="shared" ca="1" si="210"/>
        <v>45404.878290162036</v>
      </c>
      <c r="L3339" s="10">
        <f t="shared" ca="1" si="211"/>
        <v>45404.878290162036</v>
      </c>
    </row>
    <row r="3340" spans="6:12" x14ac:dyDescent="0.25">
      <c r="F3340" s="11" t="str">
        <f>IF(ISBLANK(D3340),"",(VLOOKUP(D3340,Cardápio!$A$2:$B$16,2,0))*E3340)</f>
        <v/>
      </c>
      <c r="H3340" s="7" t="str">
        <f t="shared" si="208"/>
        <v/>
      </c>
      <c r="I3340" s="7" t="str">
        <f>IF(AND(ISBLANK(D3340),ISBLANK(C3340)),"",((VLOOKUP(D3340,Cardápio!$A$2:$C$16,3,0))*E3340)+IF(B3340="iFood",F3340*0.27,(VLOOKUP(VENDAS!C3340,Bairros!$A$2:$B$90,2,0))))</f>
        <v/>
      </c>
      <c r="J3340" s="7" t="str">
        <f t="shared" si="209"/>
        <v/>
      </c>
      <c r="K3340" s="9">
        <f t="shared" ca="1" si="210"/>
        <v>45404.878290162036</v>
      </c>
      <c r="L3340" s="10">
        <f t="shared" ca="1" si="211"/>
        <v>45404.878290046297</v>
      </c>
    </row>
    <row r="3341" spans="6:12" x14ac:dyDescent="0.25">
      <c r="F3341" s="11" t="str">
        <f>IF(ISBLANK(D3341),"",(VLOOKUP(D3341,Cardápio!$A$2:$B$16,2,0))*E3341)</f>
        <v/>
      </c>
      <c r="H3341" s="7" t="str">
        <f t="shared" si="208"/>
        <v/>
      </c>
      <c r="I3341" s="7" t="str">
        <f>IF(AND(ISBLANK(D3341),ISBLANK(C3341)),"",((VLOOKUP(D3341,Cardápio!$A$2:$C$16,3,0))*E3341)+IF(B3341="iFood",F3341*0.27,(VLOOKUP(VENDAS!C3341,Bairros!$A$2:$B$90,2,0))))</f>
        <v/>
      </c>
      <c r="J3341" s="7" t="str">
        <f t="shared" si="209"/>
        <v/>
      </c>
      <c r="K3341" s="9">
        <f t="shared" ca="1" si="210"/>
        <v>45404.878290277775</v>
      </c>
      <c r="L3341" s="10">
        <f t="shared" ca="1" si="211"/>
        <v>45404.878290046297</v>
      </c>
    </row>
    <row r="3342" spans="6:12" x14ac:dyDescent="0.25">
      <c r="F3342" s="11" t="str">
        <f>IF(ISBLANK(D3342),"",(VLOOKUP(D3342,Cardápio!$A$2:$B$16,2,0))*E3342)</f>
        <v/>
      </c>
      <c r="H3342" s="7" t="str">
        <f t="shared" si="208"/>
        <v/>
      </c>
      <c r="I3342" s="7" t="str">
        <f>IF(AND(ISBLANK(D3342),ISBLANK(C3342)),"",((VLOOKUP(D3342,Cardápio!$A$2:$C$16,3,0))*E3342)+IF(B3342="iFood",F3342*0.27,(VLOOKUP(VENDAS!C3342,Bairros!$A$2:$B$90,2,0))))</f>
        <v/>
      </c>
      <c r="J3342" s="7" t="str">
        <f t="shared" si="209"/>
        <v/>
      </c>
      <c r="K3342" s="9">
        <f t="shared" ca="1" si="210"/>
        <v>45404.878290162036</v>
      </c>
      <c r="L3342" s="10">
        <f t="shared" ca="1" si="211"/>
        <v>45404.878290046297</v>
      </c>
    </row>
    <row r="3343" spans="6:12" x14ac:dyDescent="0.25">
      <c r="F3343" s="11" t="str">
        <f>IF(ISBLANK(D3343),"",(VLOOKUP(D3343,Cardápio!$A$2:$B$16,2,0))*E3343)</f>
        <v/>
      </c>
      <c r="H3343" s="7" t="str">
        <f t="shared" si="208"/>
        <v/>
      </c>
      <c r="I3343" s="7" t="str">
        <f>IF(AND(ISBLANK(D3343),ISBLANK(C3343)),"",((VLOOKUP(D3343,Cardápio!$A$2:$C$16,3,0))*E3343)+IF(B3343="iFood",F3343*0.27,(VLOOKUP(VENDAS!C3343,Bairros!$A$2:$B$90,2,0))))</f>
        <v/>
      </c>
      <c r="J3343" s="7" t="str">
        <f t="shared" si="209"/>
        <v/>
      </c>
      <c r="K3343" s="9">
        <f t="shared" ca="1" si="210"/>
        <v>45404.878290162036</v>
      </c>
      <c r="L3343" s="10">
        <f t="shared" ca="1" si="211"/>
        <v>45404.878290162036</v>
      </c>
    </row>
    <row r="3344" spans="6:12" x14ac:dyDescent="0.25">
      <c r="F3344" s="11" t="str">
        <f>IF(ISBLANK(D3344),"",(VLOOKUP(D3344,Cardápio!$A$2:$B$16,2,0))*E3344)</f>
        <v/>
      </c>
      <c r="H3344" s="7" t="str">
        <f t="shared" si="208"/>
        <v/>
      </c>
      <c r="I3344" s="7" t="str">
        <f>IF(AND(ISBLANK(D3344),ISBLANK(C3344)),"",((VLOOKUP(D3344,Cardápio!$A$2:$C$16,3,0))*E3344)+IF(B3344="iFood",F3344*0.27,(VLOOKUP(VENDAS!C3344,Bairros!$A$2:$B$90,2,0))))</f>
        <v/>
      </c>
      <c r="J3344" s="7" t="str">
        <f t="shared" si="209"/>
        <v/>
      </c>
      <c r="K3344" s="9">
        <f t="shared" ca="1" si="210"/>
        <v>45404.878290162036</v>
      </c>
      <c r="L3344" s="10">
        <f t="shared" ca="1" si="211"/>
        <v>45404.878290046297</v>
      </c>
    </row>
    <row r="3345" spans="6:12" x14ac:dyDescent="0.25">
      <c r="F3345" s="11" t="str">
        <f>IF(ISBLANK(D3345),"",(VLOOKUP(D3345,Cardápio!$A$2:$B$16,2,0))*E3345)</f>
        <v/>
      </c>
      <c r="H3345" s="7" t="str">
        <f t="shared" si="208"/>
        <v/>
      </c>
      <c r="I3345" s="7" t="str">
        <f>IF(AND(ISBLANK(D3345),ISBLANK(C3345)),"",((VLOOKUP(D3345,Cardápio!$A$2:$C$16,3,0))*E3345)+IF(B3345="iFood",F3345*0.27,(VLOOKUP(VENDAS!C3345,Bairros!$A$2:$B$90,2,0))))</f>
        <v/>
      </c>
      <c r="J3345" s="7" t="str">
        <f t="shared" si="209"/>
        <v/>
      </c>
      <c r="K3345" s="9">
        <f t="shared" ca="1" si="210"/>
        <v>45404.878290277775</v>
      </c>
      <c r="L3345" s="10">
        <f t="shared" ca="1" si="211"/>
        <v>45404.878290046297</v>
      </c>
    </row>
    <row r="3346" spans="6:12" x14ac:dyDescent="0.25">
      <c r="F3346" s="11" t="str">
        <f>IF(ISBLANK(D3346),"",(VLOOKUP(D3346,Cardápio!$A$2:$B$16,2,0))*E3346)</f>
        <v/>
      </c>
      <c r="H3346" s="7" t="str">
        <f t="shared" si="208"/>
        <v/>
      </c>
      <c r="I3346" s="7" t="str">
        <f>IF(AND(ISBLANK(D3346),ISBLANK(C3346)),"",((VLOOKUP(D3346,Cardápio!$A$2:$C$16,3,0))*E3346)+IF(B3346="iFood",F3346*0.27,(VLOOKUP(VENDAS!C3346,Bairros!$A$2:$B$90,2,0))))</f>
        <v/>
      </c>
      <c r="J3346" s="7" t="str">
        <f t="shared" si="209"/>
        <v/>
      </c>
      <c r="K3346" s="9">
        <f t="shared" ca="1" si="210"/>
        <v>45404.878290162036</v>
      </c>
      <c r="L3346" s="10">
        <f t="shared" ca="1" si="211"/>
        <v>45404.878290046297</v>
      </c>
    </row>
    <row r="3347" spans="6:12" x14ac:dyDescent="0.25">
      <c r="F3347" s="11" t="str">
        <f>IF(ISBLANK(D3347),"",(VLOOKUP(D3347,Cardápio!$A$2:$B$16,2,0))*E3347)</f>
        <v/>
      </c>
      <c r="H3347" s="7" t="str">
        <f t="shared" si="208"/>
        <v/>
      </c>
      <c r="I3347" s="7" t="str">
        <f>IF(AND(ISBLANK(D3347),ISBLANK(C3347)),"",((VLOOKUP(D3347,Cardápio!$A$2:$C$16,3,0))*E3347)+IF(B3347="iFood",F3347*0.27,(VLOOKUP(VENDAS!C3347,Bairros!$A$2:$B$90,2,0))))</f>
        <v/>
      </c>
      <c r="J3347" s="7" t="str">
        <f t="shared" si="209"/>
        <v/>
      </c>
      <c r="K3347" s="9">
        <f t="shared" ca="1" si="210"/>
        <v>45404.878290162036</v>
      </c>
      <c r="L3347" s="10">
        <f t="shared" ca="1" si="211"/>
        <v>45404.878290162036</v>
      </c>
    </row>
    <row r="3348" spans="6:12" x14ac:dyDescent="0.25">
      <c r="F3348" s="11" t="str">
        <f>IF(ISBLANK(D3348),"",(VLOOKUP(D3348,Cardápio!$A$2:$B$16,2,0))*E3348)</f>
        <v/>
      </c>
      <c r="H3348" s="7" t="str">
        <f t="shared" si="208"/>
        <v/>
      </c>
      <c r="I3348" s="7" t="str">
        <f>IF(AND(ISBLANK(D3348),ISBLANK(C3348)),"",((VLOOKUP(D3348,Cardápio!$A$2:$C$16,3,0))*E3348)+IF(B3348="iFood",F3348*0.27,(VLOOKUP(VENDAS!C3348,Bairros!$A$2:$B$90,2,0))))</f>
        <v/>
      </c>
      <c r="J3348" s="7" t="str">
        <f t="shared" si="209"/>
        <v/>
      </c>
      <c r="K3348" s="9">
        <f t="shared" ca="1" si="210"/>
        <v>45404.878290162036</v>
      </c>
      <c r="L3348" s="10">
        <f t="shared" ca="1" si="211"/>
        <v>45404.878290046297</v>
      </c>
    </row>
    <row r="3349" spans="6:12" x14ac:dyDescent="0.25">
      <c r="F3349" s="11" t="str">
        <f>IF(ISBLANK(D3349),"",(VLOOKUP(D3349,Cardápio!$A$2:$B$16,2,0))*E3349)</f>
        <v/>
      </c>
      <c r="H3349" s="7" t="str">
        <f t="shared" si="208"/>
        <v/>
      </c>
      <c r="I3349" s="7" t="str">
        <f>IF(AND(ISBLANK(D3349),ISBLANK(C3349)),"",((VLOOKUP(D3349,Cardápio!$A$2:$C$16,3,0))*E3349)+IF(B3349="iFood",F3349*0.27,(VLOOKUP(VENDAS!C3349,Bairros!$A$2:$B$90,2,0))))</f>
        <v/>
      </c>
      <c r="J3349" s="7" t="str">
        <f t="shared" si="209"/>
        <v/>
      </c>
      <c r="K3349" s="9">
        <f t="shared" ca="1" si="210"/>
        <v>45404.878290277775</v>
      </c>
      <c r="L3349" s="10">
        <f t="shared" ca="1" si="211"/>
        <v>45404.878290046297</v>
      </c>
    </row>
    <row r="3350" spans="6:12" x14ac:dyDescent="0.25">
      <c r="F3350" s="11" t="str">
        <f>IF(ISBLANK(D3350),"",(VLOOKUP(D3350,Cardápio!$A$2:$B$16,2,0))*E3350)</f>
        <v/>
      </c>
      <c r="H3350" s="7" t="str">
        <f t="shared" si="208"/>
        <v/>
      </c>
      <c r="I3350" s="7" t="str">
        <f>IF(AND(ISBLANK(D3350),ISBLANK(C3350)),"",((VLOOKUP(D3350,Cardápio!$A$2:$C$16,3,0))*E3350)+IF(B3350="iFood",F3350*0.27,(VLOOKUP(VENDAS!C3350,Bairros!$A$2:$B$90,2,0))))</f>
        <v/>
      </c>
      <c r="J3350" s="7" t="str">
        <f t="shared" si="209"/>
        <v/>
      </c>
      <c r="K3350" s="9">
        <f t="shared" ca="1" si="210"/>
        <v>45404.878290162036</v>
      </c>
      <c r="L3350" s="10">
        <f t="shared" ca="1" si="211"/>
        <v>45404.878290046297</v>
      </c>
    </row>
    <row r="3351" spans="6:12" x14ac:dyDescent="0.25">
      <c r="F3351" s="11" t="str">
        <f>IF(ISBLANK(D3351),"",(VLOOKUP(D3351,Cardápio!$A$2:$B$16,2,0))*E3351)</f>
        <v/>
      </c>
      <c r="H3351" s="7" t="str">
        <f t="shared" si="208"/>
        <v/>
      </c>
      <c r="I3351" s="7" t="str">
        <f>IF(AND(ISBLANK(D3351),ISBLANK(C3351)),"",((VLOOKUP(D3351,Cardápio!$A$2:$C$16,3,0))*E3351)+IF(B3351="iFood",F3351*0.27,(VLOOKUP(VENDAS!C3351,Bairros!$A$2:$B$90,2,0))))</f>
        <v/>
      </c>
      <c r="J3351" s="7" t="str">
        <f t="shared" si="209"/>
        <v/>
      </c>
      <c r="K3351" s="9">
        <f t="shared" ca="1" si="210"/>
        <v>45404.878290162036</v>
      </c>
      <c r="L3351" s="10">
        <f t="shared" ca="1" si="211"/>
        <v>45404.878290162036</v>
      </c>
    </row>
    <row r="3352" spans="6:12" x14ac:dyDescent="0.25">
      <c r="F3352" s="11" t="str">
        <f>IF(ISBLANK(D3352),"",(VLOOKUP(D3352,Cardápio!$A$2:$B$16,2,0))*E3352)</f>
        <v/>
      </c>
      <c r="H3352" s="7" t="str">
        <f t="shared" si="208"/>
        <v/>
      </c>
      <c r="I3352" s="7" t="str">
        <f>IF(AND(ISBLANK(D3352),ISBLANK(C3352)),"",((VLOOKUP(D3352,Cardápio!$A$2:$C$16,3,0))*E3352)+IF(B3352="iFood",F3352*0.27,(VLOOKUP(VENDAS!C3352,Bairros!$A$2:$B$90,2,0))))</f>
        <v/>
      </c>
      <c r="J3352" s="7" t="str">
        <f t="shared" si="209"/>
        <v/>
      </c>
      <c r="K3352" s="9">
        <f t="shared" ca="1" si="210"/>
        <v>45404.878290162036</v>
      </c>
      <c r="L3352" s="10">
        <f t="shared" ca="1" si="211"/>
        <v>45404.878290046297</v>
      </c>
    </row>
    <row r="3353" spans="6:12" x14ac:dyDescent="0.25">
      <c r="F3353" s="11" t="str">
        <f>IF(ISBLANK(D3353),"",(VLOOKUP(D3353,Cardápio!$A$2:$B$16,2,0))*E3353)</f>
        <v/>
      </c>
      <c r="H3353" s="7" t="str">
        <f t="shared" si="208"/>
        <v/>
      </c>
      <c r="I3353" s="7" t="str">
        <f>IF(AND(ISBLANK(D3353),ISBLANK(C3353)),"",((VLOOKUP(D3353,Cardápio!$A$2:$C$16,3,0))*E3353)+IF(B3353="iFood",F3353*0.27,(VLOOKUP(VENDAS!C3353,Bairros!$A$2:$B$90,2,0))))</f>
        <v/>
      </c>
      <c r="J3353" s="7" t="str">
        <f t="shared" si="209"/>
        <v/>
      </c>
      <c r="K3353" s="9">
        <f t="shared" ca="1" si="210"/>
        <v>45404.878290277775</v>
      </c>
      <c r="L3353" s="10">
        <f t="shared" ca="1" si="211"/>
        <v>45404.878290046297</v>
      </c>
    </row>
    <row r="3354" spans="6:12" x14ac:dyDescent="0.25">
      <c r="F3354" s="11" t="str">
        <f>IF(ISBLANK(D3354),"",(VLOOKUP(D3354,Cardápio!$A$2:$B$16,2,0))*E3354)</f>
        <v/>
      </c>
      <c r="H3354" s="7" t="str">
        <f t="shared" si="208"/>
        <v/>
      </c>
      <c r="I3354" s="7" t="str">
        <f>IF(AND(ISBLANK(D3354),ISBLANK(C3354)),"",((VLOOKUP(D3354,Cardápio!$A$2:$C$16,3,0))*E3354)+IF(B3354="iFood",F3354*0.27,(VLOOKUP(VENDAS!C3354,Bairros!$A$2:$B$90,2,0))))</f>
        <v/>
      </c>
      <c r="J3354" s="7" t="str">
        <f t="shared" si="209"/>
        <v/>
      </c>
      <c r="K3354" s="9">
        <f t="shared" ca="1" si="210"/>
        <v>45404.878290162036</v>
      </c>
      <c r="L3354" s="10">
        <f t="shared" ca="1" si="211"/>
        <v>45404.878290046297</v>
      </c>
    </row>
    <row r="3355" spans="6:12" x14ac:dyDescent="0.25">
      <c r="F3355" s="11" t="str">
        <f>IF(ISBLANK(D3355),"",(VLOOKUP(D3355,Cardápio!$A$2:$B$16,2,0))*E3355)</f>
        <v/>
      </c>
      <c r="H3355" s="7" t="str">
        <f t="shared" si="208"/>
        <v/>
      </c>
      <c r="I3355" s="7" t="str">
        <f>IF(AND(ISBLANK(D3355),ISBLANK(C3355)),"",((VLOOKUP(D3355,Cardápio!$A$2:$C$16,3,0))*E3355)+IF(B3355="iFood",F3355*0.27,(VLOOKUP(VENDAS!C3355,Bairros!$A$2:$B$90,2,0))))</f>
        <v/>
      </c>
      <c r="J3355" s="7" t="str">
        <f t="shared" si="209"/>
        <v/>
      </c>
      <c r="K3355" s="9">
        <f t="shared" ca="1" si="210"/>
        <v>45404.878290162036</v>
      </c>
      <c r="L3355" s="10">
        <f t="shared" ca="1" si="211"/>
        <v>45404.878290162036</v>
      </c>
    </row>
    <row r="3356" spans="6:12" x14ac:dyDescent="0.25">
      <c r="F3356" s="11" t="str">
        <f>IF(ISBLANK(D3356),"",(VLOOKUP(D3356,Cardápio!$A$2:$B$16,2,0))*E3356)</f>
        <v/>
      </c>
      <c r="H3356" s="7" t="str">
        <f t="shared" si="208"/>
        <v/>
      </c>
      <c r="I3356" s="7" t="str">
        <f>IF(AND(ISBLANK(D3356),ISBLANK(C3356)),"",((VLOOKUP(D3356,Cardápio!$A$2:$C$16,3,0))*E3356)+IF(B3356="iFood",F3356*0.27,(VLOOKUP(VENDAS!C3356,Bairros!$A$2:$B$90,2,0))))</f>
        <v/>
      </c>
      <c r="J3356" s="7" t="str">
        <f t="shared" si="209"/>
        <v/>
      </c>
      <c r="K3356" s="9">
        <f t="shared" ca="1" si="210"/>
        <v>45404.878290162036</v>
      </c>
      <c r="L3356" s="10">
        <f t="shared" ca="1" si="211"/>
        <v>45404.878290046297</v>
      </c>
    </row>
    <row r="3357" spans="6:12" x14ac:dyDescent="0.25">
      <c r="F3357" s="11" t="str">
        <f>IF(ISBLANK(D3357),"",(VLOOKUP(D3357,Cardápio!$A$2:$B$16,2,0))*E3357)</f>
        <v/>
      </c>
      <c r="H3357" s="7" t="str">
        <f t="shared" si="208"/>
        <v/>
      </c>
      <c r="I3357" s="7" t="str">
        <f>IF(AND(ISBLANK(D3357),ISBLANK(C3357)),"",((VLOOKUP(D3357,Cardápio!$A$2:$C$16,3,0))*E3357)+IF(B3357="iFood",F3357*0.27,(VLOOKUP(VENDAS!C3357,Bairros!$A$2:$B$90,2,0))))</f>
        <v/>
      </c>
      <c r="J3357" s="7" t="str">
        <f t="shared" si="209"/>
        <v/>
      </c>
      <c r="K3357" s="9">
        <f t="shared" ca="1" si="210"/>
        <v>45404.878290277775</v>
      </c>
      <c r="L3357" s="10">
        <f t="shared" ca="1" si="211"/>
        <v>45404.878290046297</v>
      </c>
    </row>
    <row r="3358" spans="6:12" x14ac:dyDescent="0.25">
      <c r="F3358" s="11" t="str">
        <f>IF(ISBLANK(D3358),"",(VLOOKUP(D3358,Cardápio!$A$2:$B$16,2,0))*E3358)</f>
        <v/>
      </c>
      <c r="H3358" s="7" t="str">
        <f t="shared" si="208"/>
        <v/>
      </c>
      <c r="I3358" s="7" t="str">
        <f>IF(AND(ISBLANK(D3358),ISBLANK(C3358)),"",((VLOOKUP(D3358,Cardápio!$A$2:$C$16,3,0))*E3358)+IF(B3358="iFood",F3358*0.27,(VLOOKUP(VENDAS!C3358,Bairros!$A$2:$B$90,2,0))))</f>
        <v/>
      </c>
      <c r="J3358" s="7" t="str">
        <f t="shared" si="209"/>
        <v/>
      </c>
      <c r="K3358" s="9">
        <f t="shared" ca="1" si="210"/>
        <v>45404.878290162036</v>
      </c>
      <c r="L3358" s="10">
        <f t="shared" ca="1" si="211"/>
        <v>45404.878290046297</v>
      </c>
    </row>
    <row r="3359" spans="6:12" x14ac:dyDescent="0.25">
      <c r="F3359" s="11" t="str">
        <f>IF(ISBLANK(D3359),"",(VLOOKUP(D3359,Cardápio!$A$2:$B$16,2,0))*E3359)</f>
        <v/>
      </c>
      <c r="H3359" s="7" t="str">
        <f t="shared" si="208"/>
        <v/>
      </c>
      <c r="I3359" s="7" t="str">
        <f>IF(AND(ISBLANK(D3359),ISBLANK(C3359)),"",((VLOOKUP(D3359,Cardápio!$A$2:$C$16,3,0))*E3359)+IF(B3359="iFood",F3359*0.27,(VLOOKUP(VENDAS!C3359,Bairros!$A$2:$B$90,2,0))))</f>
        <v/>
      </c>
      <c r="J3359" s="7" t="str">
        <f t="shared" si="209"/>
        <v/>
      </c>
      <c r="K3359" s="9">
        <f t="shared" ca="1" si="210"/>
        <v>45404.878290162036</v>
      </c>
      <c r="L3359" s="10">
        <f t="shared" ca="1" si="211"/>
        <v>45404.878290162036</v>
      </c>
    </row>
    <row r="3360" spans="6:12" x14ac:dyDescent="0.25">
      <c r="F3360" s="11" t="str">
        <f>IF(ISBLANK(D3360),"",(VLOOKUP(D3360,Cardápio!$A$2:$B$16,2,0))*E3360)</f>
        <v/>
      </c>
      <c r="H3360" s="7" t="str">
        <f t="shared" si="208"/>
        <v/>
      </c>
      <c r="I3360" s="7" t="str">
        <f>IF(AND(ISBLANK(D3360),ISBLANK(C3360)),"",((VLOOKUP(D3360,Cardápio!$A$2:$C$16,3,0))*E3360)+IF(B3360="iFood",F3360*0.27,(VLOOKUP(VENDAS!C3360,Bairros!$A$2:$B$90,2,0))))</f>
        <v/>
      </c>
      <c r="J3360" s="7" t="str">
        <f t="shared" si="209"/>
        <v/>
      </c>
      <c r="K3360" s="9">
        <f t="shared" ca="1" si="210"/>
        <v>45404.878290162036</v>
      </c>
      <c r="L3360" s="10">
        <f t="shared" ca="1" si="211"/>
        <v>45404.878290046297</v>
      </c>
    </row>
    <row r="3361" spans="6:12" x14ac:dyDescent="0.25">
      <c r="F3361" s="11" t="str">
        <f>IF(ISBLANK(D3361),"",(VLOOKUP(D3361,Cardápio!$A$2:$B$16,2,0))*E3361)</f>
        <v/>
      </c>
      <c r="H3361" s="7" t="str">
        <f t="shared" si="208"/>
        <v/>
      </c>
      <c r="I3361" s="7" t="str">
        <f>IF(AND(ISBLANK(D3361),ISBLANK(C3361)),"",((VLOOKUP(D3361,Cardápio!$A$2:$C$16,3,0))*E3361)+IF(B3361="iFood",F3361*0.27,(VLOOKUP(VENDAS!C3361,Bairros!$A$2:$B$90,2,0))))</f>
        <v/>
      </c>
      <c r="J3361" s="7" t="str">
        <f t="shared" si="209"/>
        <v/>
      </c>
      <c r="K3361" s="9">
        <f t="shared" ca="1" si="210"/>
        <v>45404.878290277775</v>
      </c>
      <c r="L3361" s="10">
        <f t="shared" ca="1" si="211"/>
        <v>45404.878290046297</v>
      </c>
    </row>
    <row r="3362" spans="6:12" x14ac:dyDescent="0.25">
      <c r="F3362" s="11" t="str">
        <f>IF(ISBLANK(D3362),"",(VLOOKUP(D3362,Cardápio!$A$2:$B$16,2,0))*E3362)</f>
        <v/>
      </c>
      <c r="H3362" s="7" t="str">
        <f t="shared" si="208"/>
        <v/>
      </c>
      <c r="I3362" s="7" t="str">
        <f>IF(AND(ISBLANK(D3362),ISBLANK(C3362)),"",((VLOOKUP(D3362,Cardápio!$A$2:$C$16,3,0))*E3362)+IF(B3362="iFood",F3362*0.27,(VLOOKUP(VENDAS!C3362,Bairros!$A$2:$B$90,2,0))))</f>
        <v/>
      </c>
      <c r="J3362" s="7" t="str">
        <f t="shared" si="209"/>
        <v/>
      </c>
      <c r="K3362" s="9">
        <f t="shared" ca="1" si="210"/>
        <v>45404.878290162036</v>
      </c>
      <c r="L3362" s="10">
        <f t="shared" ca="1" si="211"/>
        <v>45404.878290046297</v>
      </c>
    </row>
    <row r="3363" spans="6:12" x14ac:dyDescent="0.25">
      <c r="F3363" s="11" t="str">
        <f>IF(ISBLANK(D3363),"",(VLOOKUP(D3363,Cardápio!$A$2:$B$16,2,0))*E3363)</f>
        <v/>
      </c>
      <c r="H3363" s="7" t="str">
        <f t="shared" si="208"/>
        <v/>
      </c>
      <c r="I3363" s="7" t="str">
        <f>IF(AND(ISBLANK(D3363),ISBLANK(C3363)),"",((VLOOKUP(D3363,Cardápio!$A$2:$C$16,3,0))*E3363)+IF(B3363="iFood",F3363*0.27,(VLOOKUP(VENDAS!C3363,Bairros!$A$2:$B$90,2,0))))</f>
        <v/>
      </c>
      <c r="J3363" s="7" t="str">
        <f t="shared" si="209"/>
        <v/>
      </c>
      <c r="K3363" s="9">
        <f t="shared" ca="1" si="210"/>
        <v>45404.878290162036</v>
      </c>
      <c r="L3363" s="10">
        <f t="shared" ca="1" si="211"/>
        <v>45404.878290162036</v>
      </c>
    </row>
    <row r="3364" spans="6:12" x14ac:dyDescent="0.25">
      <c r="F3364" s="11" t="str">
        <f>IF(ISBLANK(D3364),"",(VLOOKUP(D3364,Cardápio!$A$2:$B$16,2,0))*E3364)</f>
        <v/>
      </c>
      <c r="H3364" s="7" t="str">
        <f t="shared" si="208"/>
        <v/>
      </c>
      <c r="I3364" s="7" t="str">
        <f>IF(AND(ISBLANK(D3364),ISBLANK(C3364)),"",((VLOOKUP(D3364,Cardápio!$A$2:$C$16,3,0))*E3364)+IF(B3364="iFood",F3364*0.27,(VLOOKUP(VENDAS!C3364,Bairros!$A$2:$B$90,2,0))))</f>
        <v/>
      </c>
      <c r="J3364" s="7" t="str">
        <f t="shared" si="209"/>
        <v/>
      </c>
      <c r="K3364" s="9">
        <f t="shared" ca="1" si="210"/>
        <v>45404.878290162036</v>
      </c>
      <c r="L3364" s="10">
        <f t="shared" ca="1" si="211"/>
        <v>45404.878290046297</v>
      </c>
    </row>
    <row r="3365" spans="6:12" x14ac:dyDescent="0.25">
      <c r="F3365" s="11" t="str">
        <f>IF(ISBLANK(D3365),"",(VLOOKUP(D3365,Cardápio!$A$2:$B$16,2,0))*E3365)</f>
        <v/>
      </c>
      <c r="H3365" s="7" t="str">
        <f t="shared" si="208"/>
        <v/>
      </c>
      <c r="I3365" s="7" t="str">
        <f>IF(AND(ISBLANK(D3365),ISBLANK(C3365)),"",((VLOOKUP(D3365,Cardápio!$A$2:$C$16,3,0))*E3365)+IF(B3365="iFood",F3365*0.27,(VLOOKUP(VENDAS!C3365,Bairros!$A$2:$B$90,2,0))))</f>
        <v/>
      </c>
      <c r="J3365" s="7" t="str">
        <f t="shared" si="209"/>
        <v/>
      </c>
      <c r="K3365" s="9">
        <f t="shared" ca="1" si="210"/>
        <v>45404.878290277775</v>
      </c>
      <c r="L3365" s="10">
        <f t="shared" ca="1" si="211"/>
        <v>45404.878290046297</v>
      </c>
    </row>
    <row r="3366" spans="6:12" x14ac:dyDescent="0.25">
      <c r="F3366" s="11" t="str">
        <f>IF(ISBLANK(D3366),"",(VLOOKUP(D3366,Cardápio!$A$2:$B$16,2,0))*E3366)</f>
        <v/>
      </c>
      <c r="H3366" s="7" t="str">
        <f t="shared" si="208"/>
        <v/>
      </c>
      <c r="I3366" s="7" t="str">
        <f>IF(AND(ISBLANK(D3366),ISBLANK(C3366)),"",((VLOOKUP(D3366,Cardápio!$A$2:$C$16,3,0))*E3366)+IF(B3366="iFood",F3366*0.27,(VLOOKUP(VENDAS!C3366,Bairros!$A$2:$B$90,2,0))))</f>
        <v/>
      </c>
      <c r="J3366" s="7" t="str">
        <f t="shared" si="209"/>
        <v/>
      </c>
      <c r="K3366" s="9">
        <f t="shared" ca="1" si="210"/>
        <v>45404.878290162036</v>
      </c>
      <c r="L3366" s="10">
        <f t="shared" ca="1" si="211"/>
        <v>45404.878290046297</v>
      </c>
    </row>
    <row r="3367" spans="6:12" x14ac:dyDescent="0.25">
      <c r="F3367" s="11" t="str">
        <f>IF(ISBLANK(D3367),"",(VLOOKUP(D3367,Cardápio!$A$2:$B$16,2,0))*E3367)</f>
        <v/>
      </c>
      <c r="H3367" s="7" t="str">
        <f t="shared" si="208"/>
        <v/>
      </c>
      <c r="I3367" s="7" t="str">
        <f>IF(AND(ISBLANK(D3367),ISBLANK(C3367)),"",((VLOOKUP(D3367,Cardápio!$A$2:$C$16,3,0))*E3367)+IF(B3367="iFood",F3367*0.27,(VLOOKUP(VENDAS!C3367,Bairros!$A$2:$B$90,2,0))))</f>
        <v/>
      </c>
      <c r="J3367" s="7" t="str">
        <f t="shared" si="209"/>
        <v/>
      </c>
      <c r="K3367" s="9">
        <f t="shared" ca="1" si="210"/>
        <v>45404.878290162036</v>
      </c>
      <c r="L3367" s="10">
        <f t="shared" ca="1" si="211"/>
        <v>45404.878290162036</v>
      </c>
    </row>
    <row r="3368" spans="6:12" x14ac:dyDescent="0.25">
      <c r="F3368" s="11" t="str">
        <f>IF(ISBLANK(D3368),"",(VLOOKUP(D3368,Cardápio!$A$2:$B$16,2,0))*E3368)</f>
        <v/>
      </c>
      <c r="H3368" s="7" t="str">
        <f t="shared" si="208"/>
        <v/>
      </c>
      <c r="I3368" s="7" t="str">
        <f>IF(AND(ISBLANK(D3368),ISBLANK(C3368)),"",((VLOOKUP(D3368,Cardápio!$A$2:$C$16,3,0))*E3368)+IF(B3368="iFood",F3368*0.27,(VLOOKUP(VENDAS!C3368,Bairros!$A$2:$B$90,2,0))))</f>
        <v/>
      </c>
      <c r="J3368" s="7" t="str">
        <f t="shared" si="209"/>
        <v/>
      </c>
      <c r="K3368" s="9">
        <f t="shared" ca="1" si="210"/>
        <v>45404.878290162036</v>
      </c>
      <c r="L3368" s="10">
        <f t="shared" ca="1" si="211"/>
        <v>45404.878290046297</v>
      </c>
    </row>
    <row r="3369" spans="6:12" x14ac:dyDescent="0.25">
      <c r="F3369" s="11" t="str">
        <f>IF(ISBLANK(D3369),"",(VLOOKUP(D3369,Cardápio!$A$2:$B$16,2,0))*E3369)</f>
        <v/>
      </c>
      <c r="H3369" s="7" t="str">
        <f t="shared" si="208"/>
        <v/>
      </c>
      <c r="I3369" s="7" t="str">
        <f>IF(AND(ISBLANK(D3369),ISBLANK(C3369)),"",((VLOOKUP(D3369,Cardápio!$A$2:$C$16,3,0))*E3369)+IF(B3369="iFood",F3369*0.27,(VLOOKUP(VENDAS!C3369,Bairros!$A$2:$B$90,2,0))))</f>
        <v/>
      </c>
      <c r="J3369" s="7" t="str">
        <f t="shared" si="209"/>
        <v/>
      </c>
      <c r="K3369" s="9">
        <f t="shared" ca="1" si="210"/>
        <v>45404.878290277775</v>
      </c>
      <c r="L3369" s="10">
        <f t="shared" ca="1" si="211"/>
        <v>45404.878290046297</v>
      </c>
    </row>
    <row r="3370" spans="6:12" x14ac:dyDescent="0.25">
      <c r="F3370" s="11" t="str">
        <f>IF(ISBLANK(D3370),"",(VLOOKUP(D3370,Cardápio!$A$2:$B$16,2,0))*E3370)</f>
        <v/>
      </c>
      <c r="H3370" s="7" t="str">
        <f t="shared" si="208"/>
        <v/>
      </c>
      <c r="I3370" s="7" t="str">
        <f>IF(AND(ISBLANK(D3370),ISBLANK(C3370)),"",((VLOOKUP(D3370,Cardápio!$A$2:$C$16,3,0))*E3370)+IF(B3370="iFood",F3370*0.27,(VLOOKUP(VENDAS!C3370,Bairros!$A$2:$B$90,2,0))))</f>
        <v/>
      </c>
      <c r="J3370" s="7" t="str">
        <f t="shared" si="209"/>
        <v/>
      </c>
      <c r="K3370" s="9">
        <f t="shared" ca="1" si="210"/>
        <v>45404.878290162036</v>
      </c>
      <c r="L3370" s="10">
        <f t="shared" ca="1" si="211"/>
        <v>45404.878290046297</v>
      </c>
    </row>
    <row r="3371" spans="6:12" x14ac:dyDescent="0.25">
      <c r="F3371" s="11" t="str">
        <f>IF(ISBLANK(D3371),"",(VLOOKUP(D3371,Cardápio!$A$2:$B$16,2,0))*E3371)</f>
        <v/>
      </c>
      <c r="H3371" s="7" t="str">
        <f t="shared" si="208"/>
        <v/>
      </c>
      <c r="I3371" s="7" t="str">
        <f>IF(AND(ISBLANK(D3371),ISBLANK(C3371)),"",((VLOOKUP(D3371,Cardápio!$A$2:$C$16,3,0))*E3371)+IF(B3371="iFood",F3371*0.27,(VLOOKUP(VENDAS!C3371,Bairros!$A$2:$B$90,2,0))))</f>
        <v/>
      </c>
      <c r="J3371" s="7" t="str">
        <f t="shared" si="209"/>
        <v/>
      </c>
      <c r="K3371" s="9">
        <f t="shared" ca="1" si="210"/>
        <v>45404.878290162036</v>
      </c>
      <c r="L3371" s="10">
        <f t="shared" ca="1" si="211"/>
        <v>45404.878290162036</v>
      </c>
    </row>
    <row r="3372" spans="6:12" x14ac:dyDescent="0.25">
      <c r="F3372" s="11" t="str">
        <f>IF(ISBLANK(D3372),"",(VLOOKUP(D3372,Cardápio!$A$2:$B$16,2,0))*E3372)</f>
        <v/>
      </c>
      <c r="H3372" s="7" t="str">
        <f t="shared" si="208"/>
        <v/>
      </c>
      <c r="I3372" s="7" t="str">
        <f>IF(AND(ISBLANK(D3372),ISBLANK(C3372)),"",((VLOOKUP(D3372,Cardápio!$A$2:$C$16,3,0))*E3372)+IF(B3372="iFood",F3372*0.27,(VLOOKUP(VENDAS!C3372,Bairros!$A$2:$B$90,2,0))))</f>
        <v/>
      </c>
      <c r="J3372" s="7" t="str">
        <f t="shared" si="209"/>
        <v/>
      </c>
      <c r="K3372" s="9">
        <f t="shared" ca="1" si="210"/>
        <v>45404.878290162036</v>
      </c>
      <c r="L3372" s="10">
        <f t="shared" ca="1" si="211"/>
        <v>45404.878290046297</v>
      </c>
    </row>
    <row r="3373" spans="6:12" x14ac:dyDescent="0.25">
      <c r="F3373" s="11" t="str">
        <f>IF(ISBLANK(D3373),"",(VLOOKUP(D3373,Cardápio!$A$2:$B$16,2,0))*E3373)</f>
        <v/>
      </c>
      <c r="H3373" s="7" t="str">
        <f t="shared" si="208"/>
        <v/>
      </c>
      <c r="I3373" s="7" t="str">
        <f>IF(AND(ISBLANK(D3373),ISBLANK(C3373)),"",((VLOOKUP(D3373,Cardápio!$A$2:$C$16,3,0))*E3373)+IF(B3373="iFood",F3373*0.27,(VLOOKUP(VENDAS!C3373,Bairros!$A$2:$B$90,2,0))))</f>
        <v/>
      </c>
      <c r="J3373" s="7" t="str">
        <f t="shared" si="209"/>
        <v/>
      </c>
      <c r="K3373" s="9">
        <f t="shared" ca="1" si="210"/>
        <v>45404.878290277775</v>
      </c>
      <c r="L3373" s="10">
        <f t="shared" ca="1" si="211"/>
        <v>45404.878290046297</v>
      </c>
    </row>
    <row r="3374" spans="6:12" x14ac:dyDescent="0.25">
      <c r="F3374" s="11" t="str">
        <f>IF(ISBLANK(D3374),"",(VLOOKUP(D3374,Cardápio!$A$2:$B$16,2,0))*E3374)</f>
        <v/>
      </c>
      <c r="H3374" s="7" t="str">
        <f t="shared" si="208"/>
        <v/>
      </c>
      <c r="I3374" s="7" t="str">
        <f>IF(AND(ISBLANK(D3374),ISBLANK(C3374)),"",((VLOOKUP(D3374,Cardápio!$A$2:$C$16,3,0))*E3374)+IF(B3374="iFood",F3374*0.27,(VLOOKUP(VENDAS!C3374,Bairros!$A$2:$B$90,2,0))))</f>
        <v/>
      </c>
      <c r="J3374" s="7" t="str">
        <f t="shared" si="209"/>
        <v/>
      </c>
      <c r="K3374" s="9">
        <f t="shared" ca="1" si="210"/>
        <v>45404.878290162036</v>
      </c>
      <c r="L3374" s="10">
        <f t="shared" ca="1" si="211"/>
        <v>45404.878290046297</v>
      </c>
    </row>
    <row r="3375" spans="6:12" x14ac:dyDescent="0.25">
      <c r="F3375" s="11" t="str">
        <f>IF(ISBLANK(D3375),"",(VLOOKUP(D3375,Cardápio!$A$2:$B$16,2,0))*E3375)</f>
        <v/>
      </c>
      <c r="H3375" s="7" t="str">
        <f t="shared" si="208"/>
        <v/>
      </c>
      <c r="I3375" s="7" t="str">
        <f>IF(AND(ISBLANK(D3375),ISBLANK(C3375)),"",((VLOOKUP(D3375,Cardápio!$A$2:$C$16,3,0))*E3375)+IF(B3375="iFood",F3375*0.27,(VLOOKUP(VENDAS!C3375,Bairros!$A$2:$B$90,2,0))))</f>
        <v/>
      </c>
      <c r="J3375" s="7" t="str">
        <f t="shared" si="209"/>
        <v/>
      </c>
      <c r="K3375" s="9">
        <f t="shared" ca="1" si="210"/>
        <v>45404.878290162036</v>
      </c>
      <c r="L3375" s="10">
        <f t="shared" ca="1" si="211"/>
        <v>45404.878290162036</v>
      </c>
    </row>
    <row r="3376" spans="6:12" x14ac:dyDescent="0.25">
      <c r="F3376" s="11" t="str">
        <f>IF(ISBLANK(D3376),"",(VLOOKUP(D3376,Cardápio!$A$2:$B$16,2,0))*E3376)</f>
        <v/>
      </c>
      <c r="H3376" s="7" t="str">
        <f t="shared" si="208"/>
        <v/>
      </c>
      <c r="I3376" s="7" t="str">
        <f>IF(AND(ISBLANK(D3376),ISBLANK(C3376)),"",((VLOOKUP(D3376,Cardápio!$A$2:$C$16,3,0))*E3376)+IF(B3376="iFood",F3376*0.27,(VLOOKUP(VENDAS!C3376,Bairros!$A$2:$B$90,2,0))))</f>
        <v/>
      </c>
      <c r="J3376" s="7" t="str">
        <f t="shared" si="209"/>
        <v/>
      </c>
      <c r="K3376" s="9">
        <f t="shared" ca="1" si="210"/>
        <v>45404.878290162036</v>
      </c>
      <c r="L3376" s="10">
        <f t="shared" ca="1" si="211"/>
        <v>45404.878290046297</v>
      </c>
    </row>
    <row r="3377" spans="6:12" x14ac:dyDescent="0.25">
      <c r="F3377" s="11" t="str">
        <f>IF(ISBLANK(D3377),"",(VLOOKUP(D3377,Cardápio!$A$2:$B$16,2,0))*E3377)</f>
        <v/>
      </c>
      <c r="H3377" s="7" t="str">
        <f t="shared" si="208"/>
        <v/>
      </c>
      <c r="I3377" s="7" t="str">
        <f>IF(AND(ISBLANK(D3377),ISBLANK(C3377)),"",((VLOOKUP(D3377,Cardápio!$A$2:$C$16,3,0))*E3377)+IF(B3377="iFood",F3377*0.27,(VLOOKUP(VENDAS!C3377,Bairros!$A$2:$B$90,2,0))))</f>
        <v/>
      </c>
      <c r="J3377" s="7" t="str">
        <f t="shared" si="209"/>
        <v/>
      </c>
      <c r="K3377" s="9">
        <f t="shared" ca="1" si="210"/>
        <v>45404.878290277775</v>
      </c>
      <c r="L3377" s="10">
        <f t="shared" ca="1" si="211"/>
        <v>45404.878290046297</v>
      </c>
    </row>
    <row r="3378" spans="6:12" x14ac:dyDescent="0.25">
      <c r="F3378" s="11" t="str">
        <f>IF(ISBLANK(D3378),"",(VLOOKUP(D3378,Cardápio!$A$2:$B$16,2,0))*E3378)</f>
        <v/>
      </c>
      <c r="H3378" s="7" t="str">
        <f t="shared" si="208"/>
        <v/>
      </c>
      <c r="I3378" s="7" t="str">
        <f>IF(AND(ISBLANK(D3378),ISBLANK(C3378)),"",((VLOOKUP(D3378,Cardápio!$A$2:$C$16,3,0))*E3378)+IF(B3378="iFood",F3378*0.27,(VLOOKUP(VENDAS!C3378,Bairros!$A$2:$B$90,2,0))))</f>
        <v/>
      </c>
      <c r="J3378" s="7" t="str">
        <f t="shared" si="209"/>
        <v/>
      </c>
      <c r="K3378" s="9">
        <f t="shared" ca="1" si="210"/>
        <v>45404.878290162036</v>
      </c>
      <c r="L3378" s="10">
        <f t="shared" ca="1" si="211"/>
        <v>45404.878290046297</v>
      </c>
    </row>
    <row r="3379" spans="6:12" x14ac:dyDescent="0.25">
      <c r="F3379" s="11" t="str">
        <f>IF(ISBLANK(D3379),"",(VLOOKUP(D3379,Cardápio!$A$2:$B$16,2,0))*E3379)</f>
        <v/>
      </c>
      <c r="H3379" s="7" t="str">
        <f t="shared" si="208"/>
        <v/>
      </c>
      <c r="I3379" s="7" t="str">
        <f>IF(AND(ISBLANK(D3379),ISBLANK(C3379)),"",((VLOOKUP(D3379,Cardápio!$A$2:$C$16,3,0))*E3379)+IF(B3379="iFood",F3379*0.27,(VLOOKUP(VENDAS!C3379,Bairros!$A$2:$B$90,2,0))))</f>
        <v/>
      </c>
      <c r="J3379" s="7" t="str">
        <f t="shared" si="209"/>
        <v/>
      </c>
      <c r="K3379" s="9">
        <f t="shared" ca="1" si="210"/>
        <v>45404.878290162036</v>
      </c>
      <c r="L3379" s="10">
        <f t="shared" ca="1" si="211"/>
        <v>45404.878290162036</v>
      </c>
    </row>
    <row r="3380" spans="6:12" x14ac:dyDescent="0.25">
      <c r="F3380" s="11" t="str">
        <f>IF(ISBLANK(D3380),"",(VLOOKUP(D3380,Cardápio!$A$2:$B$16,2,0))*E3380)</f>
        <v/>
      </c>
      <c r="H3380" s="7" t="str">
        <f t="shared" si="208"/>
        <v/>
      </c>
      <c r="I3380" s="7" t="str">
        <f>IF(AND(ISBLANK(D3380),ISBLANK(C3380)),"",((VLOOKUP(D3380,Cardápio!$A$2:$C$16,3,0))*E3380)+IF(B3380="iFood",F3380*0.27,(VLOOKUP(VENDAS!C3380,Bairros!$A$2:$B$90,2,0))))</f>
        <v/>
      </c>
      <c r="J3380" s="7" t="str">
        <f t="shared" si="209"/>
        <v/>
      </c>
      <c r="K3380" s="9">
        <f t="shared" ca="1" si="210"/>
        <v>45404.878290162036</v>
      </c>
      <c r="L3380" s="10">
        <f t="shared" ca="1" si="211"/>
        <v>45404.878290046297</v>
      </c>
    </row>
    <row r="3381" spans="6:12" x14ac:dyDescent="0.25">
      <c r="F3381" s="11" t="str">
        <f>IF(ISBLANK(D3381),"",(VLOOKUP(D3381,Cardápio!$A$2:$B$16,2,0))*E3381)</f>
        <v/>
      </c>
      <c r="H3381" s="7" t="str">
        <f t="shared" ref="H3381:H3444" si="212">IF(ISBLANK(D3381),"",F3381-G3381)</f>
        <v/>
      </c>
      <c r="I3381" s="7" t="str">
        <f>IF(AND(ISBLANK(D3381),ISBLANK(C3381)),"",((VLOOKUP(D3381,Cardápio!$A$2:$C$16,3,0))*E3381)+IF(B3381="iFood",F3381*0.27,(VLOOKUP(VENDAS!C3381,Bairros!$A$2:$B$90,2,0))))</f>
        <v/>
      </c>
      <c r="J3381" s="7" t="str">
        <f t="shared" ref="J3381:J3444" si="213">IF(OR(AND(ISBLANK(H3381),ISBLANK(I3381)),(AND(H3381="",I3381=""))),"",H3381-I3381)</f>
        <v/>
      </c>
      <c r="K3381" s="9">
        <f t="shared" ref="K3381:K3444" ca="1" si="214">IF(D3381&lt;&gt;"",K3381,NOW())</f>
        <v>45404.878290277775</v>
      </c>
      <c r="L3381" s="10">
        <f t="shared" ref="L3381:L3444" ca="1" si="215">IF(D3381&lt;&gt;"",L3381,NOW())</f>
        <v>45404.878290046297</v>
      </c>
    </row>
    <row r="3382" spans="6:12" x14ac:dyDescent="0.25">
      <c r="F3382" s="11" t="str">
        <f>IF(ISBLANK(D3382),"",(VLOOKUP(D3382,Cardápio!$A$2:$B$16,2,0))*E3382)</f>
        <v/>
      </c>
      <c r="H3382" s="7" t="str">
        <f t="shared" si="212"/>
        <v/>
      </c>
      <c r="I3382" s="7" t="str">
        <f>IF(AND(ISBLANK(D3382),ISBLANK(C3382)),"",((VLOOKUP(D3382,Cardápio!$A$2:$C$16,3,0))*E3382)+IF(B3382="iFood",F3382*0.27,(VLOOKUP(VENDAS!C3382,Bairros!$A$2:$B$90,2,0))))</f>
        <v/>
      </c>
      <c r="J3382" s="7" t="str">
        <f t="shared" si="213"/>
        <v/>
      </c>
      <c r="K3382" s="9">
        <f t="shared" ca="1" si="214"/>
        <v>45404.878290162036</v>
      </c>
      <c r="L3382" s="10">
        <f t="shared" ca="1" si="215"/>
        <v>45404.878290046297</v>
      </c>
    </row>
    <row r="3383" spans="6:12" x14ac:dyDescent="0.25">
      <c r="F3383" s="11" t="str">
        <f>IF(ISBLANK(D3383),"",(VLOOKUP(D3383,Cardápio!$A$2:$B$16,2,0))*E3383)</f>
        <v/>
      </c>
      <c r="H3383" s="7" t="str">
        <f t="shared" si="212"/>
        <v/>
      </c>
      <c r="I3383" s="7" t="str">
        <f>IF(AND(ISBLANK(D3383),ISBLANK(C3383)),"",((VLOOKUP(D3383,Cardápio!$A$2:$C$16,3,0))*E3383)+IF(B3383="iFood",F3383*0.27,(VLOOKUP(VENDAS!C3383,Bairros!$A$2:$B$90,2,0))))</f>
        <v/>
      </c>
      <c r="J3383" s="7" t="str">
        <f t="shared" si="213"/>
        <v/>
      </c>
      <c r="K3383" s="9">
        <f t="shared" ca="1" si="214"/>
        <v>45404.878290162036</v>
      </c>
      <c r="L3383" s="10">
        <f t="shared" ca="1" si="215"/>
        <v>45404.878290162036</v>
      </c>
    </row>
    <row r="3384" spans="6:12" x14ac:dyDescent="0.25">
      <c r="F3384" s="11" t="str">
        <f>IF(ISBLANK(D3384),"",(VLOOKUP(D3384,Cardápio!$A$2:$B$16,2,0))*E3384)</f>
        <v/>
      </c>
      <c r="H3384" s="7" t="str">
        <f t="shared" si="212"/>
        <v/>
      </c>
      <c r="I3384" s="7" t="str">
        <f>IF(AND(ISBLANK(D3384),ISBLANK(C3384)),"",((VLOOKUP(D3384,Cardápio!$A$2:$C$16,3,0))*E3384)+IF(B3384="iFood",F3384*0.27,(VLOOKUP(VENDAS!C3384,Bairros!$A$2:$B$90,2,0))))</f>
        <v/>
      </c>
      <c r="J3384" s="7" t="str">
        <f t="shared" si="213"/>
        <v/>
      </c>
      <c r="K3384" s="9">
        <f t="shared" ca="1" si="214"/>
        <v>45404.878290162036</v>
      </c>
      <c r="L3384" s="10">
        <f t="shared" ca="1" si="215"/>
        <v>45404.878290046297</v>
      </c>
    </row>
    <row r="3385" spans="6:12" x14ac:dyDescent="0.25">
      <c r="F3385" s="11" t="str">
        <f>IF(ISBLANK(D3385),"",(VLOOKUP(D3385,Cardápio!$A$2:$B$16,2,0))*E3385)</f>
        <v/>
      </c>
      <c r="H3385" s="7" t="str">
        <f t="shared" si="212"/>
        <v/>
      </c>
      <c r="I3385" s="7" t="str">
        <f>IF(AND(ISBLANK(D3385),ISBLANK(C3385)),"",((VLOOKUP(D3385,Cardápio!$A$2:$C$16,3,0))*E3385)+IF(B3385="iFood",F3385*0.27,(VLOOKUP(VENDAS!C3385,Bairros!$A$2:$B$90,2,0))))</f>
        <v/>
      </c>
      <c r="J3385" s="7" t="str">
        <f t="shared" si="213"/>
        <v/>
      </c>
      <c r="K3385" s="9">
        <f t="shared" ca="1" si="214"/>
        <v>45404.878290277775</v>
      </c>
      <c r="L3385" s="10">
        <f t="shared" ca="1" si="215"/>
        <v>45404.878290046297</v>
      </c>
    </row>
    <row r="3386" spans="6:12" x14ac:dyDescent="0.25">
      <c r="F3386" s="11" t="str">
        <f>IF(ISBLANK(D3386),"",(VLOOKUP(D3386,Cardápio!$A$2:$B$16,2,0))*E3386)</f>
        <v/>
      </c>
      <c r="H3386" s="7" t="str">
        <f t="shared" si="212"/>
        <v/>
      </c>
      <c r="I3386" s="7" t="str">
        <f>IF(AND(ISBLANK(D3386),ISBLANK(C3386)),"",((VLOOKUP(D3386,Cardápio!$A$2:$C$16,3,0))*E3386)+IF(B3386="iFood",F3386*0.27,(VLOOKUP(VENDAS!C3386,Bairros!$A$2:$B$90,2,0))))</f>
        <v/>
      </c>
      <c r="J3386" s="7" t="str">
        <f t="shared" si="213"/>
        <v/>
      </c>
      <c r="K3386" s="9">
        <f t="shared" ca="1" si="214"/>
        <v>45404.878290162036</v>
      </c>
      <c r="L3386" s="10">
        <f t="shared" ca="1" si="215"/>
        <v>45404.878290046297</v>
      </c>
    </row>
    <row r="3387" spans="6:12" x14ac:dyDescent="0.25">
      <c r="F3387" s="11" t="str">
        <f>IF(ISBLANK(D3387),"",(VLOOKUP(D3387,Cardápio!$A$2:$B$16,2,0))*E3387)</f>
        <v/>
      </c>
      <c r="H3387" s="7" t="str">
        <f t="shared" si="212"/>
        <v/>
      </c>
      <c r="I3387" s="7" t="str">
        <f>IF(AND(ISBLANK(D3387),ISBLANK(C3387)),"",((VLOOKUP(D3387,Cardápio!$A$2:$C$16,3,0))*E3387)+IF(B3387="iFood",F3387*0.27,(VLOOKUP(VENDAS!C3387,Bairros!$A$2:$B$90,2,0))))</f>
        <v/>
      </c>
      <c r="J3387" s="7" t="str">
        <f t="shared" si="213"/>
        <v/>
      </c>
      <c r="K3387" s="9">
        <f t="shared" ca="1" si="214"/>
        <v>45404.878290162036</v>
      </c>
      <c r="L3387" s="10">
        <f t="shared" ca="1" si="215"/>
        <v>45404.878290162036</v>
      </c>
    </row>
    <row r="3388" spans="6:12" x14ac:dyDescent="0.25">
      <c r="F3388" s="11" t="str">
        <f>IF(ISBLANK(D3388),"",(VLOOKUP(D3388,Cardápio!$A$2:$B$16,2,0))*E3388)</f>
        <v/>
      </c>
      <c r="H3388" s="7" t="str">
        <f t="shared" si="212"/>
        <v/>
      </c>
      <c r="I3388" s="7" t="str">
        <f>IF(AND(ISBLANK(D3388),ISBLANK(C3388)),"",((VLOOKUP(D3388,Cardápio!$A$2:$C$16,3,0))*E3388)+IF(B3388="iFood",F3388*0.27,(VLOOKUP(VENDAS!C3388,Bairros!$A$2:$B$90,2,0))))</f>
        <v/>
      </c>
      <c r="J3388" s="7" t="str">
        <f t="shared" si="213"/>
        <v/>
      </c>
      <c r="K3388" s="9">
        <f t="shared" ca="1" si="214"/>
        <v>45404.878290162036</v>
      </c>
      <c r="L3388" s="10">
        <f t="shared" ca="1" si="215"/>
        <v>45404.878290046297</v>
      </c>
    </row>
    <row r="3389" spans="6:12" x14ac:dyDescent="0.25">
      <c r="F3389" s="11" t="str">
        <f>IF(ISBLANK(D3389),"",(VLOOKUP(D3389,Cardápio!$A$2:$B$16,2,0))*E3389)</f>
        <v/>
      </c>
      <c r="H3389" s="7" t="str">
        <f t="shared" si="212"/>
        <v/>
      </c>
      <c r="I3389" s="7" t="str">
        <f>IF(AND(ISBLANK(D3389),ISBLANK(C3389)),"",((VLOOKUP(D3389,Cardápio!$A$2:$C$16,3,0))*E3389)+IF(B3389="iFood",F3389*0.27,(VLOOKUP(VENDAS!C3389,Bairros!$A$2:$B$90,2,0))))</f>
        <v/>
      </c>
      <c r="J3389" s="7" t="str">
        <f t="shared" si="213"/>
        <v/>
      </c>
      <c r="K3389" s="9">
        <f t="shared" ca="1" si="214"/>
        <v>45404.878290277775</v>
      </c>
      <c r="L3389" s="10">
        <f t="shared" ca="1" si="215"/>
        <v>45404.878290046297</v>
      </c>
    </row>
    <row r="3390" spans="6:12" x14ac:dyDescent="0.25">
      <c r="F3390" s="11" t="str">
        <f>IF(ISBLANK(D3390),"",(VLOOKUP(D3390,Cardápio!$A$2:$B$16,2,0))*E3390)</f>
        <v/>
      </c>
      <c r="H3390" s="7" t="str">
        <f t="shared" si="212"/>
        <v/>
      </c>
      <c r="I3390" s="7" t="str">
        <f>IF(AND(ISBLANK(D3390),ISBLANK(C3390)),"",((VLOOKUP(D3390,Cardápio!$A$2:$C$16,3,0))*E3390)+IF(B3390="iFood",F3390*0.27,(VLOOKUP(VENDAS!C3390,Bairros!$A$2:$B$90,2,0))))</f>
        <v/>
      </c>
      <c r="J3390" s="7" t="str">
        <f t="shared" si="213"/>
        <v/>
      </c>
      <c r="K3390" s="9">
        <f t="shared" ca="1" si="214"/>
        <v>45404.878290162036</v>
      </c>
      <c r="L3390" s="10">
        <f t="shared" ca="1" si="215"/>
        <v>45404.878290046297</v>
      </c>
    </row>
    <row r="3391" spans="6:12" x14ac:dyDescent="0.25">
      <c r="F3391" s="11" t="str">
        <f>IF(ISBLANK(D3391),"",(VLOOKUP(D3391,Cardápio!$A$2:$B$16,2,0))*E3391)</f>
        <v/>
      </c>
      <c r="H3391" s="7" t="str">
        <f t="shared" si="212"/>
        <v/>
      </c>
      <c r="I3391" s="7" t="str">
        <f>IF(AND(ISBLANK(D3391),ISBLANK(C3391)),"",((VLOOKUP(D3391,Cardápio!$A$2:$C$16,3,0))*E3391)+IF(B3391="iFood",F3391*0.27,(VLOOKUP(VENDAS!C3391,Bairros!$A$2:$B$90,2,0))))</f>
        <v/>
      </c>
      <c r="J3391" s="7" t="str">
        <f t="shared" si="213"/>
        <v/>
      </c>
      <c r="K3391" s="9">
        <f t="shared" ca="1" si="214"/>
        <v>45404.878290162036</v>
      </c>
      <c r="L3391" s="10">
        <f t="shared" ca="1" si="215"/>
        <v>45404.878290162036</v>
      </c>
    </row>
    <row r="3392" spans="6:12" x14ac:dyDescent="0.25">
      <c r="F3392" s="11" t="str">
        <f>IF(ISBLANK(D3392),"",(VLOOKUP(D3392,Cardápio!$A$2:$B$16,2,0))*E3392)</f>
        <v/>
      </c>
      <c r="H3392" s="7" t="str">
        <f t="shared" si="212"/>
        <v/>
      </c>
      <c r="I3392" s="7" t="str">
        <f>IF(AND(ISBLANK(D3392),ISBLANK(C3392)),"",((VLOOKUP(D3392,Cardápio!$A$2:$C$16,3,0))*E3392)+IF(B3392="iFood",F3392*0.27,(VLOOKUP(VENDAS!C3392,Bairros!$A$2:$B$90,2,0))))</f>
        <v/>
      </c>
      <c r="J3392" s="7" t="str">
        <f t="shared" si="213"/>
        <v/>
      </c>
      <c r="K3392" s="9">
        <f t="shared" ca="1" si="214"/>
        <v>45404.878290162036</v>
      </c>
      <c r="L3392" s="10">
        <f t="shared" ca="1" si="215"/>
        <v>45404.878290046297</v>
      </c>
    </row>
    <row r="3393" spans="6:12" x14ac:dyDescent="0.25">
      <c r="F3393" s="11" t="str">
        <f>IF(ISBLANK(D3393),"",(VLOOKUP(D3393,Cardápio!$A$2:$B$16,2,0))*E3393)</f>
        <v/>
      </c>
      <c r="H3393" s="7" t="str">
        <f t="shared" si="212"/>
        <v/>
      </c>
      <c r="I3393" s="7" t="str">
        <f>IF(AND(ISBLANK(D3393),ISBLANK(C3393)),"",((VLOOKUP(D3393,Cardápio!$A$2:$C$16,3,0))*E3393)+IF(B3393="iFood",F3393*0.27,(VLOOKUP(VENDAS!C3393,Bairros!$A$2:$B$90,2,0))))</f>
        <v/>
      </c>
      <c r="J3393" s="7" t="str">
        <f t="shared" si="213"/>
        <v/>
      </c>
      <c r="K3393" s="9">
        <f t="shared" ca="1" si="214"/>
        <v>45404.878290277775</v>
      </c>
      <c r="L3393" s="10">
        <f t="shared" ca="1" si="215"/>
        <v>45404.878290046297</v>
      </c>
    </row>
    <row r="3394" spans="6:12" x14ac:dyDescent="0.25">
      <c r="F3394" s="11" t="str">
        <f>IF(ISBLANK(D3394),"",(VLOOKUP(D3394,Cardápio!$A$2:$B$16,2,0))*E3394)</f>
        <v/>
      </c>
      <c r="H3394" s="7" t="str">
        <f t="shared" si="212"/>
        <v/>
      </c>
      <c r="I3394" s="7" t="str">
        <f>IF(AND(ISBLANK(D3394),ISBLANK(C3394)),"",((VLOOKUP(D3394,Cardápio!$A$2:$C$16,3,0))*E3394)+IF(B3394="iFood",F3394*0.27,(VLOOKUP(VENDAS!C3394,Bairros!$A$2:$B$90,2,0))))</f>
        <v/>
      </c>
      <c r="J3394" s="7" t="str">
        <f t="shared" si="213"/>
        <v/>
      </c>
      <c r="K3394" s="9">
        <f t="shared" ca="1" si="214"/>
        <v>45404.878290162036</v>
      </c>
      <c r="L3394" s="10">
        <f t="shared" ca="1" si="215"/>
        <v>45404.878290046297</v>
      </c>
    </row>
    <row r="3395" spans="6:12" x14ac:dyDescent="0.25">
      <c r="F3395" s="11" t="str">
        <f>IF(ISBLANK(D3395),"",(VLOOKUP(D3395,Cardápio!$A$2:$B$16,2,0))*E3395)</f>
        <v/>
      </c>
      <c r="H3395" s="7" t="str">
        <f t="shared" si="212"/>
        <v/>
      </c>
      <c r="I3395" s="7" t="str">
        <f>IF(AND(ISBLANK(D3395),ISBLANK(C3395)),"",((VLOOKUP(D3395,Cardápio!$A$2:$C$16,3,0))*E3395)+IF(B3395="iFood",F3395*0.27,(VLOOKUP(VENDAS!C3395,Bairros!$A$2:$B$90,2,0))))</f>
        <v/>
      </c>
      <c r="J3395" s="7" t="str">
        <f t="shared" si="213"/>
        <v/>
      </c>
      <c r="K3395" s="9">
        <f t="shared" ca="1" si="214"/>
        <v>45404.878290162036</v>
      </c>
      <c r="L3395" s="10">
        <f t="shared" ca="1" si="215"/>
        <v>45404.878290162036</v>
      </c>
    </row>
    <row r="3396" spans="6:12" x14ac:dyDescent="0.25">
      <c r="F3396" s="11" t="str">
        <f>IF(ISBLANK(D3396),"",(VLOOKUP(D3396,Cardápio!$A$2:$B$16,2,0))*E3396)</f>
        <v/>
      </c>
      <c r="H3396" s="7" t="str">
        <f t="shared" si="212"/>
        <v/>
      </c>
      <c r="I3396" s="7" t="str">
        <f>IF(AND(ISBLANK(D3396),ISBLANK(C3396)),"",((VLOOKUP(D3396,Cardápio!$A$2:$C$16,3,0))*E3396)+IF(B3396="iFood",F3396*0.27,(VLOOKUP(VENDAS!C3396,Bairros!$A$2:$B$90,2,0))))</f>
        <v/>
      </c>
      <c r="J3396" s="7" t="str">
        <f t="shared" si="213"/>
        <v/>
      </c>
      <c r="K3396" s="9">
        <f t="shared" ca="1" si="214"/>
        <v>45404.878290162036</v>
      </c>
      <c r="L3396" s="10">
        <f t="shared" ca="1" si="215"/>
        <v>45404.878290046297</v>
      </c>
    </row>
    <row r="3397" spans="6:12" x14ac:dyDescent="0.25">
      <c r="F3397" s="11" t="str">
        <f>IF(ISBLANK(D3397),"",(VLOOKUP(D3397,Cardápio!$A$2:$B$16,2,0))*E3397)</f>
        <v/>
      </c>
      <c r="H3397" s="7" t="str">
        <f t="shared" si="212"/>
        <v/>
      </c>
      <c r="I3397" s="7" t="str">
        <f>IF(AND(ISBLANK(D3397),ISBLANK(C3397)),"",((VLOOKUP(D3397,Cardápio!$A$2:$C$16,3,0))*E3397)+IF(B3397="iFood",F3397*0.27,(VLOOKUP(VENDAS!C3397,Bairros!$A$2:$B$90,2,0))))</f>
        <v/>
      </c>
      <c r="J3397" s="7" t="str">
        <f t="shared" si="213"/>
        <v/>
      </c>
      <c r="K3397" s="9">
        <f t="shared" ca="1" si="214"/>
        <v>45404.878290277775</v>
      </c>
      <c r="L3397" s="10">
        <f t="shared" ca="1" si="215"/>
        <v>45404.878290046297</v>
      </c>
    </row>
    <row r="3398" spans="6:12" x14ac:dyDescent="0.25">
      <c r="F3398" s="11" t="str">
        <f>IF(ISBLANK(D3398),"",(VLOOKUP(D3398,Cardápio!$A$2:$B$16,2,0))*E3398)</f>
        <v/>
      </c>
      <c r="H3398" s="7" t="str">
        <f t="shared" si="212"/>
        <v/>
      </c>
      <c r="I3398" s="7" t="str">
        <f>IF(AND(ISBLANK(D3398),ISBLANK(C3398)),"",((VLOOKUP(D3398,Cardápio!$A$2:$C$16,3,0))*E3398)+IF(B3398="iFood",F3398*0.27,(VLOOKUP(VENDAS!C3398,Bairros!$A$2:$B$90,2,0))))</f>
        <v/>
      </c>
      <c r="J3398" s="7" t="str">
        <f t="shared" si="213"/>
        <v/>
      </c>
      <c r="K3398" s="9">
        <f t="shared" ca="1" si="214"/>
        <v>45404.878290162036</v>
      </c>
      <c r="L3398" s="10">
        <f t="shared" ca="1" si="215"/>
        <v>45404.878290046297</v>
      </c>
    </row>
    <row r="3399" spans="6:12" x14ac:dyDescent="0.25">
      <c r="F3399" s="11" t="str">
        <f>IF(ISBLANK(D3399),"",(VLOOKUP(D3399,Cardápio!$A$2:$B$16,2,0))*E3399)</f>
        <v/>
      </c>
      <c r="H3399" s="7" t="str">
        <f t="shared" si="212"/>
        <v/>
      </c>
      <c r="I3399" s="7" t="str">
        <f>IF(AND(ISBLANK(D3399),ISBLANK(C3399)),"",((VLOOKUP(D3399,Cardápio!$A$2:$C$16,3,0))*E3399)+IF(B3399="iFood",F3399*0.27,(VLOOKUP(VENDAS!C3399,Bairros!$A$2:$B$90,2,0))))</f>
        <v/>
      </c>
      <c r="J3399" s="7" t="str">
        <f t="shared" si="213"/>
        <v/>
      </c>
      <c r="K3399" s="9">
        <f t="shared" ca="1" si="214"/>
        <v>45404.878290162036</v>
      </c>
      <c r="L3399" s="10">
        <f t="shared" ca="1" si="215"/>
        <v>45404.878290162036</v>
      </c>
    </row>
    <row r="3400" spans="6:12" x14ac:dyDescent="0.25">
      <c r="F3400" s="11" t="str">
        <f>IF(ISBLANK(D3400),"",(VLOOKUP(D3400,Cardápio!$A$2:$B$16,2,0))*E3400)</f>
        <v/>
      </c>
      <c r="H3400" s="7" t="str">
        <f t="shared" si="212"/>
        <v/>
      </c>
      <c r="I3400" s="7" t="str">
        <f>IF(AND(ISBLANK(D3400),ISBLANK(C3400)),"",((VLOOKUP(D3400,Cardápio!$A$2:$C$16,3,0))*E3400)+IF(B3400="iFood",F3400*0.27,(VLOOKUP(VENDAS!C3400,Bairros!$A$2:$B$90,2,0))))</f>
        <v/>
      </c>
      <c r="J3400" s="7" t="str">
        <f t="shared" si="213"/>
        <v/>
      </c>
      <c r="K3400" s="9">
        <f t="shared" ca="1" si="214"/>
        <v>45404.878290162036</v>
      </c>
      <c r="L3400" s="10">
        <f t="shared" ca="1" si="215"/>
        <v>45404.878290046297</v>
      </c>
    </row>
    <row r="3401" spans="6:12" x14ac:dyDescent="0.25">
      <c r="F3401" s="11" t="str">
        <f>IF(ISBLANK(D3401),"",(VLOOKUP(D3401,Cardápio!$A$2:$B$16,2,0))*E3401)</f>
        <v/>
      </c>
      <c r="H3401" s="7" t="str">
        <f t="shared" si="212"/>
        <v/>
      </c>
      <c r="I3401" s="7" t="str">
        <f>IF(AND(ISBLANK(D3401),ISBLANK(C3401)),"",((VLOOKUP(D3401,Cardápio!$A$2:$C$16,3,0))*E3401)+IF(B3401="iFood",F3401*0.27,(VLOOKUP(VENDAS!C3401,Bairros!$A$2:$B$90,2,0))))</f>
        <v/>
      </c>
      <c r="J3401" s="7" t="str">
        <f t="shared" si="213"/>
        <v/>
      </c>
      <c r="K3401" s="9">
        <f t="shared" ca="1" si="214"/>
        <v>45404.878290277775</v>
      </c>
      <c r="L3401" s="10">
        <f t="shared" ca="1" si="215"/>
        <v>45404.878290046297</v>
      </c>
    </row>
    <row r="3402" spans="6:12" x14ac:dyDescent="0.25">
      <c r="F3402" s="11" t="str">
        <f>IF(ISBLANK(D3402),"",(VLOOKUP(D3402,Cardápio!$A$2:$B$16,2,0))*E3402)</f>
        <v/>
      </c>
      <c r="H3402" s="7" t="str">
        <f t="shared" si="212"/>
        <v/>
      </c>
      <c r="I3402" s="7" t="str">
        <f>IF(AND(ISBLANK(D3402),ISBLANK(C3402)),"",((VLOOKUP(D3402,Cardápio!$A$2:$C$16,3,0))*E3402)+IF(B3402="iFood",F3402*0.27,(VLOOKUP(VENDAS!C3402,Bairros!$A$2:$B$90,2,0))))</f>
        <v/>
      </c>
      <c r="J3402" s="7" t="str">
        <f t="shared" si="213"/>
        <v/>
      </c>
      <c r="K3402" s="9">
        <f t="shared" ca="1" si="214"/>
        <v>45404.878290162036</v>
      </c>
      <c r="L3402" s="10">
        <f t="shared" ca="1" si="215"/>
        <v>45404.878290046297</v>
      </c>
    </row>
    <row r="3403" spans="6:12" x14ac:dyDescent="0.25">
      <c r="F3403" s="11" t="str">
        <f>IF(ISBLANK(D3403),"",(VLOOKUP(D3403,Cardápio!$A$2:$B$16,2,0))*E3403)</f>
        <v/>
      </c>
      <c r="H3403" s="7" t="str">
        <f t="shared" si="212"/>
        <v/>
      </c>
      <c r="I3403" s="7" t="str">
        <f>IF(AND(ISBLANK(D3403),ISBLANK(C3403)),"",((VLOOKUP(D3403,Cardápio!$A$2:$C$16,3,0))*E3403)+IF(B3403="iFood",F3403*0.27,(VLOOKUP(VENDAS!C3403,Bairros!$A$2:$B$90,2,0))))</f>
        <v/>
      </c>
      <c r="J3403" s="7" t="str">
        <f t="shared" si="213"/>
        <v/>
      </c>
      <c r="K3403" s="9">
        <f t="shared" ca="1" si="214"/>
        <v>45404.878290162036</v>
      </c>
      <c r="L3403" s="10">
        <f t="shared" ca="1" si="215"/>
        <v>45404.878290162036</v>
      </c>
    </row>
    <row r="3404" spans="6:12" x14ac:dyDescent="0.25">
      <c r="F3404" s="11" t="str">
        <f>IF(ISBLANK(D3404),"",(VLOOKUP(D3404,Cardápio!$A$2:$B$16,2,0))*E3404)</f>
        <v/>
      </c>
      <c r="H3404" s="7" t="str">
        <f t="shared" si="212"/>
        <v/>
      </c>
      <c r="I3404" s="7" t="str">
        <f>IF(AND(ISBLANK(D3404),ISBLANK(C3404)),"",((VLOOKUP(D3404,Cardápio!$A$2:$C$16,3,0))*E3404)+IF(B3404="iFood",F3404*0.27,(VLOOKUP(VENDAS!C3404,Bairros!$A$2:$B$90,2,0))))</f>
        <v/>
      </c>
      <c r="J3404" s="7" t="str">
        <f t="shared" si="213"/>
        <v/>
      </c>
      <c r="K3404" s="9">
        <f t="shared" ca="1" si="214"/>
        <v>45404.878290162036</v>
      </c>
      <c r="L3404" s="10">
        <f t="shared" ca="1" si="215"/>
        <v>45404.878290046297</v>
      </c>
    </row>
    <row r="3405" spans="6:12" x14ac:dyDescent="0.25">
      <c r="F3405" s="11" t="str">
        <f>IF(ISBLANK(D3405),"",(VLOOKUP(D3405,Cardápio!$A$2:$B$16,2,0))*E3405)</f>
        <v/>
      </c>
      <c r="H3405" s="7" t="str">
        <f t="shared" si="212"/>
        <v/>
      </c>
      <c r="I3405" s="7" t="str">
        <f>IF(AND(ISBLANK(D3405),ISBLANK(C3405)),"",((VLOOKUP(D3405,Cardápio!$A$2:$C$16,3,0))*E3405)+IF(B3405="iFood",F3405*0.27,(VLOOKUP(VENDAS!C3405,Bairros!$A$2:$B$90,2,0))))</f>
        <v/>
      </c>
      <c r="J3405" s="7" t="str">
        <f t="shared" si="213"/>
        <v/>
      </c>
      <c r="K3405" s="9">
        <f t="shared" ca="1" si="214"/>
        <v>45404.878290277775</v>
      </c>
      <c r="L3405" s="10">
        <f t="shared" ca="1" si="215"/>
        <v>45404.878290046297</v>
      </c>
    </row>
    <row r="3406" spans="6:12" x14ac:dyDescent="0.25">
      <c r="F3406" s="11" t="str">
        <f>IF(ISBLANK(D3406),"",(VLOOKUP(D3406,Cardápio!$A$2:$B$16,2,0))*E3406)</f>
        <v/>
      </c>
      <c r="H3406" s="7" t="str">
        <f t="shared" si="212"/>
        <v/>
      </c>
      <c r="I3406" s="7" t="str">
        <f>IF(AND(ISBLANK(D3406),ISBLANK(C3406)),"",((VLOOKUP(D3406,Cardápio!$A$2:$C$16,3,0))*E3406)+IF(B3406="iFood",F3406*0.27,(VLOOKUP(VENDAS!C3406,Bairros!$A$2:$B$90,2,0))))</f>
        <v/>
      </c>
      <c r="J3406" s="7" t="str">
        <f t="shared" si="213"/>
        <v/>
      </c>
      <c r="K3406" s="9">
        <f t="shared" ca="1" si="214"/>
        <v>45404.878290162036</v>
      </c>
      <c r="L3406" s="10">
        <f t="shared" ca="1" si="215"/>
        <v>45404.878290046297</v>
      </c>
    </row>
    <row r="3407" spans="6:12" x14ac:dyDescent="0.25">
      <c r="F3407" s="11" t="str">
        <f>IF(ISBLANK(D3407),"",(VLOOKUP(D3407,Cardápio!$A$2:$B$16,2,0))*E3407)</f>
        <v/>
      </c>
      <c r="H3407" s="7" t="str">
        <f t="shared" si="212"/>
        <v/>
      </c>
      <c r="I3407" s="7" t="str">
        <f>IF(AND(ISBLANK(D3407),ISBLANK(C3407)),"",((VLOOKUP(D3407,Cardápio!$A$2:$C$16,3,0))*E3407)+IF(B3407="iFood",F3407*0.27,(VLOOKUP(VENDAS!C3407,Bairros!$A$2:$B$90,2,0))))</f>
        <v/>
      </c>
      <c r="J3407" s="7" t="str">
        <f t="shared" si="213"/>
        <v/>
      </c>
      <c r="K3407" s="9">
        <f t="shared" ca="1" si="214"/>
        <v>45404.878290162036</v>
      </c>
      <c r="L3407" s="10">
        <f t="shared" ca="1" si="215"/>
        <v>45404.878290162036</v>
      </c>
    </row>
    <row r="3408" spans="6:12" x14ac:dyDescent="0.25">
      <c r="F3408" s="11" t="str">
        <f>IF(ISBLANK(D3408),"",(VLOOKUP(D3408,Cardápio!$A$2:$B$16,2,0))*E3408)</f>
        <v/>
      </c>
      <c r="H3408" s="7" t="str">
        <f t="shared" si="212"/>
        <v/>
      </c>
      <c r="I3408" s="7" t="str">
        <f>IF(AND(ISBLANK(D3408),ISBLANK(C3408)),"",((VLOOKUP(D3408,Cardápio!$A$2:$C$16,3,0))*E3408)+IF(B3408="iFood",F3408*0.27,(VLOOKUP(VENDAS!C3408,Bairros!$A$2:$B$90,2,0))))</f>
        <v/>
      </c>
      <c r="J3408" s="7" t="str">
        <f t="shared" si="213"/>
        <v/>
      </c>
      <c r="K3408" s="9">
        <f t="shared" ca="1" si="214"/>
        <v>45404.878290162036</v>
      </c>
      <c r="L3408" s="10">
        <f t="shared" ca="1" si="215"/>
        <v>45404.878290046297</v>
      </c>
    </row>
    <row r="3409" spans="6:12" x14ac:dyDescent="0.25">
      <c r="F3409" s="11" t="str">
        <f>IF(ISBLANK(D3409),"",(VLOOKUP(D3409,Cardápio!$A$2:$B$16,2,0))*E3409)</f>
        <v/>
      </c>
      <c r="H3409" s="7" t="str">
        <f t="shared" si="212"/>
        <v/>
      </c>
      <c r="I3409" s="7" t="str">
        <f>IF(AND(ISBLANK(D3409),ISBLANK(C3409)),"",((VLOOKUP(D3409,Cardápio!$A$2:$C$16,3,0))*E3409)+IF(B3409="iFood",F3409*0.27,(VLOOKUP(VENDAS!C3409,Bairros!$A$2:$B$90,2,0))))</f>
        <v/>
      </c>
      <c r="J3409" s="7" t="str">
        <f t="shared" si="213"/>
        <v/>
      </c>
      <c r="K3409" s="9">
        <f t="shared" ca="1" si="214"/>
        <v>45404.878290277775</v>
      </c>
      <c r="L3409" s="10">
        <f t="shared" ca="1" si="215"/>
        <v>45404.878290046297</v>
      </c>
    </row>
    <row r="3410" spans="6:12" x14ac:dyDescent="0.25">
      <c r="F3410" s="11" t="str">
        <f>IF(ISBLANK(D3410),"",(VLOOKUP(D3410,Cardápio!$A$2:$B$16,2,0))*E3410)</f>
        <v/>
      </c>
      <c r="H3410" s="7" t="str">
        <f t="shared" si="212"/>
        <v/>
      </c>
      <c r="I3410" s="7" t="str">
        <f>IF(AND(ISBLANK(D3410),ISBLANK(C3410)),"",((VLOOKUP(D3410,Cardápio!$A$2:$C$16,3,0))*E3410)+IF(B3410="iFood",F3410*0.27,(VLOOKUP(VENDAS!C3410,Bairros!$A$2:$B$90,2,0))))</f>
        <v/>
      </c>
      <c r="J3410" s="7" t="str">
        <f t="shared" si="213"/>
        <v/>
      </c>
      <c r="K3410" s="9">
        <f t="shared" ca="1" si="214"/>
        <v>45404.878290162036</v>
      </c>
      <c r="L3410" s="10">
        <f t="shared" ca="1" si="215"/>
        <v>45404.878290046297</v>
      </c>
    </row>
    <row r="3411" spans="6:12" x14ac:dyDescent="0.25">
      <c r="F3411" s="11" t="str">
        <f>IF(ISBLANK(D3411),"",(VLOOKUP(D3411,Cardápio!$A$2:$B$16,2,0))*E3411)</f>
        <v/>
      </c>
      <c r="H3411" s="7" t="str">
        <f t="shared" si="212"/>
        <v/>
      </c>
      <c r="I3411" s="7" t="str">
        <f>IF(AND(ISBLANK(D3411),ISBLANK(C3411)),"",((VLOOKUP(D3411,Cardápio!$A$2:$C$16,3,0))*E3411)+IF(B3411="iFood",F3411*0.27,(VLOOKUP(VENDAS!C3411,Bairros!$A$2:$B$90,2,0))))</f>
        <v/>
      </c>
      <c r="J3411" s="7" t="str">
        <f t="shared" si="213"/>
        <v/>
      </c>
      <c r="K3411" s="9">
        <f t="shared" ca="1" si="214"/>
        <v>45404.878290162036</v>
      </c>
      <c r="L3411" s="10">
        <f t="shared" ca="1" si="215"/>
        <v>45404.878290162036</v>
      </c>
    </row>
    <row r="3412" spans="6:12" x14ac:dyDescent="0.25">
      <c r="F3412" s="11" t="str">
        <f>IF(ISBLANK(D3412),"",(VLOOKUP(D3412,Cardápio!$A$2:$B$16,2,0))*E3412)</f>
        <v/>
      </c>
      <c r="H3412" s="7" t="str">
        <f t="shared" si="212"/>
        <v/>
      </c>
      <c r="I3412" s="7" t="str">
        <f>IF(AND(ISBLANK(D3412),ISBLANK(C3412)),"",((VLOOKUP(D3412,Cardápio!$A$2:$C$16,3,0))*E3412)+IF(B3412="iFood",F3412*0.27,(VLOOKUP(VENDAS!C3412,Bairros!$A$2:$B$90,2,0))))</f>
        <v/>
      </c>
      <c r="J3412" s="7" t="str">
        <f t="shared" si="213"/>
        <v/>
      </c>
      <c r="K3412" s="9">
        <f t="shared" ca="1" si="214"/>
        <v>45404.878290162036</v>
      </c>
      <c r="L3412" s="10">
        <f t="shared" ca="1" si="215"/>
        <v>45404.878290046297</v>
      </c>
    </row>
    <row r="3413" spans="6:12" x14ac:dyDescent="0.25">
      <c r="F3413" s="11" t="str">
        <f>IF(ISBLANK(D3413),"",(VLOOKUP(D3413,Cardápio!$A$2:$B$16,2,0))*E3413)</f>
        <v/>
      </c>
      <c r="H3413" s="7" t="str">
        <f t="shared" si="212"/>
        <v/>
      </c>
      <c r="I3413" s="7" t="str">
        <f>IF(AND(ISBLANK(D3413),ISBLANK(C3413)),"",((VLOOKUP(D3413,Cardápio!$A$2:$C$16,3,0))*E3413)+IF(B3413="iFood",F3413*0.27,(VLOOKUP(VENDAS!C3413,Bairros!$A$2:$B$90,2,0))))</f>
        <v/>
      </c>
      <c r="J3413" s="7" t="str">
        <f t="shared" si="213"/>
        <v/>
      </c>
      <c r="K3413" s="9">
        <f t="shared" ca="1" si="214"/>
        <v>45404.878290277775</v>
      </c>
      <c r="L3413" s="10">
        <f t="shared" ca="1" si="215"/>
        <v>45404.878290046297</v>
      </c>
    </row>
    <row r="3414" spans="6:12" x14ac:dyDescent="0.25">
      <c r="F3414" s="11" t="str">
        <f>IF(ISBLANK(D3414),"",(VLOOKUP(D3414,Cardápio!$A$2:$B$16,2,0))*E3414)</f>
        <v/>
      </c>
      <c r="H3414" s="7" t="str">
        <f t="shared" si="212"/>
        <v/>
      </c>
      <c r="I3414" s="7" t="str">
        <f>IF(AND(ISBLANK(D3414),ISBLANK(C3414)),"",((VLOOKUP(D3414,Cardápio!$A$2:$C$16,3,0))*E3414)+IF(B3414="iFood",F3414*0.27,(VLOOKUP(VENDAS!C3414,Bairros!$A$2:$B$90,2,0))))</f>
        <v/>
      </c>
      <c r="J3414" s="7" t="str">
        <f t="shared" si="213"/>
        <v/>
      </c>
      <c r="K3414" s="9">
        <f t="shared" ca="1" si="214"/>
        <v>45404.878290162036</v>
      </c>
      <c r="L3414" s="10">
        <f t="shared" ca="1" si="215"/>
        <v>45404.878290046297</v>
      </c>
    </row>
    <row r="3415" spans="6:12" x14ac:dyDescent="0.25">
      <c r="F3415" s="11" t="str">
        <f>IF(ISBLANK(D3415),"",(VLOOKUP(D3415,Cardápio!$A$2:$B$16,2,0))*E3415)</f>
        <v/>
      </c>
      <c r="H3415" s="7" t="str">
        <f t="shared" si="212"/>
        <v/>
      </c>
      <c r="I3415" s="7" t="str">
        <f>IF(AND(ISBLANK(D3415),ISBLANK(C3415)),"",((VLOOKUP(D3415,Cardápio!$A$2:$C$16,3,0))*E3415)+IF(B3415="iFood",F3415*0.27,(VLOOKUP(VENDAS!C3415,Bairros!$A$2:$B$90,2,0))))</f>
        <v/>
      </c>
      <c r="J3415" s="7" t="str">
        <f t="shared" si="213"/>
        <v/>
      </c>
      <c r="K3415" s="9">
        <f t="shared" ca="1" si="214"/>
        <v>45404.878290162036</v>
      </c>
      <c r="L3415" s="10">
        <f t="shared" ca="1" si="215"/>
        <v>45404.878290162036</v>
      </c>
    </row>
    <row r="3416" spans="6:12" x14ac:dyDescent="0.25">
      <c r="F3416" s="11" t="str">
        <f>IF(ISBLANK(D3416),"",(VLOOKUP(D3416,Cardápio!$A$2:$B$16,2,0))*E3416)</f>
        <v/>
      </c>
      <c r="H3416" s="7" t="str">
        <f t="shared" si="212"/>
        <v/>
      </c>
      <c r="I3416" s="7" t="str">
        <f>IF(AND(ISBLANK(D3416),ISBLANK(C3416)),"",((VLOOKUP(D3416,Cardápio!$A$2:$C$16,3,0))*E3416)+IF(B3416="iFood",F3416*0.27,(VLOOKUP(VENDAS!C3416,Bairros!$A$2:$B$90,2,0))))</f>
        <v/>
      </c>
      <c r="J3416" s="7" t="str">
        <f t="shared" si="213"/>
        <v/>
      </c>
      <c r="K3416" s="9">
        <f t="shared" ca="1" si="214"/>
        <v>45404.878290162036</v>
      </c>
      <c r="L3416" s="10">
        <f t="shared" ca="1" si="215"/>
        <v>45404.878290046297</v>
      </c>
    </row>
    <row r="3417" spans="6:12" x14ac:dyDescent="0.25">
      <c r="F3417" s="11" t="str">
        <f>IF(ISBLANK(D3417),"",(VLOOKUP(D3417,Cardápio!$A$2:$B$16,2,0))*E3417)</f>
        <v/>
      </c>
      <c r="H3417" s="7" t="str">
        <f t="shared" si="212"/>
        <v/>
      </c>
      <c r="I3417" s="7" t="str">
        <f>IF(AND(ISBLANK(D3417),ISBLANK(C3417)),"",((VLOOKUP(D3417,Cardápio!$A$2:$C$16,3,0))*E3417)+IF(B3417="iFood",F3417*0.27,(VLOOKUP(VENDAS!C3417,Bairros!$A$2:$B$90,2,0))))</f>
        <v/>
      </c>
      <c r="J3417" s="7" t="str">
        <f t="shared" si="213"/>
        <v/>
      </c>
      <c r="K3417" s="9">
        <f t="shared" ca="1" si="214"/>
        <v>45404.878290277775</v>
      </c>
      <c r="L3417" s="10">
        <f t="shared" ca="1" si="215"/>
        <v>45404.878290046297</v>
      </c>
    </row>
    <row r="3418" spans="6:12" x14ac:dyDescent="0.25">
      <c r="F3418" s="11" t="str">
        <f>IF(ISBLANK(D3418),"",(VLOOKUP(D3418,Cardápio!$A$2:$B$16,2,0))*E3418)</f>
        <v/>
      </c>
      <c r="H3418" s="7" t="str">
        <f t="shared" si="212"/>
        <v/>
      </c>
      <c r="I3418" s="7" t="str">
        <f>IF(AND(ISBLANK(D3418),ISBLANK(C3418)),"",((VLOOKUP(D3418,Cardápio!$A$2:$C$16,3,0))*E3418)+IF(B3418="iFood",F3418*0.27,(VLOOKUP(VENDAS!C3418,Bairros!$A$2:$B$90,2,0))))</f>
        <v/>
      </c>
      <c r="J3418" s="7" t="str">
        <f t="shared" si="213"/>
        <v/>
      </c>
      <c r="K3418" s="9">
        <f t="shared" ca="1" si="214"/>
        <v>45404.878290162036</v>
      </c>
      <c r="L3418" s="10">
        <f t="shared" ca="1" si="215"/>
        <v>45404.878290046297</v>
      </c>
    </row>
    <row r="3419" spans="6:12" x14ac:dyDescent="0.25">
      <c r="F3419" s="11" t="str">
        <f>IF(ISBLANK(D3419),"",(VLOOKUP(D3419,Cardápio!$A$2:$B$16,2,0))*E3419)</f>
        <v/>
      </c>
      <c r="H3419" s="7" t="str">
        <f t="shared" si="212"/>
        <v/>
      </c>
      <c r="I3419" s="7" t="str">
        <f>IF(AND(ISBLANK(D3419),ISBLANK(C3419)),"",((VLOOKUP(D3419,Cardápio!$A$2:$C$16,3,0))*E3419)+IF(B3419="iFood",F3419*0.27,(VLOOKUP(VENDAS!C3419,Bairros!$A$2:$B$90,2,0))))</f>
        <v/>
      </c>
      <c r="J3419" s="7" t="str">
        <f t="shared" si="213"/>
        <v/>
      </c>
      <c r="K3419" s="9">
        <f t="shared" ca="1" si="214"/>
        <v>45404.878290162036</v>
      </c>
      <c r="L3419" s="10">
        <f t="shared" ca="1" si="215"/>
        <v>45404.878290162036</v>
      </c>
    </row>
    <row r="3420" spans="6:12" x14ac:dyDescent="0.25">
      <c r="F3420" s="11" t="str">
        <f>IF(ISBLANK(D3420),"",(VLOOKUP(D3420,Cardápio!$A$2:$B$16,2,0))*E3420)</f>
        <v/>
      </c>
      <c r="H3420" s="7" t="str">
        <f t="shared" si="212"/>
        <v/>
      </c>
      <c r="I3420" s="7" t="str">
        <f>IF(AND(ISBLANK(D3420),ISBLANK(C3420)),"",((VLOOKUP(D3420,Cardápio!$A$2:$C$16,3,0))*E3420)+IF(B3420="iFood",F3420*0.27,(VLOOKUP(VENDAS!C3420,Bairros!$A$2:$B$90,2,0))))</f>
        <v/>
      </c>
      <c r="J3420" s="7" t="str">
        <f t="shared" si="213"/>
        <v/>
      </c>
      <c r="K3420" s="9">
        <f t="shared" ca="1" si="214"/>
        <v>45404.878290162036</v>
      </c>
      <c r="L3420" s="10">
        <f t="shared" ca="1" si="215"/>
        <v>45404.878290046297</v>
      </c>
    </row>
    <row r="3421" spans="6:12" x14ac:dyDescent="0.25">
      <c r="F3421" s="11" t="str">
        <f>IF(ISBLANK(D3421),"",(VLOOKUP(D3421,Cardápio!$A$2:$B$16,2,0))*E3421)</f>
        <v/>
      </c>
      <c r="H3421" s="7" t="str">
        <f t="shared" si="212"/>
        <v/>
      </c>
      <c r="I3421" s="7" t="str">
        <f>IF(AND(ISBLANK(D3421),ISBLANK(C3421)),"",((VLOOKUP(D3421,Cardápio!$A$2:$C$16,3,0))*E3421)+IF(B3421="iFood",F3421*0.27,(VLOOKUP(VENDAS!C3421,Bairros!$A$2:$B$90,2,0))))</f>
        <v/>
      </c>
      <c r="J3421" s="7" t="str">
        <f t="shared" si="213"/>
        <v/>
      </c>
      <c r="K3421" s="9">
        <f t="shared" ca="1" si="214"/>
        <v>45404.878290277775</v>
      </c>
      <c r="L3421" s="10">
        <f t="shared" ca="1" si="215"/>
        <v>45404.878290046297</v>
      </c>
    </row>
    <row r="3422" spans="6:12" x14ac:dyDescent="0.25">
      <c r="F3422" s="11" t="str">
        <f>IF(ISBLANK(D3422),"",(VLOOKUP(D3422,Cardápio!$A$2:$B$16,2,0))*E3422)</f>
        <v/>
      </c>
      <c r="H3422" s="7" t="str">
        <f t="shared" si="212"/>
        <v/>
      </c>
      <c r="I3422" s="7" t="str">
        <f>IF(AND(ISBLANK(D3422),ISBLANK(C3422)),"",((VLOOKUP(D3422,Cardápio!$A$2:$C$16,3,0))*E3422)+IF(B3422="iFood",F3422*0.27,(VLOOKUP(VENDAS!C3422,Bairros!$A$2:$B$90,2,0))))</f>
        <v/>
      </c>
      <c r="J3422" s="7" t="str">
        <f t="shared" si="213"/>
        <v/>
      </c>
      <c r="K3422" s="9">
        <f t="shared" ca="1" si="214"/>
        <v>45404.878290162036</v>
      </c>
      <c r="L3422" s="10">
        <f t="shared" ca="1" si="215"/>
        <v>45404.878290046297</v>
      </c>
    </row>
    <row r="3423" spans="6:12" x14ac:dyDescent="0.25">
      <c r="F3423" s="11" t="str">
        <f>IF(ISBLANK(D3423),"",(VLOOKUP(D3423,Cardápio!$A$2:$B$16,2,0))*E3423)</f>
        <v/>
      </c>
      <c r="H3423" s="7" t="str">
        <f t="shared" si="212"/>
        <v/>
      </c>
      <c r="I3423" s="7" t="str">
        <f>IF(AND(ISBLANK(D3423),ISBLANK(C3423)),"",((VLOOKUP(D3423,Cardápio!$A$2:$C$16,3,0))*E3423)+IF(B3423="iFood",F3423*0.27,(VLOOKUP(VENDAS!C3423,Bairros!$A$2:$B$90,2,0))))</f>
        <v/>
      </c>
      <c r="J3423" s="7" t="str">
        <f t="shared" si="213"/>
        <v/>
      </c>
      <c r="K3423" s="9">
        <f t="shared" ca="1" si="214"/>
        <v>45404.878290162036</v>
      </c>
      <c r="L3423" s="10">
        <f t="shared" ca="1" si="215"/>
        <v>45404.878290162036</v>
      </c>
    </row>
    <row r="3424" spans="6:12" x14ac:dyDescent="0.25">
      <c r="F3424" s="11" t="str">
        <f>IF(ISBLANK(D3424),"",(VLOOKUP(D3424,Cardápio!$A$2:$B$16,2,0))*E3424)</f>
        <v/>
      </c>
      <c r="H3424" s="7" t="str">
        <f t="shared" si="212"/>
        <v/>
      </c>
      <c r="I3424" s="7" t="str">
        <f>IF(AND(ISBLANK(D3424),ISBLANK(C3424)),"",((VLOOKUP(D3424,Cardápio!$A$2:$C$16,3,0))*E3424)+IF(B3424="iFood",F3424*0.27,(VLOOKUP(VENDAS!C3424,Bairros!$A$2:$B$90,2,0))))</f>
        <v/>
      </c>
      <c r="J3424" s="7" t="str">
        <f t="shared" si="213"/>
        <v/>
      </c>
      <c r="K3424" s="9">
        <f t="shared" ca="1" si="214"/>
        <v>45404.878290162036</v>
      </c>
      <c r="L3424" s="10">
        <f t="shared" ca="1" si="215"/>
        <v>45404.878290046297</v>
      </c>
    </row>
    <row r="3425" spans="6:12" x14ac:dyDescent="0.25">
      <c r="F3425" s="11" t="str">
        <f>IF(ISBLANK(D3425),"",(VLOOKUP(D3425,Cardápio!$A$2:$B$16,2,0))*E3425)</f>
        <v/>
      </c>
      <c r="H3425" s="7" t="str">
        <f t="shared" si="212"/>
        <v/>
      </c>
      <c r="I3425" s="7" t="str">
        <f>IF(AND(ISBLANK(D3425),ISBLANK(C3425)),"",((VLOOKUP(D3425,Cardápio!$A$2:$C$16,3,0))*E3425)+IF(B3425="iFood",F3425*0.27,(VLOOKUP(VENDAS!C3425,Bairros!$A$2:$B$90,2,0))))</f>
        <v/>
      </c>
      <c r="J3425" s="7" t="str">
        <f t="shared" si="213"/>
        <v/>
      </c>
      <c r="K3425" s="9">
        <f t="shared" ca="1" si="214"/>
        <v>45404.878290277775</v>
      </c>
      <c r="L3425" s="10">
        <f t="shared" ca="1" si="215"/>
        <v>45404.878290046297</v>
      </c>
    </row>
    <row r="3426" spans="6:12" x14ac:dyDescent="0.25">
      <c r="F3426" s="11" t="str">
        <f>IF(ISBLANK(D3426),"",(VLOOKUP(D3426,Cardápio!$A$2:$B$16,2,0))*E3426)</f>
        <v/>
      </c>
      <c r="H3426" s="7" t="str">
        <f t="shared" si="212"/>
        <v/>
      </c>
      <c r="I3426" s="7" t="str">
        <f>IF(AND(ISBLANK(D3426),ISBLANK(C3426)),"",((VLOOKUP(D3426,Cardápio!$A$2:$C$16,3,0))*E3426)+IF(B3426="iFood",F3426*0.27,(VLOOKUP(VENDAS!C3426,Bairros!$A$2:$B$90,2,0))))</f>
        <v/>
      </c>
      <c r="J3426" s="7" t="str">
        <f t="shared" si="213"/>
        <v/>
      </c>
      <c r="K3426" s="9">
        <f t="shared" ca="1" si="214"/>
        <v>45404.878290162036</v>
      </c>
      <c r="L3426" s="10">
        <f t="shared" ca="1" si="215"/>
        <v>45404.878290046297</v>
      </c>
    </row>
    <row r="3427" spans="6:12" x14ac:dyDescent="0.25">
      <c r="F3427" s="11" t="str">
        <f>IF(ISBLANK(D3427),"",(VLOOKUP(D3427,Cardápio!$A$2:$B$16,2,0))*E3427)</f>
        <v/>
      </c>
      <c r="H3427" s="7" t="str">
        <f t="shared" si="212"/>
        <v/>
      </c>
      <c r="I3427" s="7" t="str">
        <f>IF(AND(ISBLANK(D3427),ISBLANK(C3427)),"",((VLOOKUP(D3427,Cardápio!$A$2:$C$16,3,0))*E3427)+IF(B3427="iFood",F3427*0.27,(VLOOKUP(VENDAS!C3427,Bairros!$A$2:$B$90,2,0))))</f>
        <v/>
      </c>
      <c r="J3427" s="7" t="str">
        <f t="shared" si="213"/>
        <v/>
      </c>
      <c r="K3427" s="9">
        <f t="shared" ca="1" si="214"/>
        <v>45404.878290162036</v>
      </c>
      <c r="L3427" s="10">
        <f t="shared" ca="1" si="215"/>
        <v>45404.878290162036</v>
      </c>
    </row>
    <row r="3428" spans="6:12" x14ac:dyDescent="0.25">
      <c r="F3428" s="11" t="str">
        <f>IF(ISBLANK(D3428),"",(VLOOKUP(D3428,Cardápio!$A$2:$B$16,2,0))*E3428)</f>
        <v/>
      </c>
      <c r="H3428" s="7" t="str">
        <f t="shared" si="212"/>
        <v/>
      </c>
      <c r="I3428" s="7" t="str">
        <f>IF(AND(ISBLANK(D3428),ISBLANK(C3428)),"",((VLOOKUP(D3428,Cardápio!$A$2:$C$16,3,0))*E3428)+IF(B3428="iFood",F3428*0.27,(VLOOKUP(VENDAS!C3428,Bairros!$A$2:$B$90,2,0))))</f>
        <v/>
      </c>
      <c r="J3428" s="7" t="str">
        <f t="shared" si="213"/>
        <v/>
      </c>
      <c r="K3428" s="9">
        <f t="shared" ca="1" si="214"/>
        <v>45404.878290162036</v>
      </c>
      <c r="L3428" s="10">
        <f t="shared" ca="1" si="215"/>
        <v>45404.878290046297</v>
      </c>
    </row>
    <row r="3429" spans="6:12" x14ac:dyDescent="0.25">
      <c r="F3429" s="11" t="str">
        <f>IF(ISBLANK(D3429),"",(VLOOKUP(D3429,Cardápio!$A$2:$B$16,2,0))*E3429)</f>
        <v/>
      </c>
      <c r="H3429" s="7" t="str">
        <f t="shared" si="212"/>
        <v/>
      </c>
      <c r="I3429" s="7" t="str">
        <f>IF(AND(ISBLANK(D3429),ISBLANK(C3429)),"",((VLOOKUP(D3429,Cardápio!$A$2:$C$16,3,0))*E3429)+IF(B3429="iFood",F3429*0.27,(VLOOKUP(VENDAS!C3429,Bairros!$A$2:$B$90,2,0))))</f>
        <v/>
      </c>
      <c r="J3429" s="7" t="str">
        <f t="shared" si="213"/>
        <v/>
      </c>
      <c r="K3429" s="9">
        <f t="shared" ca="1" si="214"/>
        <v>45404.878290277775</v>
      </c>
      <c r="L3429" s="10">
        <f t="shared" ca="1" si="215"/>
        <v>45404.878290046297</v>
      </c>
    </row>
    <row r="3430" spans="6:12" x14ac:dyDescent="0.25">
      <c r="F3430" s="11" t="str">
        <f>IF(ISBLANK(D3430),"",(VLOOKUP(D3430,Cardápio!$A$2:$B$16,2,0))*E3430)</f>
        <v/>
      </c>
      <c r="H3430" s="7" t="str">
        <f t="shared" si="212"/>
        <v/>
      </c>
      <c r="I3430" s="7" t="str">
        <f>IF(AND(ISBLANK(D3430),ISBLANK(C3430)),"",((VLOOKUP(D3430,Cardápio!$A$2:$C$16,3,0))*E3430)+IF(B3430="iFood",F3430*0.27,(VLOOKUP(VENDAS!C3430,Bairros!$A$2:$B$90,2,0))))</f>
        <v/>
      </c>
      <c r="J3430" s="7" t="str">
        <f t="shared" si="213"/>
        <v/>
      </c>
      <c r="K3430" s="9">
        <f t="shared" ca="1" si="214"/>
        <v>45404.878290162036</v>
      </c>
      <c r="L3430" s="10">
        <f t="shared" ca="1" si="215"/>
        <v>45404.878290046297</v>
      </c>
    </row>
    <row r="3431" spans="6:12" x14ac:dyDescent="0.25">
      <c r="F3431" s="11" t="str">
        <f>IF(ISBLANK(D3431),"",(VLOOKUP(D3431,Cardápio!$A$2:$B$16,2,0))*E3431)</f>
        <v/>
      </c>
      <c r="H3431" s="7" t="str">
        <f t="shared" si="212"/>
        <v/>
      </c>
      <c r="I3431" s="7" t="str">
        <f>IF(AND(ISBLANK(D3431),ISBLANK(C3431)),"",((VLOOKUP(D3431,Cardápio!$A$2:$C$16,3,0))*E3431)+IF(B3431="iFood",F3431*0.27,(VLOOKUP(VENDAS!C3431,Bairros!$A$2:$B$90,2,0))))</f>
        <v/>
      </c>
      <c r="J3431" s="7" t="str">
        <f t="shared" si="213"/>
        <v/>
      </c>
      <c r="K3431" s="9">
        <f t="shared" ca="1" si="214"/>
        <v>45404.878290162036</v>
      </c>
      <c r="L3431" s="10">
        <f t="shared" ca="1" si="215"/>
        <v>45404.878290162036</v>
      </c>
    </row>
    <row r="3432" spans="6:12" x14ac:dyDescent="0.25">
      <c r="F3432" s="11" t="str">
        <f>IF(ISBLANK(D3432),"",(VLOOKUP(D3432,Cardápio!$A$2:$B$16,2,0))*E3432)</f>
        <v/>
      </c>
      <c r="H3432" s="7" t="str">
        <f t="shared" si="212"/>
        <v/>
      </c>
      <c r="I3432" s="7" t="str">
        <f>IF(AND(ISBLANK(D3432),ISBLANK(C3432)),"",((VLOOKUP(D3432,Cardápio!$A$2:$C$16,3,0))*E3432)+IF(B3432="iFood",F3432*0.27,(VLOOKUP(VENDAS!C3432,Bairros!$A$2:$B$90,2,0))))</f>
        <v/>
      </c>
      <c r="J3432" s="7" t="str">
        <f t="shared" si="213"/>
        <v/>
      </c>
      <c r="K3432" s="9">
        <f t="shared" ca="1" si="214"/>
        <v>45404.878290162036</v>
      </c>
      <c r="L3432" s="10">
        <f t="shared" ca="1" si="215"/>
        <v>45404.878290046297</v>
      </c>
    </row>
    <row r="3433" spans="6:12" x14ac:dyDescent="0.25">
      <c r="F3433" s="11" t="str">
        <f>IF(ISBLANK(D3433),"",(VLOOKUP(D3433,Cardápio!$A$2:$B$16,2,0))*E3433)</f>
        <v/>
      </c>
      <c r="H3433" s="7" t="str">
        <f t="shared" si="212"/>
        <v/>
      </c>
      <c r="I3433" s="7" t="str">
        <f>IF(AND(ISBLANK(D3433),ISBLANK(C3433)),"",((VLOOKUP(D3433,Cardápio!$A$2:$C$16,3,0))*E3433)+IF(B3433="iFood",F3433*0.27,(VLOOKUP(VENDAS!C3433,Bairros!$A$2:$B$90,2,0))))</f>
        <v/>
      </c>
      <c r="J3433" s="7" t="str">
        <f t="shared" si="213"/>
        <v/>
      </c>
      <c r="K3433" s="9">
        <f t="shared" ca="1" si="214"/>
        <v>45404.878290277775</v>
      </c>
      <c r="L3433" s="10">
        <f t="shared" ca="1" si="215"/>
        <v>45404.878290046297</v>
      </c>
    </row>
    <row r="3434" spans="6:12" x14ac:dyDescent="0.25">
      <c r="F3434" s="11" t="str">
        <f>IF(ISBLANK(D3434),"",(VLOOKUP(D3434,Cardápio!$A$2:$B$16,2,0))*E3434)</f>
        <v/>
      </c>
      <c r="H3434" s="7" t="str">
        <f t="shared" si="212"/>
        <v/>
      </c>
      <c r="I3434" s="7" t="str">
        <f>IF(AND(ISBLANK(D3434),ISBLANK(C3434)),"",((VLOOKUP(D3434,Cardápio!$A$2:$C$16,3,0))*E3434)+IF(B3434="iFood",F3434*0.27,(VLOOKUP(VENDAS!C3434,Bairros!$A$2:$B$90,2,0))))</f>
        <v/>
      </c>
      <c r="J3434" s="7" t="str">
        <f t="shared" si="213"/>
        <v/>
      </c>
      <c r="K3434" s="9">
        <f t="shared" ca="1" si="214"/>
        <v>45404.878290162036</v>
      </c>
      <c r="L3434" s="10">
        <f t="shared" ca="1" si="215"/>
        <v>45404.878290046297</v>
      </c>
    </row>
    <row r="3435" spans="6:12" x14ac:dyDescent="0.25">
      <c r="F3435" s="11" t="str">
        <f>IF(ISBLANK(D3435),"",(VLOOKUP(D3435,Cardápio!$A$2:$B$16,2,0))*E3435)</f>
        <v/>
      </c>
      <c r="H3435" s="7" t="str">
        <f t="shared" si="212"/>
        <v/>
      </c>
      <c r="I3435" s="7" t="str">
        <f>IF(AND(ISBLANK(D3435),ISBLANK(C3435)),"",((VLOOKUP(D3435,Cardápio!$A$2:$C$16,3,0))*E3435)+IF(B3435="iFood",F3435*0.27,(VLOOKUP(VENDAS!C3435,Bairros!$A$2:$B$90,2,0))))</f>
        <v/>
      </c>
      <c r="J3435" s="7" t="str">
        <f t="shared" si="213"/>
        <v/>
      </c>
      <c r="K3435" s="9">
        <f t="shared" ca="1" si="214"/>
        <v>45404.878290162036</v>
      </c>
      <c r="L3435" s="10">
        <f t="shared" ca="1" si="215"/>
        <v>45404.878290162036</v>
      </c>
    </row>
    <row r="3436" spans="6:12" x14ac:dyDescent="0.25">
      <c r="F3436" s="11" t="str">
        <f>IF(ISBLANK(D3436),"",(VLOOKUP(D3436,Cardápio!$A$2:$B$16,2,0))*E3436)</f>
        <v/>
      </c>
      <c r="H3436" s="7" t="str">
        <f t="shared" si="212"/>
        <v/>
      </c>
      <c r="I3436" s="7" t="str">
        <f>IF(AND(ISBLANK(D3436),ISBLANK(C3436)),"",((VLOOKUP(D3436,Cardápio!$A$2:$C$16,3,0))*E3436)+IF(B3436="iFood",F3436*0.27,(VLOOKUP(VENDAS!C3436,Bairros!$A$2:$B$90,2,0))))</f>
        <v/>
      </c>
      <c r="J3436" s="7" t="str">
        <f t="shared" si="213"/>
        <v/>
      </c>
      <c r="K3436" s="9">
        <f t="shared" ca="1" si="214"/>
        <v>45404.878290162036</v>
      </c>
      <c r="L3436" s="10">
        <f t="shared" ca="1" si="215"/>
        <v>45404.878290046297</v>
      </c>
    </row>
    <row r="3437" spans="6:12" x14ac:dyDescent="0.25">
      <c r="F3437" s="11" t="str">
        <f>IF(ISBLANK(D3437),"",(VLOOKUP(D3437,Cardápio!$A$2:$B$16,2,0))*E3437)</f>
        <v/>
      </c>
      <c r="H3437" s="7" t="str">
        <f t="shared" si="212"/>
        <v/>
      </c>
      <c r="I3437" s="7" t="str">
        <f>IF(AND(ISBLANK(D3437),ISBLANK(C3437)),"",((VLOOKUP(D3437,Cardápio!$A$2:$C$16,3,0))*E3437)+IF(B3437="iFood",F3437*0.27,(VLOOKUP(VENDAS!C3437,Bairros!$A$2:$B$90,2,0))))</f>
        <v/>
      </c>
      <c r="J3437" s="7" t="str">
        <f t="shared" si="213"/>
        <v/>
      </c>
      <c r="K3437" s="9">
        <f t="shared" ca="1" si="214"/>
        <v>45404.878290277775</v>
      </c>
      <c r="L3437" s="10">
        <f t="shared" ca="1" si="215"/>
        <v>45404.878290046297</v>
      </c>
    </row>
    <row r="3438" spans="6:12" x14ac:dyDescent="0.25">
      <c r="F3438" s="11" t="str">
        <f>IF(ISBLANK(D3438),"",(VLOOKUP(D3438,Cardápio!$A$2:$B$16,2,0))*E3438)</f>
        <v/>
      </c>
      <c r="H3438" s="7" t="str">
        <f t="shared" si="212"/>
        <v/>
      </c>
      <c r="I3438" s="7" t="str">
        <f>IF(AND(ISBLANK(D3438),ISBLANK(C3438)),"",((VLOOKUP(D3438,Cardápio!$A$2:$C$16,3,0))*E3438)+IF(B3438="iFood",F3438*0.27,(VLOOKUP(VENDAS!C3438,Bairros!$A$2:$B$90,2,0))))</f>
        <v/>
      </c>
      <c r="J3438" s="7" t="str">
        <f t="shared" si="213"/>
        <v/>
      </c>
      <c r="K3438" s="9">
        <f t="shared" ca="1" si="214"/>
        <v>45404.878290162036</v>
      </c>
      <c r="L3438" s="10">
        <f t="shared" ca="1" si="215"/>
        <v>45404.878290046297</v>
      </c>
    </row>
    <row r="3439" spans="6:12" x14ac:dyDescent="0.25">
      <c r="F3439" s="11" t="str">
        <f>IF(ISBLANK(D3439),"",(VLOOKUP(D3439,Cardápio!$A$2:$B$16,2,0))*E3439)</f>
        <v/>
      </c>
      <c r="H3439" s="7" t="str">
        <f t="shared" si="212"/>
        <v/>
      </c>
      <c r="I3439" s="7" t="str">
        <f>IF(AND(ISBLANK(D3439),ISBLANK(C3439)),"",((VLOOKUP(D3439,Cardápio!$A$2:$C$16,3,0))*E3439)+IF(B3439="iFood",F3439*0.27,(VLOOKUP(VENDAS!C3439,Bairros!$A$2:$B$90,2,0))))</f>
        <v/>
      </c>
      <c r="J3439" s="7" t="str">
        <f t="shared" si="213"/>
        <v/>
      </c>
      <c r="K3439" s="9">
        <f t="shared" ca="1" si="214"/>
        <v>45404.878290162036</v>
      </c>
      <c r="L3439" s="10">
        <f t="shared" ca="1" si="215"/>
        <v>45404.878290162036</v>
      </c>
    </row>
    <row r="3440" spans="6:12" x14ac:dyDescent="0.25">
      <c r="F3440" s="11" t="str">
        <f>IF(ISBLANK(D3440),"",(VLOOKUP(D3440,Cardápio!$A$2:$B$16,2,0))*E3440)</f>
        <v/>
      </c>
      <c r="H3440" s="7" t="str">
        <f t="shared" si="212"/>
        <v/>
      </c>
      <c r="I3440" s="7" t="str">
        <f>IF(AND(ISBLANK(D3440),ISBLANK(C3440)),"",((VLOOKUP(D3440,Cardápio!$A$2:$C$16,3,0))*E3440)+IF(B3440="iFood",F3440*0.27,(VLOOKUP(VENDAS!C3440,Bairros!$A$2:$B$90,2,0))))</f>
        <v/>
      </c>
      <c r="J3440" s="7" t="str">
        <f t="shared" si="213"/>
        <v/>
      </c>
      <c r="K3440" s="9">
        <f t="shared" ca="1" si="214"/>
        <v>45404.878290162036</v>
      </c>
      <c r="L3440" s="10">
        <f t="shared" ca="1" si="215"/>
        <v>45404.878290046297</v>
      </c>
    </row>
    <row r="3441" spans="6:12" x14ac:dyDescent="0.25">
      <c r="F3441" s="11" t="str">
        <f>IF(ISBLANK(D3441),"",(VLOOKUP(D3441,Cardápio!$A$2:$B$16,2,0))*E3441)</f>
        <v/>
      </c>
      <c r="H3441" s="7" t="str">
        <f t="shared" si="212"/>
        <v/>
      </c>
      <c r="I3441" s="7" t="str">
        <f>IF(AND(ISBLANK(D3441),ISBLANK(C3441)),"",((VLOOKUP(D3441,Cardápio!$A$2:$C$16,3,0))*E3441)+IF(B3441="iFood",F3441*0.27,(VLOOKUP(VENDAS!C3441,Bairros!$A$2:$B$90,2,0))))</f>
        <v/>
      </c>
      <c r="J3441" s="7" t="str">
        <f t="shared" si="213"/>
        <v/>
      </c>
      <c r="K3441" s="9">
        <f t="shared" ca="1" si="214"/>
        <v>45404.878290277775</v>
      </c>
      <c r="L3441" s="10">
        <f t="shared" ca="1" si="215"/>
        <v>45404.878290046297</v>
      </c>
    </row>
    <row r="3442" spans="6:12" x14ac:dyDescent="0.25">
      <c r="F3442" s="11" t="str">
        <f>IF(ISBLANK(D3442),"",(VLOOKUP(D3442,Cardápio!$A$2:$B$16,2,0))*E3442)</f>
        <v/>
      </c>
      <c r="H3442" s="7" t="str">
        <f t="shared" si="212"/>
        <v/>
      </c>
      <c r="I3442" s="7" t="str">
        <f>IF(AND(ISBLANK(D3442),ISBLANK(C3442)),"",((VLOOKUP(D3442,Cardápio!$A$2:$C$16,3,0))*E3442)+IF(B3442="iFood",F3442*0.27,(VLOOKUP(VENDAS!C3442,Bairros!$A$2:$B$90,2,0))))</f>
        <v/>
      </c>
      <c r="J3442" s="7" t="str">
        <f t="shared" si="213"/>
        <v/>
      </c>
      <c r="K3442" s="9">
        <f t="shared" ca="1" si="214"/>
        <v>45404.878290162036</v>
      </c>
      <c r="L3442" s="10">
        <f t="shared" ca="1" si="215"/>
        <v>45404.878290046297</v>
      </c>
    </row>
    <row r="3443" spans="6:12" x14ac:dyDescent="0.25">
      <c r="F3443" s="11" t="str">
        <f>IF(ISBLANK(D3443),"",(VLOOKUP(D3443,Cardápio!$A$2:$B$16,2,0))*E3443)</f>
        <v/>
      </c>
      <c r="H3443" s="7" t="str">
        <f t="shared" si="212"/>
        <v/>
      </c>
      <c r="I3443" s="7" t="str">
        <f>IF(AND(ISBLANK(D3443),ISBLANK(C3443)),"",((VLOOKUP(D3443,Cardápio!$A$2:$C$16,3,0))*E3443)+IF(B3443="iFood",F3443*0.27,(VLOOKUP(VENDAS!C3443,Bairros!$A$2:$B$90,2,0))))</f>
        <v/>
      </c>
      <c r="J3443" s="7" t="str">
        <f t="shared" si="213"/>
        <v/>
      </c>
      <c r="K3443" s="9">
        <f t="shared" ca="1" si="214"/>
        <v>45404.878290162036</v>
      </c>
      <c r="L3443" s="10">
        <f t="shared" ca="1" si="215"/>
        <v>45404.878290162036</v>
      </c>
    </row>
    <row r="3444" spans="6:12" x14ac:dyDescent="0.25">
      <c r="F3444" s="11" t="str">
        <f>IF(ISBLANK(D3444),"",(VLOOKUP(D3444,Cardápio!$A$2:$B$16,2,0))*E3444)</f>
        <v/>
      </c>
      <c r="H3444" s="7" t="str">
        <f t="shared" si="212"/>
        <v/>
      </c>
      <c r="I3444" s="7" t="str">
        <f>IF(AND(ISBLANK(D3444),ISBLANK(C3444)),"",((VLOOKUP(D3444,Cardápio!$A$2:$C$16,3,0))*E3444)+IF(B3444="iFood",F3444*0.27,(VLOOKUP(VENDAS!C3444,Bairros!$A$2:$B$90,2,0))))</f>
        <v/>
      </c>
      <c r="J3444" s="7" t="str">
        <f t="shared" si="213"/>
        <v/>
      </c>
      <c r="K3444" s="9">
        <f t="shared" ca="1" si="214"/>
        <v>45404.878290162036</v>
      </c>
      <c r="L3444" s="10">
        <f t="shared" ca="1" si="215"/>
        <v>45404.878290046297</v>
      </c>
    </row>
    <row r="3445" spans="6:12" x14ac:dyDescent="0.25">
      <c r="F3445" s="11" t="str">
        <f>IF(ISBLANK(D3445),"",(VLOOKUP(D3445,Cardápio!$A$2:$B$16,2,0))*E3445)</f>
        <v/>
      </c>
      <c r="H3445" s="7" t="str">
        <f t="shared" ref="H3445:H3508" si="216">IF(ISBLANK(D3445),"",F3445-G3445)</f>
        <v/>
      </c>
      <c r="I3445" s="7" t="str">
        <f>IF(AND(ISBLANK(D3445),ISBLANK(C3445)),"",((VLOOKUP(D3445,Cardápio!$A$2:$C$16,3,0))*E3445)+IF(B3445="iFood",F3445*0.27,(VLOOKUP(VENDAS!C3445,Bairros!$A$2:$B$90,2,0))))</f>
        <v/>
      </c>
      <c r="J3445" s="7" t="str">
        <f t="shared" ref="J3445:J3508" si="217">IF(OR(AND(ISBLANK(H3445),ISBLANK(I3445)),(AND(H3445="",I3445=""))),"",H3445-I3445)</f>
        <v/>
      </c>
      <c r="K3445" s="9">
        <f t="shared" ref="K3445:K3508" ca="1" si="218">IF(D3445&lt;&gt;"",K3445,NOW())</f>
        <v>45404.878290277775</v>
      </c>
      <c r="L3445" s="10">
        <f t="shared" ref="L3445:L3508" ca="1" si="219">IF(D3445&lt;&gt;"",L3445,NOW())</f>
        <v>45404.878290046297</v>
      </c>
    </row>
    <row r="3446" spans="6:12" x14ac:dyDescent="0.25">
      <c r="F3446" s="11" t="str">
        <f>IF(ISBLANK(D3446),"",(VLOOKUP(D3446,Cardápio!$A$2:$B$16,2,0))*E3446)</f>
        <v/>
      </c>
      <c r="H3446" s="7" t="str">
        <f t="shared" si="216"/>
        <v/>
      </c>
      <c r="I3446" s="7" t="str">
        <f>IF(AND(ISBLANK(D3446),ISBLANK(C3446)),"",((VLOOKUP(D3446,Cardápio!$A$2:$C$16,3,0))*E3446)+IF(B3446="iFood",F3446*0.27,(VLOOKUP(VENDAS!C3446,Bairros!$A$2:$B$90,2,0))))</f>
        <v/>
      </c>
      <c r="J3446" s="7" t="str">
        <f t="shared" si="217"/>
        <v/>
      </c>
      <c r="K3446" s="9">
        <f t="shared" ca="1" si="218"/>
        <v>45404.878290162036</v>
      </c>
      <c r="L3446" s="10">
        <f t="shared" ca="1" si="219"/>
        <v>45404.878290046297</v>
      </c>
    </row>
    <row r="3447" spans="6:12" x14ac:dyDescent="0.25">
      <c r="F3447" s="11" t="str">
        <f>IF(ISBLANK(D3447),"",(VLOOKUP(D3447,Cardápio!$A$2:$B$16,2,0))*E3447)</f>
        <v/>
      </c>
      <c r="H3447" s="7" t="str">
        <f t="shared" si="216"/>
        <v/>
      </c>
      <c r="I3447" s="7" t="str">
        <f>IF(AND(ISBLANK(D3447),ISBLANK(C3447)),"",((VLOOKUP(D3447,Cardápio!$A$2:$C$16,3,0))*E3447)+IF(B3447="iFood",F3447*0.27,(VLOOKUP(VENDAS!C3447,Bairros!$A$2:$B$90,2,0))))</f>
        <v/>
      </c>
      <c r="J3447" s="7" t="str">
        <f t="shared" si="217"/>
        <v/>
      </c>
      <c r="K3447" s="9">
        <f t="shared" ca="1" si="218"/>
        <v>45404.878290162036</v>
      </c>
      <c r="L3447" s="10">
        <f t="shared" ca="1" si="219"/>
        <v>45404.878290162036</v>
      </c>
    </row>
    <row r="3448" spans="6:12" x14ac:dyDescent="0.25">
      <c r="F3448" s="11" t="str">
        <f>IF(ISBLANK(D3448),"",(VLOOKUP(D3448,Cardápio!$A$2:$B$16,2,0))*E3448)</f>
        <v/>
      </c>
      <c r="H3448" s="7" t="str">
        <f t="shared" si="216"/>
        <v/>
      </c>
      <c r="I3448" s="7" t="str">
        <f>IF(AND(ISBLANK(D3448),ISBLANK(C3448)),"",((VLOOKUP(D3448,Cardápio!$A$2:$C$16,3,0))*E3448)+IF(B3448="iFood",F3448*0.27,(VLOOKUP(VENDAS!C3448,Bairros!$A$2:$B$90,2,0))))</f>
        <v/>
      </c>
      <c r="J3448" s="7" t="str">
        <f t="shared" si="217"/>
        <v/>
      </c>
      <c r="K3448" s="9">
        <f t="shared" ca="1" si="218"/>
        <v>45404.878290162036</v>
      </c>
      <c r="L3448" s="10">
        <f t="shared" ca="1" si="219"/>
        <v>45404.878290046297</v>
      </c>
    </row>
    <row r="3449" spans="6:12" x14ac:dyDescent="0.25">
      <c r="F3449" s="11" t="str">
        <f>IF(ISBLANK(D3449),"",(VLOOKUP(D3449,Cardápio!$A$2:$B$16,2,0))*E3449)</f>
        <v/>
      </c>
      <c r="H3449" s="7" t="str">
        <f t="shared" si="216"/>
        <v/>
      </c>
      <c r="I3449" s="7" t="str">
        <f>IF(AND(ISBLANK(D3449),ISBLANK(C3449)),"",((VLOOKUP(D3449,Cardápio!$A$2:$C$16,3,0))*E3449)+IF(B3449="iFood",F3449*0.27,(VLOOKUP(VENDAS!C3449,Bairros!$A$2:$B$90,2,0))))</f>
        <v/>
      </c>
      <c r="J3449" s="7" t="str">
        <f t="shared" si="217"/>
        <v/>
      </c>
      <c r="K3449" s="9">
        <f t="shared" ca="1" si="218"/>
        <v>45404.878290277775</v>
      </c>
      <c r="L3449" s="10">
        <f t="shared" ca="1" si="219"/>
        <v>45404.878290046297</v>
      </c>
    </row>
    <row r="3450" spans="6:12" x14ac:dyDescent="0.25">
      <c r="F3450" s="11" t="str">
        <f>IF(ISBLANK(D3450),"",(VLOOKUP(D3450,Cardápio!$A$2:$B$16,2,0))*E3450)</f>
        <v/>
      </c>
      <c r="H3450" s="7" t="str">
        <f t="shared" si="216"/>
        <v/>
      </c>
      <c r="I3450" s="7" t="str">
        <f>IF(AND(ISBLANK(D3450),ISBLANK(C3450)),"",((VLOOKUP(D3450,Cardápio!$A$2:$C$16,3,0))*E3450)+IF(B3450="iFood",F3450*0.27,(VLOOKUP(VENDAS!C3450,Bairros!$A$2:$B$90,2,0))))</f>
        <v/>
      </c>
      <c r="J3450" s="7" t="str">
        <f t="shared" si="217"/>
        <v/>
      </c>
      <c r="K3450" s="9">
        <f t="shared" ca="1" si="218"/>
        <v>45404.878290162036</v>
      </c>
      <c r="L3450" s="10">
        <f t="shared" ca="1" si="219"/>
        <v>45404.878290046297</v>
      </c>
    </row>
    <row r="3451" spans="6:12" x14ac:dyDescent="0.25">
      <c r="F3451" s="11" t="str">
        <f>IF(ISBLANK(D3451),"",(VLOOKUP(D3451,Cardápio!$A$2:$B$16,2,0))*E3451)</f>
        <v/>
      </c>
      <c r="H3451" s="7" t="str">
        <f t="shared" si="216"/>
        <v/>
      </c>
      <c r="I3451" s="7" t="str">
        <f>IF(AND(ISBLANK(D3451),ISBLANK(C3451)),"",((VLOOKUP(D3451,Cardápio!$A$2:$C$16,3,0))*E3451)+IF(B3451="iFood",F3451*0.27,(VLOOKUP(VENDAS!C3451,Bairros!$A$2:$B$90,2,0))))</f>
        <v/>
      </c>
      <c r="J3451" s="7" t="str">
        <f t="shared" si="217"/>
        <v/>
      </c>
      <c r="K3451" s="9">
        <f t="shared" ca="1" si="218"/>
        <v>45404.878290162036</v>
      </c>
      <c r="L3451" s="10">
        <f t="shared" ca="1" si="219"/>
        <v>45404.878290162036</v>
      </c>
    </row>
    <row r="3452" spans="6:12" x14ac:dyDescent="0.25">
      <c r="F3452" s="11" t="str">
        <f>IF(ISBLANK(D3452),"",(VLOOKUP(D3452,Cardápio!$A$2:$B$16,2,0))*E3452)</f>
        <v/>
      </c>
      <c r="H3452" s="7" t="str">
        <f t="shared" si="216"/>
        <v/>
      </c>
      <c r="I3452" s="7" t="str">
        <f>IF(AND(ISBLANK(D3452),ISBLANK(C3452)),"",((VLOOKUP(D3452,Cardápio!$A$2:$C$16,3,0))*E3452)+IF(B3452="iFood",F3452*0.27,(VLOOKUP(VENDAS!C3452,Bairros!$A$2:$B$90,2,0))))</f>
        <v/>
      </c>
      <c r="J3452" s="7" t="str">
        <f t="shared" si="217"/>
        <v/>
      </c>
      <c r="K3452" s="9">
        <f t="shared" ca="1" si="218"/>
        <v>45404.878290162036</v>
      </c>
      <c r="L3452" s="10">
        <f t="shared" ca="1" si="219"/>
        <v>45404.878290046297</v>
      </c>
    </row>
    <row r="3453" spans="6:12" x14ac:dyDescent="0.25">
      <c r="F3453" s="11" t="str">
        <f>IF(ISBLANK(D3453),"",(VLOOKUP(D3453,Cardápio!$A$2:$B$16,2,0))*E3453)</f>
        <v/>
      </c>
      <c r="H3453" s="7" t="str">
        <f t="shared" si="216"/>
        <v/>
      </c>
      <c r="I3453" s="7" t="str">
        <f>IF(AND(ISBLANK(D3453),ISBLANK(C3453)),"",((VLOOKUP(D3453,Cardápio!$A$2:$C$16,3,0))*E3453)+IF(B3453="iFood",F3453*0.27,(VLOOKUP(VENDAS!C3453,Bairros!$A$2:$B$90,2,0))))</f>
        <v/>
      </c>
      <c r="J3453" s="7" t="str">
        <f t="shared" si="217"/>
        <v/>
      </c>
      <c r="K3453" s="9">
        <f t="shared" ca="1" si="218"/>
        <v>45404.878290277775</v>
      </c>
      <c r="L3453" s="10">
        <f t="shared" ca="1" si="219"/>
        <v>45404.878290046297</v>
      </c>
    </row>
    <row r="3454" spans="6:12" x14ac:dyDescent="0.25">
      <c r="F3454" s="11" t="str">
        <f>IF(ISBLANK(D3454),"",(VLOOKUP(D3454,Cardápio!$A$2:$B$16,2,0))*E3454)</f>
        <v/>
      </c>
      <c r="H3454" s="7" t="str">
        <f t="shared" si="216"/>
        <v/>
      </c>
      <c r="I3454" s="7" t="str">
        <f>IF(AND(ISBLANK(D3454),ISBLANK(C3454)),"",((VLOOKUP(D3454,Cardápio!$A$2:$C$16,3,0))*E3454)+IF(B3454="iFood",F3454*0.27,(VLOOKUP(VENDAS!C3454,Bairros!$A$2:$B$90,2,0))))</f>
        <v/>
      </c>
      <c r="J3454" s="7" t="str">
        <f t="shared" si="217"/>
        <v/>
      </c>
      <c r="K3454" s="9">
        <f t="shared" ca="1" si="218"/>
        <v>45404.878290162036</v>
      </c>
      <c r="L3454" s="10">
        <f t="shared" ca="1" si="219"/>
        <v>45404.878290046297</v>
      </c>
    </row>
    <row r="3455" spans="6:12" x14ac:dyDescent="0.25">
      <c r="F3455" s="11" t="str">
        <f>IF(ISBLANK(D3455),"",(VLOOKUP(D3455,Cardápio!$A$2:$B$16,2,0))*E3455)</f>
        <v/>
      </c>
      <c r="H3455" s="7" t="str">
        <f t="shared" si="216"/>
        <v/>
      </c>
      <c r="I3455" s="7" t="str">
        <f>IF(AND(ISBLANK(D3455),ISBLANK(C3455)),"",((VLOOKUP(D3455,Cardápio!$A$2:$C$16,3,0))*E3455)+IF(B3455="iFood",F3455*0.27,(VLOOKUP(VENDAS!C3455,Bairros!$A$2:$B$90,2,0))))</f>
        <v/>
      </c>
      <c r="J3455" s="7" t="str">
        <f t="shared" si="217"/>
        <v/>
      </c>
      <c r="K3455" s="9">
        <f t="shared" ca="1" si="218"/>
        <v>45404.878290162036</v>
      </c>
      <c r="L3455" s="10">
        <f t="shared" ca="1" si="219"/>
        <v>45404.878290162036</v>
      </c>
    </row>
    <row r="3456" spans="6:12" x14ac:dyDescent="0.25">
      <c r="F3456" s="11" t="str">
        <f>IF(ISBLANK(D3456),"",(VLOOKUP(D3456,Cardápio!$A$2:$B$16,2,0))*E3456)</f>
        <v/>
      </c>
      <c r="H3456" s="7" t="str">
        <f t="shared" si="216"/>
        <v/>
      </c>
      <c r="I3456" s="7" t="str">
        <f>IF(AND(ISBLANK(D3456),ISBLANK(C3456)),"",((VLOOKUP(D3456,Cardápio!$A$2:$C$16,3,0))*E3456)+IF(B3456="iFood",F3456*0.27,(VLOOKUP(VENDAS!C3456,Bairros!$A$2:$B$90,2,0))))</f>
        <v/>
      </c>
      <c r="J3456" s="7" t="str">
        <f t="shared" si="217"/>
        <v/>
      </c>
      <c r="K3456" s="9">
        <f t="shared" ca="1" si="218"/>
        <v>45404.878290162036</v>
      </c>
      <c r="L3456" s="10">
        <f t="shared" ca="1" si="219"/>
        <v>45404.878290046297</v>
      </c>
    </row>
    <row r="3457" spans="6:12" x14ac:dyDescent="0.25">
      <c r="F3457" s="11" t="str">
        <f>IF(ISBLANK(D3457),"",(VLOOKUP(D3457,Cardápio!$A$2:$B$16,2,0))*E3457)</f>
        <v/>
      </c>
      <c r="H3457" s="7" t="str">
        <f t="shared" si="216"/>
        <v/>
      </c>
      <c r="I3457" s="7" t="str">
        <f>IF(AND(ISBLANK(D3457),ISBLANK(C3457)),"",((VLOOKUP(D3457,Cardápio!$A$2:$C$16,3,0))*E3457)+IF(B3457="iFood",F3457*0.27,(VLOOKUP(VENDAS!C3457,Bairros!$A$2:$B$90,2,0))))</f>
        <v/>
      </c>
      <c r="J3457" s="7" t="str">
        <f t="shared" si="217"/>
        <v/>
      </c>
      <c r="K3457" s="9">
        <f t="shared" ca="1" si="218"/>
        <v>45404.878290277775</v>
      </c>
      <c r="L3457" s="10">
        <f t="shared" ca="1" si="219"/>
        <v>45404.878290046297</v>
      </c>
    </row>
    <row r="3458" spans="6:12" x14ac:dyDescent="0.25">
      <c r="F3458" s="11" t="str">
        <f>IF(ISBLANK(D3458),"",(VLOOKUP(D3458,Cardápio!$A$2:$B$16,2,0))*E3458)</f>
        <v/>
      </c>
      <c r="H3458" s="7" t="str">
        <f t="shared" si="216"/>
        <v/>
      </c>
      <c r="I3458" s="7" t="str">
        <f>IF(AND(ISBLANK(D3458),ISBLANK(C3458)),"",((VLOOKUP(D3458,Cardápio!$A$2:$C$16,3,0))*E3458)+IF(B3458="iFood",F3458*0.27,(VLOOKUP(VENDAS!C3458,Bairros!$A$2:$B$90,2,0))))</f>
        <v/>
      </c>
      <c r="J3458" s="7" t="str">
        <f t="shared" si="217"/>
        <v/>
      </c>
      <c r="K3458" s="9">
        <f t="shared" ca="1" si="218"/>
        <v>45404.878290162036</v>
      </c>
      <c r="L3458" s="10">
        <f t="shared" ca="1" si="219"/>
        <v>45404.878290046297</v>
      </c>
    </row>
    <row r="3459" spans="6:12" x14ac:dyDescent="0.25">
      <c r="F3459" s="11" t="str">
        <f>IF(ISBLANK(D3459),"",(VLOOKUP(D3459,Cardápio!$A$2:$B$16,2,0))*E3459)</f>
        <v/>
      </c>
      <c r="H3459" s="7" t="str">
        <f t="shared" si="216"/>
        <v/>
      </c>
      <c r="I3459" s="7" t="str">
        <f>IF(AND(ISBLANK(D3459),ISBLANK(C3459)),"",((VLOOKUP(D3459,Cardápio!$A$2:$C$16,3,0))*E3459)+IF(B3459="iFood",F3459*0.27,(VLOOKUP(VENDAS!C3459,Bairros!$A$2:$B$90,2,0))))</f>
        <v/>
      </c>
      <c r="J3459" s="7" t="str">
        <f t="shared" si="217"/>
        <v/>
      </c>
      <c r="K3459" s="9">
        <f t="shared" ca="1" si="218"/>
        <v>45404.878290162036</v>
      </c>
      <c r="L3459" s="10">
        <f t="shared" ca="1" si="219"/>
        <v>45404.878290162036</v>
      </c>
    </row>
    <row r="3460" spans="6:12" x14ac:dyDescent="0.25">
      <c r="F3460" s="11" t="str">
        <f>IF(ISBLANK(D3460),"",(VLOOKUP(D3460,Cardápio!$A$2:$B$16,2,0))*E3460)</f>
        <v/>
      </c>
      <c r="H3460" s="7" t="str">
        <f t="shared" si="216"/>
        <v/>
      </c>
      <c r="I3460" s="7" t="str">
        <f>IF(AND(ISBLANK(D3460),ISBLANK(C3460)),"",((VLOOKUP(D3460,Cardápio!$A$2:$C$16,3,0))*E3460)+IF(B3460="iFood",F3460*0.27,(VLOOKUP(VENDAS!C3460,Bairros!$A$2:$B$90,2,0))))</f>
        <v/>
      </c>
      <c r="J3460" s="7" t="str">
        <f t="shared" si="217"/>
        <v/>
      </c>
      <c r="K3460" s="9">
        <f t="shared" ca="1" si="218"/>
        <v>45404.878290162036</v>
      </c>
      <c r="L3460" s="10">
        <f t="shared" ca="1" si="219"/>
        <v>45404.878290046297</v>
      </c>
    </row>
    <row r="3461" spans="6:12" x14ac:dyDescent="0.25">
      <c r="F3461" s="11" t="str">
        <f>IF(ISBLANK(D3461),"",(VLOOKUP(D3461,Cardápio!$A$2:$B$16,2,0))*E3461)</f>
        <v/>
      </c>
      <c r="H3461" s="7" t="str">
        <f t="shared" si="216"/>
        <v/>
      </c>
      <c r="I3461" s="7" t="str">
        <f>IF(AND(ISBLANK(D3461),ISBLANK(C3461)),"",((VLOOKUP(D3461,Cardápio!$A$2:$C$16,3,0))*E3461)+IF(B3461="iFood",F3461*0.27,(VLOOKUP(VENDAS!C3461,Bairros!$A$2:$B$90,2,0))))</f>
        <v/>
      </c>
      <c r="J3461" s="7" t="str">
        <f t="shared" si="217"/>
        <v/>
      </c>
      <c r="K3461" s="9">
        <f t="shared" ca="1" si="218"/>
        <v>45404.878290277775</v>
      </c>
      <c r="L3461" s="10">
        <f t="shared" ca="1" si="219"/>
        <v>45404.878290046297</v>
      </c>
    </row>
    <row r="3462" spans="6:12" x14ac:dyDescent="0.25">
      <c r="F3462" s="11" t="str">
        <f>IF(ISBLANK(D3462),"",(VLOOKUP(D3462,Cardápio!$A$2:$B$16,2,0))*E3462)</f>
        <v/>
      </c>
      <c r="H3462" s="7" t="str">
        <f t="shared" si="216"/>
        <v/>
      </c>
      <c r="I3462" s="7" t="str">
        <f>IF(AND(ISBLANK(D3462),ISBLANK(C3462)),"",((VLOOKUP(D3462,Cardápio!$A$2:$C$16,3,0))*E3462)+IF(B3462="iFood",F3462*0.27,(VLOOKUP(VENDAS!C3462,Bairros!$A$2:$B$90,2,0))))</f>
        <v/>
      </c>
      <c r="J3462" s="7" t="str">
        <f t="shared" si="217"/>
        <v/>
      </c>
      <c r="K3462" s="9">
        <f t="shared" ca="1" si="218"/>
        <v>45404.878290162036</v>
      </c>
      <c r="L3462" s="10">
        <f t="shared" ca="1" si="219"/>
        <v>45404.878290046297</v>
      </c>
    </row>
    <row r="3463" spans="6:12" x14ac:dyDescent="0.25">
      <c r="F3463" s="11" t="str">
        <f>IF(ISBLANK(D3463),"",(VLOOKUP(D3463,Cardápio!$A$2:$B$16,2,0))*E3463)</f>
        <v/>
      </c>
      <c r="H3463" s="7" t="str">
        <f t="shared" si="216"/>
        <v/>
      </c>
      <c r="I3463" s="7" t="str">
        <f>IF(AND(ISBLANK(D3463),ISBLANK(C3463)),"",((VLOOKUP(D3463,Cardápio!$A$2:$C$16,3,0))*E3463)+IF(B3463="iFood",F3463*0.27,(VLOOKUP(VENDAS!C3463,Bairros!$A$2:$B$90,2,0))))</f>
        <v/>
      </c>
      <c r="J3463" s="7" t="str">
        <f t="shared" si="217"/>
        <v/>
      </c>
      <c r="K3463" s="9">
        <f t="shared" ca="1" si="218"/>
        <v>45404.878290162036</v>
      </c>
      <c r="L3463" s="10">
        <f t="shared" ca="1" si="219"/>
        <v>45404.878290162036</v>
      </c>
    </row>
    <row r="3464" spans="6:12" x14ac:dyDescent="0.25">
      <c r="F3464" s="11" t="str">
        <f>IF(ISBLANK(D3464),"",(VLOOKUP(D3464,Cardápio!$A$2:$B$16,2,0))*E3464)</f>
        <v/>
      </c>
      <c r="H3464" s="7" t="str">
        <f t="shared" si="216"/>
        <v/>
      </c>
      <c r="I3464" s="7" t="str">
        <f>IF(AND(ISBLANK(D3464),ISBLANK(C3464)),"",((VLOOKUP(D3464,Cardápio!$A$2:$C$16,3,0))*E3464)+IF(B3464="iFood",F3464*0.27,(VLOOKUP(VENDAS!C3464,Bairros!$A$2:$B$90,2,0))))</f>
        <v/>
      </c>
      <c r="J3464" s="7" t="str">
        <f t="shared" si="217"/>
        <v/>
      </c>
      <c r="K3464" s="9">
        <f t="shared" ca="1" si="218"/>
        <v>45404.878290162036</v>
      </c>
      <c r="L3464" s="10">
        <f t="shared" ca="1" si="219"/>
        <v>45404.878290046297</v>
      </c>
    </row>
    <row r="3465" spans="6:12" x14ac:dyDescent="0.25">
      <c r="F3465" s="11" t="str">
        <f>IF(ISBLANK(D3465),"",(VLOOKUP(D3465,Cardápio!$A$2:$B$16,2,0))*E3465)</f>
        <v/>
      </c>
      <c r="H3465" s="7" t="str">
        <f t="shared" si="216"/>
        <v/>
      </c>
      <c r="I3465" s="7" t="str">
        <f>IF(AND(ISBLANK(D3465),ISBLANK(C3465)),"",((VLOOKUP(D3465,Cardápio!$A$2:$C$16,3,0))*E3465)+IF(B3465="iFood",F3465*0.27,(VLOOKUP(VENDAS!C3465,Bairros!$A$2:$B$90,2,0))))</f>
        <v/>
      </c>
      <c r="J3465" s="7" t="str">
        <f t="shared" si="217"/>
        <v/>
      </c>
      <c r="K3465" s="9">
        <f t="shared" ca="1" si="218"/>
        <v>45404.878290277775</v>
      </c>
      <c r="L3465" s="10">
        <f t="shared" ca="1" si="219"/>
        <v>45404.878290046297</v>
      </c>
    </row>
    <row r="3466" spans="6:12" x14ac:dyDescent="0.25">
      <c r="F3466" s="11" t="str">
        <f>IF(ISBLANK(D3466),"",(VLOOKUP(D3466,Cardápio!$A$2:$B$16,2,0))*E3466)</f>
        <v/>
      </c>
      <c r="H3466" s="7" t="str">
        <f t="shared" si="216"/>
        <v/>
      </c>
      <c r="I3466" s="7" t="str">
        <f>IF(AND(ISBLANK(D3466),ISBLANK(C3466)),"",((VLOOKUP(D3466,Cardápio!$A$2:$C$16,3,0))*E3466)+IF(B3466="iFood",F3466*0.27,(VLOOKUP(VENDAS!C3466,Bairros!$A$2:$B$90,2,0))))</f>
        <v/>
      </c>
      <c r="J3466" s="7" t="str">
        <f t="shared" si="217"/>
        <v/>
      </c>
      <c r="K3466" s="9">
        <f t="shared" ca="1" si="218"/>
        <v>45404.878290162036</v>
      </c>
      <c r="L3466" s="10">
        <f t="shared" ca="1" si="219"/>
        <v>45404.878290046297</v>
      </c>
    </row>
    <row r="3467" spans="6:12" x14ac:dyDescent="0.25">
      <c r="F3467" s="11" t="str">
        <f>IF(ISBLANK(D3467),"",(VLOOKUP(D3467,Cardápio!$A$2:$B$16,2,0))*E3467)</f>
        <v/>
      </c>
      <c r="H3467" s="7" t="str">
        <f t="shared" si="216"/>
        <v/>
      </c>
      <c r="I3467" s="7" t="str">
        <f>IF(AND(ISBLANK(D3467),ISBLANK(C3467)),"",((VLOOKUP(D3467,Cardápio!$A$2:$C$16,3,0))*E3467)+IF(B3467="iFood",F3467*0.27,(VLOOKUP(VENDAS!C3467,Bairros!$A$2:$B$90,2,0))))</f>
        <v/>
      </c>
      <c r="J3467" s="7" t="str">
        <f t="shared" si="217"/>
        <v/>
      </c>
      <c r="K3467" s="9">
        <f t="shared" ca="1" si="218"/>
        <v>45404.878290162036</v>
      </c>
      <c r="L3467" s="10">
        <f t="shared" ca="1" si="219"/>
        <v>45404.878290162036</v>
      </c>
    </row>
    <row r="3468" spans="6:12" x14ac:dyDescent="0.25">
      <c r="F3468" s="11" t="str">
        <f>IF(ISBLANK(D3468),"",(VLOOKUP(D3468,Cardápio!$A$2:$B$16,2,0))*E3468)</f>
        <v/>
      </c>
      <c r="H3468" s="7" t="str">
        <f t="shared" si="216"/>
        <v/>
      </c>
      <c r="I3468" s="7" t="str">
        <f>IF(AND(ISBLANK(D3468),ISBLANK(C3468)),"",((VLOOKUP(D3468,Cardápio!$A$2:$C$16,3,0))*E3468)+IF(B3468="iFood",F3468*0.27,(VLOOKUP(VENDAS!C3468,Bairros!$A$2:$B$90,2,0))))</f>
        <v/>
      </c>
      <c r="J3468" s="7" t="str">
        <f t="shared" si="217"/>
        <v/>
      </c>
      <c r="K3468" s="9">
        <f t="shared" ca="1" si="218"/>
        <v>45404.878290162036</v>
      </c>
      <c r="L3468" s="10">
        <f t="shared" ca="1" si="219"/>
        <v>45404.878290046297</v>
      </c>
    </row>
    <row r="3469" spans="6:12" x14ac:dyDescent="0.25">
      <c r="F3469" s="11" t="str">
        <f>IF(ISBLANK(D3469),"",(VLOOKUP(D3469,Cardápio!$A$2:$B$16,2,0))*E3469)</f>
        <v/>
      </c>
      <c r="H3469" s="7" t="str">
        <f t="shared" si="216"/>
        <v/>
      </c>
      <c r="I3469" s="7" t="str">
        <f>IF(AND(ISBLANK(D3469),ISBLANK(C3469)),"",((VLOOKUP(D3469,Cardápio!$A$2:$C$16,3,0))*E3469)+IF(B3469="iFood",F3469*0.27,(VLOOKUP(VENDAS!C3469,Bairros!$A$2:$B$90,2,0))))</f>
        <v/>
      </c>
      <c r="J3469" s="7" t="str">
        <f t="shared" si="217"/>
        <v/>
      </c>
      <c r="K3469" s="9">
        <f t="shared" ca="1" si="218"/>
        <v>45404.878290277775</v>
      </c>
      <c r="L3469" s="10">
        <f t="shared" ca="1" si="219"/>
        <v>45404.878290046297</v>
      </c>
    </row>
    <row r="3470" spans="6:12" x14ac:dyDescent="0.25">
      <c r="F3470" s="11" t="str">
        <f>IF(ISBLANK(D3470),"",(VLOOKUP(D3470,Cardápio!$A$2:$B$16,2,0))*E3470)</f>
        <v/>
      </c>
      <c r="H3470" s="7" t="str">
        <f t="shared" si="216"/>
        <v/>
      </c>
      <c r="I3470" s="7" t="str">
        <f>IF(AND(ISBLANK(D3470),ISBLANK(C3470)),"",((VLOOKUP(D3470,Cardápio!$A$2:$C$16,3,0))*E3470)+IF(B3470="iFood",F3470*0.27,(VLOOKUP(VENDAS!C3470,Bairros!$A$2:$B$90,2,0))))</f>
        <v/>
      </c>
      <c r="J3470" s="7" t="str">
        <f t="shared" si="217"/>
        <v/>
      </c>
      <c r="K3470" s="9">
        <f t="shared" ca="1" si="218"/>
        <v>45404.878290162036</v>
      </c>
      <c r="L3470" s="10">
        <f t="shared" ca="1" si="219"/>
        <v>45404.878290046297</v>
      </c>
    </row>
    <row r="3471" spans="6:12" x14ac:dyDescent="0.25">
      <c r="F3471" s="11" t="str">
        <f>IF(ISBLANK(D3471),"",(VLOOKUP(D3471,Cardápio!$A$2:$B$16,2,0))*E3471)</f>
        <v/>
      </c>
      <c r="H3471" s="7" t="str">
        <f t="shared" si="216"/>
        <v/>
      </c>
      <c r="I3471" s="7" t="str">
        <f>IF(AND(ISBLANK(D3471),ISBLANK(C3471)),"",((VLOOKUP(D3471,Cardápio!$A$2:$C$16,3,0))*E3471)+IF(B3471="iFood",F3471*0.27,(VLOOKUP(VENDAS!C3471,Bairros!$A$2:$B$90,2,0))))</f>
        <v/>
      </c>
      <c r="J3471" s="7" t="str">
        <f t="shared" si="217"/>
        <v/>
      </c>
      <c r="K3471" s="9">
        <f t="shared" ca="1" si="218"/>
        <v>45404.878290162036</v>
      </c>
      <c r="L3471" s="10">
        <f t="shared" ca="1" si="219"/>
        <v>45404.878290162036</v>
      </c>
    </row>
    <row r="3472" spans="6:12" x14ac:dyDescent="0.25">
      <c r="F3472" s="11" t="str">
        <f>IF(ISBLANK(D3472),"",(VLOOKUP(D3472,Cardápio!$A$2:$B$16,2,0))*E3472)</f>
        <v/>
      </c>
      <c r="H3472" s="7" t="str">
        <f t="shared" si="216"/>
        <v/>
      </c>
      <c r="I3472" s="7" t="str">
        <f>IF(AND(ISBLANK(D3472),ISBLANK(C3472)),"",((VLOOKUP(D3472,Cardápio!$A$2:$C$16,3,0))*E3472)+IF(B3472="iFood",F3472*0.27,(VLOOKUP(VENDAS!C3472,Bairros!$A$2:$B$90,2,0))))</f>
        <v/>
      </c>
      <c r="J3472" s="7" t="str">
        <f t="shared" si="217"/>
        <v/>
      </c>
      <c r="K3472" s="9">
        <f t="shared" ca="1" si="218"/>
        <v>45404.878290162036</v>
      </c>
      <c r="L3472" s="10">
        <f t="shared" ca="1" si="219"/>
        <v>45404.878290046297</v>
      </c>
    </row>
    <row r="3473" spans="6:12" x14ac:dyDescent="0.25">
      <c r="F3473" s="11" t="str">
        <f>IF(ISBLANK(D3473),"",(VLOOKUP(D3473,Cardápio!$A$2:$B$16,2,0))*E3473)</f>
        <v/>
      </c>
      <c r="H3473" s="7" t="str">
        <f t="shared" si="216"/>
        <v/>
      </c>
      <c r="I3473" s="7" t="str">
        <f>IF(AND(ISBLANK(D3473),ISBLANK(C3473)),"",((VLOOKUP(D3473,Cardápio!$A$2:$C$16,3,0))*E3473)+IF(B3473="iFood",F3473*0.27,(VLOOKUP(VENDAS!C3473,Bairros!$A$2:$B$90,2,0))))</f>
        <v/>
      </c>
      <c r="J3473" s="7" t="str">
        <f t="shared" si="217"/>
        <v/>
      </c>
      <c r="K3473" s="9">
        <f t="shared" ca="1" si="218"/>
        <v>45404.878290277775</v>
      </c>
      <c r="L3473" s="10">
        <f t="shared" ca="1" si="219"/>
        <v>45404.878290046297</v>
      </c>
    </row>
    <row r="3474" spans="6:12" x14ac:dyDescent="0.25">
      <c r="F3474" s="11" t="str">
        <f>IF(ISBLANK(D3474),"",(VLOOKUP(D3474,Cardápio!$A$2:$B$16,2,0))*E3474)</f>
        <v/>
      </c>
      <c r="H3474" s="7" t="str">
        <f t="shared" si="216"/>
        <v/>
      </c>
      <c r="I3474" s="7" t="str">
        <f>IF(AND(ISBLANK(D3474),ISBLANK(C3474)),"",((VLOOKUP(D3474,Cardápio!$A$2:$C$16,3,0))*E3474)+IF(B3474="iFood",F3474*0.27,(VLOOKUP(VENDAS!C3474,Bairros!$A$2:$B$90,2,0))))</f>
        <v/>
      </c>
      <c r="J3474" s="7" t="str">
        <f t="shared" si="217"/>
        <v/>
      </c>
      <c r="K3474" s="9">
        <f t="shared" ca="1" si="218"/>
        <v>45404.878290162036</v>
      </c>
      <c r="L3474" s="10">
        <f t="shared" ca="1" si="219"/>
        <v>45404.878290046297</v>
      </c>
    </row>
    <row r="3475" spans="6:12" x14ac:dyDescent="0.25">
      <c r="F3475" s="11" t="str">
        <f>IF(ISBLANK(D3475),"",(VLOOKUP(D3475,Cardápio!$A$2:$B$16,2,0))*E3475)</f>
        <v/>
      </c>
      <c r="H3475" s="7" t="str">
        <f t="shared" si="216"/>
        <v/>
      </c>
      <c r="I3475" s="7" t="str">
        <f>IF(AND(ISBLANK(D3475),ISBLANK(C3475)),"",((VLOOKUP(D3475,Cardápio!$A$2:$C$16,3,0))*E3475)+IF(B3475="iFood",F3475*0.27,(VLOOKUP(VENDAS!C3475,Bairros!$A$2:$B$90,2,0))))</f>
        <v/>
      </c>
      <c r="J3475" s="7" t="str">
        <f t="shared" si="217"/>
        <v/>
      </c>
      <c r="K3475" s="9">
        <f t="shared" ca="1" si="218"/>
        <v>45404.878290162036</v>
      </c>
      <c r="L3475" s="10">
        <f t="shared" ca="1" si="219"/>
        <v>45404.878290162036</v>
      </c>
    </row>
    <row r="3476" spans="6:12" x14ac:dyDescent="0.25">
      <c r="F3476" s="11" t="str">
        <f>IF(ISBLANK(D3476),"",(VLOOKUP(D3476,Cardápio!$A$2:$B$16,2,0))*E3476)</f>
        <v/>
      </c>
      <c r="H3476" s="7" t="str">
        <f t="shared" si="216"/>
        <v/>
      </c>
      <c r="I3476" s="7" t="str">
        <f>IF(AND(ISBLANK(D3476),ISBLANK(C3476)),"",((VLOOKUP(D3476,Cardápio!$A$2:$C$16,3,0))*E3476)+IF(B3476="iFood",F3476*0.27,(VLOOKUP(VENDAS!C3476,Bairros!$A$2:$B$90,2,0))))</f>
        <v/>
      </c>
      <c r="J3476" s="7" t="str">
        <f t="shared" si="217"/>
        <v/>
      </c>
      <c r="K3476" s="9">
        <f t="shared" ca="1" si="218"/>
        <v>45404.878290162036</v>
      </c>
      <c r="L3476" s="10">
        <f t="shared" ca="1" si="219"/>
        <v>45404.878290046297</v>
      </c>
    </row>
    <row r="3477" spans="6:12" x14ac:dyDescent="0.25">
      <c r="F3477" s="11" t="str">
        <f>IF(ISBLANK(D3477),"",(VLOOKUP(D3477,Cardápio!$A$2:$B$16,2,0))*E3477)</f>
        <v/>
      </c>
      <c r="H3477" s="7" t="str">
        <f t="shared" si="216"/>
        <v/>
      </c>
      <c r="I3477" s="7" t="str">
        <f>IF(AND(ISBLANK(D3477),ISBLANK(C3477)),"",((VLOOKUP(D3477,Cardápio!$A$2:$C$16,3,0))*E3477)+IF(B3477="iFood",F3477*0.27,(VLOOKUP(VENDAS!C3477,Bairros!$A$2:$B$90,2,0))))</f>
        <v/>
      </c>
      <c r="J3477" s="7" t="str">
        <f t="shared" si="217"/>
        <v/>
      </c>
      <c r="K3477" s="9">
        <f t="shared" ca="1" si="218"/>
        <v>45404.878290277775</v>
      </c>
      <c r="L3477" s="10">
        <f t="shared" ca="1" si="219"/>
        <v>45404.878290046297</v>
      </c>
    </row>
    <row r="3478" spans="6:12" x14ac:dyDescent="0.25">
      <c r="F3478" s="11" t="str">
        <f>IF(ISBLANK(D3478),"",(VLOOKUP(D3478,Cardápio!$A$2:$B$16,2,0))*E3478)</f>
        <v/>
      </c>
      <c r="H3478" s="7" t="str">
        <f t="shared" si="216"/>
        <v/>
      </c>
      <c r="I3478" s="7" t="str">
        <f>IF(AND(ISBLANK(D3478),ISBLANK(C3478)),"",((VLOOKUP(D3478,Cardápio!$A$2:$C$16,3,0))*E3478)+IF(B3478="iFood",F3478*0.27,(VLOOKUP(VENDAS!C3478,Bairros!$A$2:$B$90,2,0))))</f>
        <v/>
      </c>
      <c r="J3478" s="7" t="str">
        <f t="shared" si="217"/>
        <v/>
      </c>
      <c r="K3478" s="9">
        <f t="shared" ca="1" si="218"/>
        <v>45404.878290162036</v>
      </c>
      <c r="L3478" s="10">
        <f t="shared" ca="1" si="219"/>
        <v>45404.878290046297</v>
      </c>
    </row>
    <row r="3479" spans="6:12" x14ac:dyDescent="0.25">
      <c r="F3479" s="11" t="str">
        <f>IF(ISBLANK(D3479),"",(VLOOKUP(D3479,Cardápio!$A$2:$B$16,2,0))*E3479)</f>
        <v/>
      </c>
      <c r="H3479" s="7" t="str">
        <f t="shared" si="216"/>
        <v/>
      </c>
      <c r="I3479" s="7" t="str">
        <f>IF(AND(ISBLANK(D3479),ISBLANK(C3479)),"",((VLOOKUP(D3479,Cardápio!$A$2:$C$16,3,0))*E3479)+IF(B3479="iFood",F3479*0.27,(VLOOKUP(VENDAS!C3479,Bairros!$A$2:$B$90,2,0))))</f>
        <v/>
      </c>
      <c r="J3479" s="7" t="str">
        <f t="shared" si="217"/>
        <v/>
      </c>
      <c r="K3479" s="9">
        <f t="shared" ca="1" si="218"/>
        <v>45404.878290162036</v>
      </c>
      <c r="L3479" s="10">
        <f t="shared" ca="1" si="219"/>
        <v>45404.878290162036</v>
      </c>
    </row>
    <row r="3480" spans="6:12" x14ac:dyDescent="0.25">
      <c r="F3480" s="11" t="str">
        <f>IF(ISBLANK(D3480),"",(VLOOKUP(D3480,Cardápio!$A$2:$B$16,2,0))*E3480)</f>
        <v/>
      </c>
      <c r="H3480" s="7" t="str">
        <f t="shared" si="216"/>
        <v/>
      </c>
      <c r="I3480" s="7" t="str">
        <f>IF(AND(ISBLANK(D3480),ISBLANK(C3480)),"",((VLOOKUP(D3480,Cardápio!$A$2:$C$16,3,0))*E3480)+IF(B3480="iFood",F3480*0.27,(VLOOKUP(VENDAS!C3480,Bairros!$A$2:$B$90,2,0))))</f>
        <v/>
      </c>
      <c r="J3480" s="7" t="str">
        <f t="shared" si="217"/>
        <v/>
      </c>
      <c r="K3480" s="9">
        <f t="shared" ca="1" si="218"/>
        <v>45404.878290162036</v>
      </c>
      <c r="L3480" s="10">
        <f t="shared" ca="1" si="219"/>
        <v>45404.878290046297</v>
      </c>
    </row>
    <row r="3481" spans="6:12" x14ac:dyDescent="0.25">
      <c r="F3481" s="11" t="str">
        <f>IF(ISBLANK(D3481),"",(VLOOKUP(D3481,Cardápio!$A$2:$B$16,2,0))*E3481)</f>
        <v/>
      </c>
      <c r="H3481" s="7" t="str">
        <f t="shared" si="216"/>
        <v/>
      </c>
      <c r="I3481" s="7" t="str">
        <f>IF(AND(ISBLANK(D3481),ISBLANK(C3481)),"",((VLOOKUP(D3481,Cardápio!$A$2:$C$16,3,0))*E3481)+IF(B3481="iFood",F3481*0.27,(VLOOKUP(VENDAS!C3481,Bairros!$A$2:$B$90,2,0))))</f>
        <v/>
      </c>
      <c r="J3481" s="7" t="str">
        <f t="shared" si="217"/>
        <v/>
      </c>
      <c r="K3481" s="9">
        <f t="shared" ca="1" si="218"/>
        <v>45404.878290277775</v>
      </c>
      <c r="L3481" s="10">
        <f t="shared" ca="1" si="219"/>
        <v>45404.878290046297</v>
      </c>
    </row>
    <row r="3482" spans="6:12" x14ac:dyDescent="0.25">
      <c r="F3482" s="11" t="str">
        <f>IF(ISBLANK(D3482),"",(VLOOKUP(D3482,Cardápio!$A$2:$B$16,2,0))*E3482)</f>
        <v/>
      </c>
      <c r="H3482" s="7" t="str">
        <f t="shared" si="216"/>
        <v/>
      </c>
      <c r="I3482" s="7" t="str">
        <f>IF(AND(ISBLANK(D3482),ISBLANK(C3482)),"",((VLOOKUP(D3482,Cardápio!$A$2:$C$16,3,0))*E3482)+IF(B3482="iFood",F3482*0.27,(VLOOKUP(VENDAS!C3482,Bairros!$A$2:$B$90,2,0))))</f>
        <v/>
      </c>
      <c r="J3482" s="7" t="str">
        <f t="shared" si="217"/>
        <v/>
      </c>
      <c r="K3482" s="9">
        <f t="shared" ca="1" si="218"/>
        <v>45404.878290162036</v>
      </c>
      <c r="L3482" s="10">
        <f t="shared" ca="1" si="219"/>
        <v>45404.878290046297</v>
      </c>
    </row>
    <row r="3483" spans="6:12" x14ac:dyDescent="0.25">
      <c r="F3483" s="11" t="str">
        <f>IF(ISBLANK(D3483),"",(VLOOKUP(D3483,Cardápio!$A$2:$B$16,2,0))*E3483)</f>
        <v/>
      </c>
      <c r="H3483" s="7" t="str">
        <f t="shared" si="216"/>
        <v/>
      </c>
      <c r="I3483" s="7" t="str">
        <f>IF(AND(ISBLANK(D3483),ISBLANK(C3483)),"",((VLOOKUP(D3483,Cardápio!$A$2:$C$16,3,0))*E3483)+IF(B3483="iFood",F3483*0.27,(VLOOKUP(VENDAS!C3483,Bairros!$A$2:$B$90,2,0))))</f>
        <v/>
      </c>
      <c r="J3483" s="7" t="str">
        <f t="shared" si="217"/>
        <v/>
      </c>
      <c r="K3483" s="9">
        <f t="shared" ca="1" si="218"/>
        <v>45404.878290162036</v>
      </c>
      <c r="L3483" s="10">
        <f t="shared" ca="1" si="219"/>
        <v>45404.878290162036</v>
      </c>
    </row>
    <row r="3484" spans="6:12" x14ac:dyDescent="0.25">
      <c r="F3484" s="11" t="str">
        <f>IF(ISBLANK(D3484),"",(VLOOKUP(D3484,Cardápio!$A$2:$B$16,2,0))*E3484)</f>
        <v/>
      </c>
      <c r="H3484" s="7" t="str">
        <f t="shared" si="216"/>
        <v/>
      </c>
      <c r="I3484" s="7" t="str">
        <f>IF(AND(ISBLANK(D3484),ISBLANK(C3484)),"",((VLOOKUP(D3484,Cardápio!$A$2:$C$16,3,0))*E3484)+IF(B3484="iFood",F3484*0.27,(VLOOKUP(VENDAS!C3484,Bairros!$A$2:$B$90,2,0))))</f>
        <v/>
      </c>
      <c r="J3484" s="7" t="str">
        <f t="shared" si="217"/>
        <v/>
      </c>
      <c r="K3484" s="9">
        <f t="shared" ca="1" si="218"/>
        <v>45404.878290162036</v>
      </c>
      <c r="L3484" s="10">
        <f t="shared" ca="1" si="219"/>
        <v>45404.878290046297</v>
      </c>
    </row>
    <row r="3485" spans="6:12" x14ac:dyDescent="0.25">
      <c r="F3485" s="11" t="str">
        <f>IF(ISBLANK(D3485),"",(VLOOKUP(D3485,Cardápio!$A$2:$B$16,2,0))*E3485)</f>
        <v/>
      </c>
      <c r="H3485" s="7" t="str">
        <f t="shared" si="216"/>
        <v/>
      </c>
      <c r="I3485" s="7" t="str">
        <f>IF(AND(ISBLANK(D3485),ISBLANK(C3485)),"",((VLOOKUP(D3485,Cardápio!$A$2:$C$16,3,0))*E3485)+IF(B3485="iFood",F3485*0.27,(VLOOKUP(VENDAS!C3485,Bairros!$A$2:$B$90,2,0))))</f>
        <v/>
      </c>
      <c r="J3485" s="7" t="str">
        <f t="shared" si="217"/>
        <v/>
      </c>
      <c r="K3485" s="9">
        <f t="shared" ca="1" si="218"/>
        <v>45404.878290277775</v>
      </c>
      <c r="L3485" s="10">
        <f t="shared" ca="1" si="219"/>
        <v>45404.878290046297</v>
      </c>
    </row>
    <row r="3486" spans="6:12" x14ac:dyDescent="0.25">
      <c r="F3486" s="11" t="str">
        <f>IF(ISBLANK(D3486),"",(VLOOKUP(D3486,Cardápio!$A$2:$B$16,2,0))*E3486)</f>
        <v/>
      </c>
      <c r="H3486" s="7" t="str">
        <f t="shared" si="216"/>
        <v/>
      </c>
      <c r="I3486" s="7" t="str">
        <f>IF(AND(ISBLANK(D3486),ISBLANK(C3486)),"",((VLOOKUP(D3486,Cardápio!$A$2:$C$16,3,0))*E3486)+IF(B3486="iFood",F3486*0.27,(VLOOKUP(VENDAS!C3486,Bairros!$A$2:$B$90,2,0))))</f>
        <v/>
      </c>
      <c r="J3486" s="7" t="str">
        <f t="shared" si="217"/>
        <v/>
      </c>
      <c r="K3486" s="9">
        <f t="shared" ca="1" si="218"/>
        <v>45404.878290162036</v>
      </c>
      <c r="L3486" s="10">
        <f t="shared" ca="1" si="219"/>
        <v>45404.878290046297</v>
      </c>
    </row>
    <row r="3487" spans="6:12" x14ac:dyDescent="0.25">
      <c r="F3487" s="11" t="str">
        <f>IF(ISBLANK(D3487),"",(VLOOKUP(D3487,Cardápio!$A$2:$B$16,2,0))*E3487)</f>
        <v/>
      </c>
      <c r="H3487" s="7" t="str">
        <f t="shared" si="216"/>
        <v/>
      </c>
      <c r="I3487" s="7" t="str">
        <f>IF(AND(ISBLANK(D3487),ISBLANK(C3487)),"",((VLOOKUP(D3487,Cardápio!$A$2:$C$16,3,0))*E3487)+IF(B3487="iFood",F3487*0.27,(VLOOKUP(VENDAS!C3487,Bairros!$A$2:$B$90,2,0))))</f>
        <v/>
      </c>
      <c r="J3487" s="7" t="str">
        <f t="shared" si="217"/>
        <v/>
      </c>
      <c r="K3487" s="9">
        <f t="shared" ca="1" si="218"/>
        <v>45404.878290162036</v>
      </c>
      <c r="L3487" s="10">
        <f t="shared" ca="1" si="219"/>
        <v>45404.878290162036</v>
      </c>
    </row>
    <row r="3488" spans="6:12" x14ac:dyDescent="0.25">
      <c r="F3488" s="11" t="str">
        <f>IF(ISBLANK(D3488),"",(VLOOKUP(D3488,Cardápio!$A$2:$B$16,2,0))*E3488)</f>
        <v/>
      </c>
      <c r="H3488" s="7" t="str">
        <f t="shared" si="216"/>
        <v/>
      </c>
      <c r="I3488" s="7" t="str">
        <f>IF(AND(ISBLANK(D3488),ISBLANK(C3488)),"",((VLOOKUP(D3488,Cardápio!$A$2:$C$16,3,0))*E3488)+IF(B3488="iFood",F3488*0.27,(VLOOKUP(VENDAS!C3488,Bairros!$A$2:$B$90,2,0))))</f>
        <v/>
      </c>
      <c r="J3488" s="7" t="str">
        <f t="shared" si="217"/>
        <v/>
      </c>
      <c r="K3488" s="9">
        <f t="shared" ca="1" si="218"/>
        <v>45404.878290162036</v>
      </c>
      <c r="L3488" s="10">
        <f t="shared" ca="1" si="219"/>
        <v>45404.878290046297</v>
      </c>
    </row>
    <row r="3489" spans="6:12" x14ac:dyDescent="0.25">
      <c r="F3489" s="11" t="str">
        <f>IF(ISBLANK(D3489),"",(VLOOKUP(D3489,Cardápio!$A$2:$B$16,2,0))*E3489)</f>
        <v/>
      </c>
      <c r="H3489" s="7" t="str">
        <f t="shared" si="216"/>
        <v/>
      </c>
      <c r="I3489" s="7" t="str">
        <f>IF(AND(ISBLANK(D3489),ISBLANK(C3489)),"",((VLOOKUP(D3489,Cardápio!$A$2:$C$16,3,0))*E3489)+IF(B3489="iFood",F3489*0.27,(VLOOKUP(VENDAS!C3489,Bairros!$A$2:$B$90,2,0))))</f>
        <v/>
      </c>
      <c r="J3489" s="7" t="str">
        <f t="shared" si="217"/>
        <v/>
      </c>
      <c r="K3489" s="9">
        <f t="shared" ca="1" si="218"/>
        <v>45404.878290277775</v>
      </c>
      <c r="L3489" s="10">
        <f t="shared" ca="1" si="219"/>
        <v>45404.878290046297</v>
      </c>
    </row>
    <row r="3490" spans="6:12" x14ac:dyDescent="0.25">
      <c r="F3490" s="11" t="str">
        <f>IF(ISBLANK(D3490),"",(VLOOKUP(D3490,Cardápio!$A$2:$B$16,2,0))*E3490)</f>
        <v/>
      </c>
      <c r="H3490" s="7" t="str">
        <f t="shared" si="216"/>
        <v/>
      </c>
      <c r="I3490" s="7" t="str">
        <f>IF(AND(ISBLANK(D3490),ISBLANK(C3490)),"",((VLOOKUP(D3490,Cardápio!$A$2:$C$16,3,0))*E3490)+IF(B3490="iFood",F3490*0.27,(VLOOKUP(VENDAS!C3490,Bairros!$A$2:$B$90,2,0))))</f>
        <v/>
      </c>
      <c r="J3490" s="7" t="str">
        <f t="shared" si="217"/>
        <v/>
      </c>
      <c r="K3490" s="9">
        <f t="shared" ca="1" si="218"/>
        <v>45404.878290162036</v>
      </c>
      <c r="L3490" s="10">
        <f t="shared" ca="1" si="219"/>
        <v>45404.878290046297</v>
      </c>
    </row>
    <row r="3491" spans="6:12" x14ac:dyDescent="0.25">
      <c r="F3491" s="11" t="str">
        <f>IF(ISBLANK(D3491),"",(VLOOKUP(D3491,Cardápio!$A$2:$B$16,2,0))*E3491)</f>
        <v/>
      </c>
      <c r="H3491" s="7" t="str">
        <f t="shared" si="216"/>
        <v/>
      </c>
      <c r="I3491" s="7" t="str">
        <f>IF(AND(ISBLANK(D3491),ISBLANK(C3491)),"",((VLOOKUP(D3491,Cardápio!$A$2:$C$16,3,0))*E3491)+IF(B3491="iFood",F3491*0.27,(VLOOKUP(VENDAS!C3491,Bairros!$A$2:$B$90,2,0))))</f>
        <v/>
      </c>
      <c r="J3491" s="7" t="str">
        <f t="shared" si="217"/>
        <v/>
      </c>
      <c r="K3491" s="9">
        <f t="shared" ca="1" si="218"/>
        <v>45404.878290162036</v>
      </c>
      <c r="L3491" s="10">
        <f t="shared" ca="1" si="219"/>
        <v>45404.878290162036</v>
      </c>
    </row>
    <row r="3492" spans="6:12" x14ac:dyDescent="0.25">
      <c r="F3492" s="11" t="str">
        <f>IF(ISBLANK(D3492),"",(VLOOKUP(D3492,Cardápio!$A$2:$B$16,2,0))*E3492)</f>
        <v/>
      </c>
      <c r="H3492" s="7" t="str">
        <f t="shared" si="216"/>
        <v/>
      </c>
      <c r="I3492" s="7" t="str">
        <f>IF(AND(ISBLANK(D3492),ISBLANK(C3492)),"",((VLOOKUP(D3492,Cardápio!$A$2:$C$16,3,0))*E3492)+IF(B3492="iFood",F3492*0.27,(VLOOKUP(VENDAS!C3492,Bairros!$A$2:$B$90,2,0))))</f>
        <v/>
      </c>
      <c r="J3492" s="7" t="str">
        <f t="shared" si="217"/>
        <v/>
      </c>
      <c r="K3492" s="9">
        <f t="shared" ca="1" si="218"/>
        <v>45404.878290162036</v>
      </c>
      <c r="L3492" s="10">
        <f t="shared" ca="1" si="219"/>
        <v>45404.878290046297</v>
      </c>
    </row>
    <row r="3493" spans="6:12" x14ac:dyDescent="0.25">
      <c r="F3493" s="11" t="str">
        <f>IF(ISBLANK(D3493),"",(VLOOKUP(D3493,Cardápio!$A$2:$B$16,2,0))*E3493)</f>
        <v/>
      </c>
      <c r="H3493" s="7" t="str">
        <f t="shared" si="216"/>
        <v/>
      </c>
      <c r="I3493" s="7" t="str">
        <f>IF(AND(ISBLANK(D3493),ISBLANK(C3493)),"",((VLOOKUP(D3493,Cardápio!$A$2:$C$16,3,0))*E3493)+IF(B3493="iFood",F3493*0.27,(VLOOKUP(VENDAS!C3493,Bairros!$A$2:$B$90,2,0))))</f>
        <v/>
      </c>
      <c r="J3493" s="7" t="str">
        <f t="shared" si="217"/>
        <v/>
      </c>
      <c r="K3493" s="9">
        <f t="shared" ca="1" si="218"/>
        <v>45404.878290277775</v>
      </c>
      <c r="L3493" s="10">
        <f t="shared" ca="1" si="219"/>
        <v>45404.878290046297</v>
      </c>
    </row>
    <row r="3494" spans="6:12" x14ac:dyDescent="0.25">
      <c r="F3494" s="11" t="str">
        <f>IF(ISBLANK(D3494),"",(VLOOKUP(D3494,Cardápio!$A$2:$B$16,2,0))*E3494)</f>
        <v/>
      </c>
      <c r="H3494" s="7" t="str">
        <f t="shared" si="216"/>
        <v/>
      </c>
      <c r="I3494" s="7" t="str">
        <f>IF(AND(ISBLANK(D3494),ISBLANK(C3494)),"",((VLOOKUP(D3494,Cardápio!$A$2:$C$16,3,0))*E3494)+IF(B3494="iFood",F3494*0.27,(VLOOKUP(VENDAS!C3494,Bairros!$A$2:$B$90,2,0))))</f>
        <v/>
      </c>
      <c r="J3494" s="7" t="str">
        <f t="shared" si="217"/>
        <v/>
      </c>
      <c r="K3494" s="9">
        <f t="shared" ca="1" si="218"/>
        <v>45404.878290162036</v>
      </c>
      <c r="L3494" s="10">
        <f t="shared" ca="1" si="219"/>
        <v>45404.878290046297</v>
      </c>
    </row>
    <row r="3495" spans="6:12" x14ac:dyDescent="0.25">
      <c r="F3495" s="11" t="str">
        <f>IF(ISBLANK(D3495),"",(VLOOKUP(D3495,Cardápio!$A$2:$B$16,2,0))*E3495)</f>
        <v/>
      </c>
      <c r="H3495" s="7" t="str">
        <f t="shared" si="216"/>
        <v/>
      </c>
      <c r="I3495" s="7" t="str">
        <f>IF(AND(ISBLANK(D3495),ISBLANK(C3495)),"",((VLOOKUP(D3495,Cardápio!$A$2:$C$16,3,0))*E3495)+IF(B3495="iFood",F3495*0.27,(VLOOKUP(VENDAS!C3495,Bairros!$A$2:$B$90,2,0))))</f>
        <v/>
      </c>
      <c r="J3495" s="7" t="str">
        <f t="shared" si="217"/>
        <v/>
      </c>
      <c r="K3495" s="9">
        <f t="shared" ca="1" si="218"/>
        <v>45404.878290162036</v>
      </c>
      <c r="L3495" s="10">
        <f t="shared" ca="1" si="219"/>
        <v>45404.878290162036</v>
      </c>
    </row>
    <row r="3496" spans="6:12" x14ac:dyDescent="0.25">
      <c r="F3496" s="11" t="str">
        <f>IF(ISBLANK(D3496),"",(VLOOKUP(D3496,Cardápio!$A$2:$B$16,2,0))*E3496)</f>
        <v/>
      </c>
      <c r="H3496" s="7" t="str">
        <f t="shared" si="216"/>
        <v/>
      </c>
      <c r="I3496" s="7" t="str">
        <f>IF(AND(ISBLANK(D3496),ISBLANK(C3496)),"",((VLOOKUP(D3496,Cardápio!$A$2:$C$16,3,0))*E3496)+IF(B3496="iFood",F3496*0.27,(VLOOKUP(VENDAS!C3496,Bairros!$A$2:$B$90,2,0))))</f>
        <v/>
      </c>
      <c r="J3496" s="7" t="str">
        <f t="shared" si="217"/>
        <v/>
      </c>
      <c r="K3496" s="9">
        <f t="shared" ca="1" si="218"/>
        <v>45404.878290162036</v>
      </c>
      <c r="L3496" s="10">
        <f t="shared" ca="1" si="219"/>
        <v>45404.878290046297</v>
      </c>
    </row>
    <row r="3497" spans="6:12" x14ac:dyDescent="0.25">
      <c r="F3497" s="11" t="str">
        <f>IF(ISBLANK(D3497),"",(VLOOKUP(D3497,Cardápio!$A$2:$B$16,2,0))*E3497)</f>
        <v/>
      </c>
      <c r="H3497" s="7" t="str">
        <f t="shared" si="216"/>
        <v/>
      </c>
      <c r="I3497" s="7" t="str">
        <f>IF(AND(ISBLANK(D3497),ISBLANK(C3497)),"",((VLOOKUP(D3497,Cardápio!$A$2:$C$16,3,0))*E3497)+IF(B3497="iFood",F3497*0.27,(VLOOKUP(VENDAS!C3497,Bairros!$A$2:$B$90,2,0))))</f>
        <v/>
      </c>
      <c r="J3497" s="7" t="str">
        <f t="shared" si="217"/>
        <v/>
      </c>
      <c r="K3497" s="9">
        <f t="shared" ca="1" si="218"/>
        <v>45404.878290277775</v>
      </c>
      <c r="L3497" s="10">
        <f t="shared" ca="1" si="219"/>
        <v>45404.878290046297</v>
      </c>
    </row>
    <row r="3498" spans="6:12" x14ac:dyDescent="0.25">
      <c r="F3498" s="11" t="str">
        <f>IF(ISBLANK(D3498),"",(VLOOKUP(D3498,Cardápio!$A$2:$B$16,2,0))*E3498)</f>
        <v/>
      </c>
      <c r="H3498" s="7" t="str">
        <f t="shared" si="216"/>
        <v/>
      </c>
      <c r="I3498" s="7" t="str">
        <f>IF(AND(ISBLANK(D3498),ISBLANK(C3498)),"",((VLOOKUP(D3498,Cardápio!$A$2:$C$16,3,0))*E3498)+IF(B3498="iFood",F3498*0.27,(VLOOKUP(VENDAS!C3498,Bairros!$A$2:$B$90,2,0))))</f>
        <v/>
      </c>
      <c r="J3498" s="7" t="str">
        <f t="shared" si="217"/>
        <v/>
      </c>
      <c r="K3498" s="9">
        <f t="shared" ca="1" si="218"/>
        <v>45404.878290162036</v>
      </c>
      <c r="L3498" s="10">
        <f t="shared" ca="1" si="219"/>
        <v>45404.878290046297</v>
      </c>
    </row>
    <row r="3499" spans="6:12" x14ac:dyDescent="0.25">
      <c r="F3499" s="11" t="str">
        <f>IF(ISBLANK(D3499),"",(VLOOKUP(D3499,Cardápio!$A$2:$B$16,2,0))*E3499)</f>
        <v/>
      </c>
      <c r="H3499" s="7" t="str">
        <f t="shared" si="216"/>
        <v/>
      </c>
      <c r="I3499" s="7" t="str">
        <f>IF(AND(ISBLANK(D3499),ISBLANK(C3499)),"",((VLOOKUP(D3499,Cardápio!$A$2:$C$16,3,0))*E3499)+IF(B3499="iFood",F3499*0.27,(VLOOKUP(VENDAS!C3499,Bairros!$A$2:$B$90,2,0))))</f>
        <v/>
      </c>
      <c r="J3499" s="7" t="str">
        <f t="shared" si="217"/>
        <v/>
      </c>
      <c r="K3499" s="9">
        <f t="shared" ca="1" si="218"/>
        <v>45404.878290162036</v>
      </c>
      <c r="L3499" s="10">
        <f t="shared" ca="1" si="219"/>
        <v>45404.878290162036</v>
      </c>
    </row>
    <row r="3500" spans="6:12" x14ac:dyDescent="0.25">
      <c r="F3500" s="11" t="str">
        <f>IF(ISBLANK(D3500),"",(VLOOKUP(D3500,Cardápio!$A$2:$B$16,2,0))*E3500)</f>
        <v/>
      </c>
      <c r="H3500" s="7" t="str">
        <f t="shared" si="216"/>
        <v/>
      </c>
      <c r="I3500" s="7" t="str">
        <f>IF(AND(ISBLANK(D3500),ISBLANK(C3500)),"",((VLOOKUP(D3500,Cardápio!$A$2:$C$16,3,0))*E3500)+IF(B3500="iFood",F3500*0.27,(VLOOKUP(VENDAS!C3500,Bairros!$A$2:$B$90,2,0))))</f>
        <v/>
      </c>
      <c r="J3500" s="7" t="str">
        <f t="shared" si="217"/>
        <v/>
      </c>
      <c r="K3500" s="9">
        <f t="shared" ca="1" si="218"/>
        <v>45404.878290162036</v>
      </c>
      <c r="L3500" s="10">
        <f t="shared" ca="1" si="219"/>
        <v>45404.878290046297</v>
      </c>
    </row>
    <row r="3501" spans="6:12" x14ac:dyDescent="0.25">
      <c r="F3501" s="11" t="str">
        <f>IF(ISBLANK(D3501),"",(VLOOKUP(D3501,Cardápio!$A$2:$B$16,2,0))*E3501)</f>
        <v/>
      </c>
      <c r="H3501" s="7" t="str">
        <f t="shared" si="216"/>
        <v/>
      </c>
      <c r="I3501" s="7" t="str">
        <f>IF(AND(ISBLANK(D3501),ISBLANK(C3501)),"",((VLOOKUP(D3501,Cardápio!$A$2:$C$16,3,0))*E3501)+IF(B3501="iFood",F3501*0.27,(VLOOKUP(VENDAS!C3501,Bairros!$A$2:$B$90,2,0))))</f>
        <v/>
      </c>
      <c r="J3501" s="7" t="str">
        <f t="shared" si="217"/>
        <v/>
      </c>
      <c r="K3501" s="9">
        <f t="shared" ca="1" si="218"/>
        <v>45404.878290277775</v>
      </c>
      <c r="L3501" s="10">
        <f t="shared" ca="1" si="219"/>
        <v>45404.878290046297</v>
      </c>
    </row>
    <row r="3502" spans="6:12" x14ac:dyDescent="0.25">
      <c r="F3502" s="11" t="str">
        <f>IF(ISBLANK(D3502),"",(VLOOKUP(D3502,Cardápio!$A$2:$B$16,2,0))*E3502)</f>
        <v/>
      </c>
      <c r="H3502" s="7" t="str">
        <f t="shared" si="216"/>
        <v/>
      </c>
      <c r="I3502" s="7" t="str">
        <f>IF(AND(ISBLANK(D3502),ISBLANK(C3502)),"",((VLOOKUP(D3502,Cardápio!$A$2:$C$16,3,0))*E3502)+IF(B3502="iFood",F3502*0.27,(VLOOKUP(VENDAS!C3502,Bairros!$A$2:$B$90,2,0))))</f>
        <v/>
      </c>
      <c r="J3502" s="7" t="str">
        <f t="shared" si="217"/>
        <v/>
      </c>
      <c r="K3502" s="9">
        <f t="shared" ca="1" si="218"/>
        <v>45404.878290162036</v>
      </c>
      <c r="L3502" s="10">
        <f t="shared" ca="1" si="219"/>
        <v>45404.878290046297</v>
      </c>
    </row>
    <row r="3503" spans="6:12" x14ac:dyDescent="0.25">
      <c r="F3503" s="11" t="str">
        <f>IF(ISBLANK(D3503),"",(VLOOKUP(D3503,Cardápio!$A$2:$B$16,2,0))*E3503)</f>
        <v/>
      </c>
      <c r="H3503" s="7" t="str">
        <f t="shared" si="216"/>
        <v/>
      </c>
      <c r="I3503" s="7" t="str">
        <f>IF(AND(ISBLANK(D3503),ISBLANK(C3503)),"",((VLOOKUP(D3503,Cardápio!$A$2:$C$16,3,0))*E3503)+IF(B3503="iFood",F3503*0.27,(VLOOKUP(VENDAS!C3503,Bairros!$A$2:$B$90,2,0))))</f>
        <v/>
      </c>
      <c r="J3503" s="7" t="str">
        <f t="shared" si="217"/>
        <v/>
      </c>
      <c r="K3503" s="9">
        <f t="shared" ca="1" si="218"/>
        <v>45404.878290162036</v>
      </c>
      <c r="L3503" s="10">
        <f t="shared" ca="1" si="219"/>
        <v>45404.878290162036</v>
      </c>
    </row>
    <row r="3504" spans="6:12" x14ac:dyDescent="0.25">
      <c r="F3504" s="11" t="str">
        <f>IF(ISBLANK(D3504),"",(VLOOKUP(D3504,Cardápio!$A$2:$B$16,2,0))*E3504)</f>
        <v/>
      </c>
      <c r="H3504" s="7" t="str">
        <f t="shared" si="216"/>
        <v/>
      </c>
      <c r="I3504" s="7" t="str">
        <f>IF(AND(ISBLANK(D3504),ISBLANK(C3504)),"",((VLOOKUP(D3504,Cardápio!$A$2:$C$16,3,0))*E3504)+IF(B3504="iFood",F3504*0.27,(VLOOKUP(VENDAS!C3504,Bairros!$A$2:$B$90,2,0))))</f>
        <v/>
      </c>
      <c r="J3504" s="7" t="str">
        <f t="shared" si="217"/>
        <v/>
      </c>
      <c r="K3504" s="9">
        <f t="shared" ca="1" si="218"/>
        <v>45404.878290162036</v>
      </c>
      <c r="L3504" s="10">
        <f t="shared" ca="1" si="219"/>
        <v>45404.878290046297</v>
      </c>
    </row>
    <row r="3505" spans="6:12" x14ac:dyDescent="0.25">
      <c r="F3505" s="11" t="str">
        <f>IF(ISBLANK(D3505),"",(VLOOKUP(D3505,Cardápio!$A$2:$B$16,2,0))*E3505)</f>
        <v/>
      </c>
      <c r="H3505" s="7" t="str">
        <f t="shared" si="216"/>
        <v/>
      </c>
      <c r="I3505" s="7" t="str">
        <f>IF(AND(ISBLANK(D3505),ISBLANK(C3505)),"",((VLOOKUP(D3505,Cardápio!$A$2:$C$16,3,0))*E3505)+IF(B3505="iFood",F3505*0.27,(VLOOKUP(VENDAS!C3505,Bairros!$A$2:$B$90,2,0))))</f>
        <v/>
      </c>
      <c r="J3505" s="7" t="str">
        <f t="shared" si="217"/>
        <v/>
      </c>
      <c r="K3505" s="9">
        <f t="shared" ca="1" si="218"/>
        <v>45404.878290277775</v>
      </c>
      <c r="L3505" s="10">
        <f t="shared" ca="1" si="219"/>
        <v>45404.878290046297</v>
      </c>
    </row>
    <row r="3506" spans="6:12" x14ac:dyDescent="0.25">
      <c r="F3506" s="11" t="str">
        <f>IF(ISBLANK(D3506),"",(VLOOKUP(D3506,Cardápio!$A$2:$B$16,2,0))*E3506)</f>
        <v/>
      </c>
      <c r="H3506" s="7" t="str">
        <f t="shared" si="216"/>
        <v/>
      </c>
      <c r="I3506" s="7" t="str">
        <f>IF(AND(ISBLANK(D3506),ISBLANK(C3506)),"",((VLOOKUP(D3506,Cardápio!$A$2:$C$16,3,0))*E3506)+IF(B3506="iFood",F3506*0.27,(VLOOKUP(VENDAS!C3506,Bairros!$A$2:$B$90,2,0))))</f>
        <v/>
      </c>
      <c r="J3506" s="7" t="str">
        <f t="shared" si="217"/>
        <v/>
      </c>
      <c r="K3506" s="9">
        <f t="shared" ca="1" si="218"/>
        <v>45404.878290162036</v>
      </c>
      <c r="L3506" s="10">
        <f t="shared" ca="1" si="219"/>
        <v>45404.878290046297</v>
      </c>
    </row>
    <row r="3507" spans="6:12" x14ac:dyDescent="0.25">
      <c r="F3507" s="11" t="str">
        <f>IF(ISBLANK(D3507),"",(VLOOKUP(D3507,Cardápio!$A$2:$B$16,2,0))*E3507)</f>
        <v/>
      </c>
      <c r="H3507" s="7" t="str">
        <f t="shared" si="216"/>
        <v/>
      </c>
      <c r="I3507" s="7" t="str">
        <f>IF(AND(ISBLANK(D3507),ISBLANK(C3507)),"",((VLOOKUP(D3507,Cardápio!$A$2:$C$16,3,0))*E3507)+IF(B3507="iFood",F3507*0.27,(VLOOKUP(VENDAS!C3507,Bairros!$A$2:$B$90,2,0))))</f>
        <v/>
      </c>
      <c r="J3507" s="7" t="str">
        <f t="shared" si="217"/>
        <v/>
      </c>
      <c r="K3507" s="9">
        <f t="shared" ca="1" si="218"/>
        <v>45404.878290162036</v>
      </c>
      <c r="L3507" s="10">
        <f t="shared" ca="1" si="219"/>
        <v>45404.878290162036</v>
      </c>
    </row>
    <row r="3508" spans="6:12" x14ac:dyDescent="0.25">
      <c r="F3508" s="11" t="str">
        <f>IF(ISBLANK(D3508),"",(VLOOKUP(D3508,Cardápio!$A$2:$B$16,2,0))*E3508)</f>
        <v/>
      </c>
      <c r="H3508" s="7" t="str">
        <f t="shared" si="216"/>
        <v/>
      </c>
      <c r="I3508" s="7" t="str">
        <f>IF(AND(ISBLANK(D3508),ISBLANK(C3508)),"",((VLOOKUP(D3508,Cardápio!$A$2:$C$16,3,0))*E3508)+IF(B3508="iFood",F3508*0.27,(VLOOKUP(VENDAS!C3508,Bairros!$A$2:$B$90,2,0))))</f>
        <v/>
      </c>
      <c r="J3508" s="7" t="str">
        <f t="shared" si="217"/>
        <v/>
      </c>
      <c r="K3508" s="9">
        <f t="shared" ca="1" si="218"/>
        <v>45404.878290162036</v>
      </c>
      <c r="L3508" s="10">
        <f t="shared" ca="1" si="219"/>
        <v>45404.878290046297</v>
      </c>
    </row>
    <row r="3509" spans="6:12" x14ac:dyDescent="0.25">
      <c r="F3509" s="11" t="str">
        <f>IF(ISBLANK(D3509),"",(VLOOKUP(D3509,Cardápio!$A$2:$B$16,2,0))*E3509)</f>
        <v/>
      </c>
      <c r="H3509" s="7" t="str">
        <f t="shared" ref="H3509:H3572" si="220">IF(ISBLANK(D3509),"",F3509-G3509)</f>
        <v/>
      </c>
      <c r="I3509" s="7" t="str">
        <f>IF(AND(ISBLANK(D3509),ISBLANK(C3509)),"",((VLOOKUP(D3509,Cardápio!$A$2:$C$16,3,0))*E3509)+IF(B3509="iFood",F3509*0.27,(VLOOKUP(VENDAS!C3509,Bairros!$A$2:$B$90,2,0))))</f>
        <v/>
      </c>
      <c r="J3509" s="7" t="str">
        <f t="shared" ref="J3509:J3572" si="221">IF(OR(AND(ISBLANK(H3509),ISBLANK(I3509)),(AND(H3509="",I3509=""))),"",H3509-I3509)</f>
        <v/>
      </c>
      <c r="K3509" s="9">
        <f t="shared" ref="K3509:K3572" ca="1" si="222">IF(D3509&lt;&gt;"",K3509,NOW())</f>
        <v>45404.878290277775</v>
      </c>
      <c r="L3509" s="10">
        <f t="shared" ref="L3509:L3572" ca="1" si="223">IF(D3509&lt;&gt;"",L3509,NOW())</f>
        <v>45404.878290046297</v>
      </c>
    </row>
    <row r="3510" spans="6:12" x14ac:dyDescent="0.25">
      <c r="F3510" s="11" t="str">
        <f>IF(ISBLANK(D3510),"",(VLOOKUP(D3510,Cardápio!$A$2:$B$16,2,0))*E3510)</f>
        <v/>
      </c>
      <c r="H3510" s="7" t="str">
        <f t="shared" si="220"/>
        <v/>
      </c>
      <c r="I3510" s="7" t="str">
        <f>IF(AND(ISBLANK(D3510),ISBLANK(C3510)),"",((VLOOKUP(D3510,Cardápio!$A$2:$C$16,3,0))*E3510)+IF(B3510="iFood",F3510*0.27,(VLOOKUP(VENDAS!C3510,Bairros!$A$2:$B$90,2,0))))</f>
        <v/>
      </c>
      <c r="J3510" s="7" t="str">
        <f t="shared" si="221"/>
        <v/>
      </c>
      <c r="K3510" s="9">
        <f t="shared" ca="1" si="222"/>
        <v>45404.878290162036</v>
      </c>
      <c r="L3510" s="10">
        <f t="shared" ca="1" si="223"/>
        <v>45404.878290046297</v>
      </c>
    </row>
    <row r="3511" spans="6:12" x14ac:dyDescent="0.25">
      <c r="F3511" s="11" t="str">
        <f>IF(ISBLANK(D3511),"",(VLOOKUP(D3511,Cardápio!$A$2:$B$16,2,0))*E3511)</f>
        <v/>
      </c>
      <c r="H3511" s="7" t="str">
        <f t="shared" si="220"/>
        <v/>
      </c>
      <c r="I3511" s="7" t="str">
        <f>IF(AND(ISBLANK(D3511),ISBLANK(C3511)),"",((VLOOKUP(D3511,Cardápio!$A$2:$C$16,3,0))*E3511)+IF(B3511="iFood",F3511*0.27,(VLOOKUP(VENDAS!C3511,Bairros!$A$2:$B$90,2,0))))</f>
        <v/>
      </c>
      <c r="J3511" s="7" t="str">
        <f t="shared" si="221"/>
        <v/>
      </c>
      <c r="K3511" s="9">
        <f t="shared" ca="1" si="222"/>
        <v>45404.878290162036</v>
      </c>
      <c r="L3511" s="10">
        <f t="shared" ca="1" si="223"/>
        <v>45404.878290162036</v>
      </c>
    </row>
    <row r="3512" spans="6:12" x14ac:dyDescent="0.25">
      <c r="F3512" s="11" t="str">
        <f>IF(ISBLANK(D3512),"",(VLOOKUP(D3512,Cardápio!$A$2:$B$16,2,0))*E3512)</f>
        <v/>
      </c>
      <c r="H3512" s="7" t="str">
        <f t="shared" si="220"/>
        <v/>
      </c>
      <c r="I3512" s="7" t="str">
        <f>IF(AND(ISBLANK(D3512),ISBLANK(C3512)),"",((VLOOKUP(D3512,Cardápio!$A$2:$C$16,3,0))*E3512)+IF(B3512="iFood",F3512*0.27,(VLOOKUP(VENDAS!C3512,Bairros!$A$2:$B$90,2,0))))</f>
        <v/>
      </c>
      <c r="J3512" s="7" t="str">
        <f t="shared" si="221"/>
        <v/>
      </c>
      <c r="K3512" s="9">
        <f t="shared" ca="1" si="222"/>
        <v>45404.878290162036</v>
      </c>
      <c r="L3512" s="10">
        <f t="shared" ca="1" si="223"/>
        <v>45404.878290046297</v>
      </c>
    </row>
    <row r="3513" spans="6:12" x14ac:dyDescent="0.25">
      <c r="F3513" s="11" t="str">
        <f>IF(ISBLANK(D3513),"",(VLOOKUP(D3513,Cardápio!$A$2:$B$16,2,0))*E3513)</f>
        <v/>
      </c>
      <c r="H3513" s="7" t="str">
        <f t="shared" si="220"/>
        <v/>
      </c>
      <c r="I3513" s="7" t="str">
        <f>IF(AND(ISBLANK(D3513),ISBLANK(C3513)),"",((VLOOKUP(D3513,Cardápio!$A$2:$C$16,3,0))*E3513)+IF(B3513="iFood",F3513*0.27,(VLOOKUP(VENDAS!C3513,Bairros!$A$2:$B$90,2,0))))</f>
        <v/>
      </c>
      <c r="J3513" s="7" t="str">
        <f t="shared" si="221"/>
        <v/>
      </c>
      <c r="K3513" s="9">
        <f t="shared" ca="1" si="222"/>
        <v>45404.878290277775</v>
      </c>
      <c r="L3513" s="10">
        <f t="shared" ca="1" si="223"/>
        <v>45404.878290046297</v>
      </c>
    </row>
    <row r="3514" spans="6:12" x14ac:dyDescent="0.25">
      <c r="F3514" s="11" t="str">
        <f>IF(ISBLANK(D3514),"",(VLOOKUP(D3514,Cardápio!$A$2:$B$16,2,0))*E3514)</f>
        <v/>
      </c>
      <c r="H3514" s="7" t="str">
        <f t="shared" si="220"/>
        <v/>
      </c>
      <c r="I3514" s="7" t="str">
        <f>IF(AND(ISBLANK(D3514),ISBLANK(C3514)),"",((VLOOKUP(D3514,Cardápio!$A$2:$C$16,3,0))*E3514)+IF(B3514="iFood",F3514*0.27,(VLOOKUP(VENDAS!C3514,Bairros!$A$2:$B$90,2,0))))</f>
        <v/>
      </c>
      <c r="J3514" s="7" t="str">
        <f t="shared" si="221"/>
        <v/>
      </c>
      <c r="K3514" s="9">
        <f t="shared" ca="1" si="222"/>
        <v>45404.878290162036</v>
      </c>
      <c r="L3514" s="10">
        <f t="shared" ca="1" si="223"/>
        <v>45404.878290046297</v>
      </c>
    </row>
    <row r="3515" spans="6:12" x14ac:dyDescent="0.25">
      <c r="F3515" s="11" t="str">
        <f>IF(ISBLANK(D3515),"",(VLOOKUP(D3515,Cardápio!$A$2:$B$16,2,0))*E3515)</f>
        <v/>
      </c>
      <c r="H3515" s="7" t="str">
        <f t="shared" si="220"/>
        <v/>
      </c>
      <c r="I3515" s="7" t="str">
        <f>IF(AND(ISBLANK(D3515),ISBLANK(C3515)),"",((VLOOKUP(D3515,Cardápio!$A$2:$C$16,3,0))*E3515)+IF(B3515="iFood",F3515*0.27,(VLOOKUP(VENDAS!C3515,Bairros!$A$2:$B$90,2,0))))</f>
        <v/>
      </c>
      <c r="J3515" s="7" t="str">
        <f t="shared" si="221"/>
        <v/>
      </c>
      <c r="K3515" s="9">
        <f t="shared" ca="1" si="222"/>
        <v>45404.878290162036</v>
      </c>
      <c r="L3515" s="10">
        <f t="shared" ca="1" si="223"/>
        <v>45404.878290162036</v>
      </c>
    </row>
    <row r="3516" spans="6:12" x14ac:dyDescent="0.25">
      <c r="F3516" s="11" t="str">
        <f>IF(ISBLANK(D3516),"",(VLOOKUP(D3516,Cardápio!$A$2:$B$16,2,0))*E3516)</f>
        <v/>
      </c>
      <c r="H3516" s="7" t="str">
        <f t="shared" si="220"/>
        <v/>
      </c>
      <c r="I3516" s="7" t="str">
        <f>IF(AND(ISBLANK(D3516),ISBLANK(C3516)),"",((VLOOKUP(D3516,Cardápio!$A$2:$C$16,3,0))*E3516)+IF(B3516="iFood",F3516*0.27,(VLOOKUP(VENDAS!C3516,Bairros!$A$2:$B$90,2,0))))</f>
        <v/>
      </c>
      <c r="J3516" s="7" t="str">
        <f t="shared" si="221"/>
        <v/>
      </c>
      <c r="K3516" s="9">
        <f t="shared" ca="1" si="222"/>
        <v>45404.878290162036</v>
      </c>
      <c r="L3516" s="10">
        <f t="shared" ca="1" si="223"/>
        <v>45404.878290046297</v>
      </c>
    </row>
    <row r="3517" spans="6:12" x14ac:dyDescent="0.25">
      <c r="F3517" s="11" t="str">
        <f>IF(ISBLANK(D3517),"",(VLOOKUP(D3517,Cardápio!$A$2:$B$16,2,0))*E3517)</f>
        <v/>
      </c>
      <c r="H3517" s="7" t="str">
        <f t="shared" si="220"/>
        <v/>
      </c>
      <c r="I3517" s="7" t="str">
        <f>IF(AND(ISBLANK(D3517),ISBLANK(C3517)),"",((VLOOKUP(D3517,Cardápio!$A$2:$C$16,3,0))*E3517)+IF(B3517="iFood",F3517*0.27,(VLOOKUP(VENDAS!C3517,Bairros!$A$2:$B$90,2,0))))</f>
        <v/>
      </c>
      <c r="J3517" s="7" t="str">
        <f t="shared" si="221"/>
        <v/>
      </c>
      <c r="K3517" s="9">
        <f t="shared" ca="1" si="222"/>
        <v>45404.878290277775</v>
      </c>
      <c r="L3517" s="10">
        <f t="shared" ca="1" si="223"/>
        <v>45404.878290046297</v>
      </c>
    </row>
    <row r="3518" spans="6:12" x14ac:dyDescent="0.25">
      <c r="F3518" s="11" t="str">
        <f>IF(ISBLANK(D3518),"",(VLOOKUP(D3518,Cardápio!$A$2:$B$16,2,0))*E3518)</f>
        <v/>
      </c>
      <c r="H3518" s="7" t="str">
        <f t="shared" si="220"/>
        <v/>
      </c>
      <c r="I3518" s="7" t="str">
        <f>IF(AND(ISBLANK(D3518),ISBLANK(C3518)),"",((VLOOKUP(D3518,Cardápio!$A$2:$C$16,3,0))*E3518)+IF(B3518="iFood",F3518*0.27,(VLOOKUP(VENDAS!C3518,Bairros!$A$2:$B$90,2,0))))</f>
        <v/>
      </c>
      <c r="J3518" s="7" t="str">
        <f t="shared" si="221"/>
        <v/>
      </c>
      <c r="K3518" s="9">
        <f t="shared" ca="1" si="222"/>
        <v>45404.878290162036</v>
      </c>
      <c r="L3518" s="10">
        <f t="shared" ca="1" si="223"/>
        <v>45404.878290046297</v>
      </c>
    </row>
    <row r="3519" spans="6:12" x14ac:dyDescent="0.25">
      <c r="F3519" s="11" t="str">
        <f>IF(ISBLANK(D3519),"",(VLOOKUP(D3519,Cardápio!$A$2:$B$16,2,0))*E3519)</f>
        <v/>
      </c>
      <c r="H3519" s="7" t="str">
        <f t="shared" si="220"/>
        <v/>
      </c>
      <c r="I3519" s="7" t="str">
        <f>IF(AND(ISBLANK(D3519),ISBLANK(C3519)),"",((VLOOKUP(D3519,Cardápio!$A$2:$C$16,3,0))*E3519)+IF(B3519="iFood",F3519*0.27,(VLOOKUP(VENDAS!C3519,Bairros!$A$2:$B$90,2,0))))</f>
        <v/>
      </c>
      <c r="J3519" s="7" t="str">
        <f t="shared" si="221"/>
        <v/>
      </c>
      <c r="K3519" s="9">
        <f t="shared" ca="1" si="222"/>
        <v>45404.878290162036</v>
      </c>
      <c r="L3519" s="10">
        <f t="shared" ca="1" si="223"/>
        <v>45404.878290162036</v>
      </c>
    </row>
    <row r="3520" spans="6:12" x14ac:dyDescent="0.25">
      <c r="F3520" s="11" t="str">
        <f>IF(ISBLANK(D3520),"",(VLOOKUP(D3520,Cardápio!$A$2:$B$16,2,0))*E3520)</f>
        <v/>
      </c>
      <c r="H3520" s="7" t="str">
        <f t="shared" si="220"/>
        <v/>
      </c>
      <c r="I3520" s="7" t="str">
        <f>IF(AND(ISBLANK(D3520),ISBLANK(C3520)),"",((VLOOKUP(D3520,Cardápio!$A$2:$C$16,3,0))*E3520)+IF(B3520="iFood",F3520*0.27,(VLOOKUP(VENDAS!C3520,Bairros!$A$2:$B$90,2,0))))</f>
        <v/>
      </c>
      <c r="J3520" s="7" t="str">
        <f t="shared" si="221"/>
        <v/>
      </c>
      <c r="K3520" s="9">
        <f t="shared" ca="1" si="222"/>
        <v>45404.878290162036</v>
      </c>
      <c r="L3520" s="10">
        <f t="shared" ca="1" si="223"/>
        <v>45404.878290046297</v>
      </c>
    </row>
    <row r="3521" spans="6:12" x14ac:dyDescent="0.25">
      <c r="F3521" s="11" t="str">
        <f>IF(ISBLANK(D3521),"",(VLOOKUP(D3521,Cardápio!$A$2:$B$16,2,0))*E3521)</f>
        <v/>
      </c>
      <c r="H3521" s="7" t="str">
        <f t="shared" si="220"/>
        <v/>
      </c>
      <c r="I3521" s="7" t="str">
        <f>IF(AND(ISBLANK(D3521),ISBLANK(C3521)),"",((VLOOKUP(D3521,Cardápio!$A$2:$C$16,3,0))*E3521)+IF(B3521="iFood",F3521*0.27,(VLOOKUP(VENDAS!C3521,Bairros!$A$2:$B$90,2,0))))</f>
        <v/>
      </c>
      <c r="J3521" s="7" t="str">
        <f t="shared" si="221"/>
        <v/>
      </c>
      <c r="K3521" s="9">
        <f t="shared" ca="1" si="222"/>
        <v>45404.878290277775</v>
      </c>
      <c r="L3521" s="10">
        <f t="shared" ca="1" si="223"/>
        <v>45404.878290046297</v>
      </c>
    </row>
    <row r="3522" spans="6:12" x14ac:dyDescent="0.25">
      <c r="F3522" s="11" t="str">
        <f>IF(ISBLANK(D3522),"",(VLOOKUP(D3522,Cardápio!$A$2:$B$16,2,0))*E3522)</f>
        <v/>
      </c>
      <c r="H3522" s="7" t="str">
        <f t="shared" si="220"/>
        <v/>
      </c>
      <c r="I3522" s="7" t="str">
        <f>IF(AND(ISBLANK(D3522),ISBLANK(C3522)),"",((VLOOKUP(D3522,Cardápio!$A$2:$C$16,3,0))*E3522)+IF(B3522="iFood",F3522*0.27,(VLOOKUP(VENDAS!C3522,Bairros!$A$2:$B$90,2,0))))</f>
        <v/>
      </c>
      <c r="J3522" s="7" t="str">
        <f t="shared" si="221"/>
        <v/>
      </c>
      <c r="K3522" s="9">
        <f t="shared" ca="1" si="222"/>
        <v>45404.878290162036</v>
      </c>
      <c r="L3522" s="10">
        <f t="shared" ca="1" si="223"/>
        <v>45404.878290046297</v>
      </c>
    </row>
    <row r="3523" spans="6:12" x14ac:dyDescent="0.25">
      <c r="F3523" s="11" t="str">
        <f>IF(ISBLANK(D3523),"",(VLOOKUP(D3523,Cardápio!$A$2:$B$16,2,0))*E3523)</f>
        <v/>
      </c>
      <c r="H3523" s="7" t="str">
        <f t="shared" si="220"/>
        <v/>
      </c>
      <c r="I3523" s="7" t="str">
        <f>IF(AND(ISBLANK(D3523),ISBLANK(C3523)),"",((VLOOKUP(D3523,Cardápio!$A$2:$C$16,3,0))*E3523)+IF(B3523="iFood",F3523*0.27,(VLOOKUP(VENDAS!C3523,Bairros!$A$2:$B$90,2,0))))</f>
        <v/>
      </c>
      <c r="J3523" s="7" t="str">
        <f t="shared" si="221"/>
        <v/>
      </c>
      <c r="K3523" s="9">
        <f t="shared" ca="1" si="222"/>
        <v>45404.878290162036</v>
      </c>
      <c r="L3523" s="10">
        <f t="shared" ca="1" si="223"/>
        <v>45404.878290162036</v>
      </c>
    </row>
    <row r="3524" spans="6:12" x14ac:dyDescent="0.25">
      <c r="F3524" s="11" t="str">
        <f>IF(ISBLANK(D3524),"",(VLOOKUP(D3524,Cardápio!$A$2:$B$16,2,0))*E3524)</f>
        <v/>
      </c>
      <c r="H3524" s="7" t="str">
        <f t="shared" si="220"/>
        <v/>
      </c>
      <c r="I3524" s="7" t="str">
        <f>IF(AND(ISBLANK(D3524),ISBLANK(C3524)),"",((VLOOKUP(D3524,Cardápio!$A$2:$C$16,3,0))*E3524)+IF(B3524="iFood",F3524*0.27,(VLOOKUP(VENDAS!C3524,Bairros!$A$2:$B$90,2,0))))</f>
        <v/>
      </c>
      <c r="J3524" s="7" t="str">
        <f t="shared" si="221"/>
        <v/>
      </c>
      <c r="K3524" s="9">
        <f t="shared" ca="1" si="222"/>
        <v>45404.878290162036</v>
      </c>
      <c r="L3524" s="10">
        <f t="shared" ca="1" si="223"/>
        <v>45404.878290046297</v>
      </c>
    </row>
    <row r="3525" spans="6:12" x14ac:dyDescent="0.25">
      <c r="F3525" s="11" t="str">
        <f>IF(ISBLANK(D3525),"",(VLOOKUP(D3525,Cardápio!$A$2:$B$16,2,0))*E3525)</f>
        <v/>
      </c>
      <c r="H3525" s="7" t="str">
        <f t="shared" si="220"/>
        <v/>
      </c>
      <c r="I3525" s="7" t="str">
        <f>IF(AND(ISBLANK(D3525),ISBLANK(C3525)),"",((VLOOKUP(D3525,Cardápio!$A$2:$C$16,3,0))*E3525)+IF(B3525="iFood",F3525*0.27,(VLOOKUP(VENDAS!C3525,Bairros!$A$2:$B$90,2,0))))</f>
        <v/>
      </c>
      <c r="J3525" s="7" t="str">
        <f t="shared" si="221"/>
        <v/>
      </c>
      <c r="K3525" s="9">
        <f t="shared" ca="1" si="222"/>
        <v>45404.878290277775</v>
      </c>
      <c r="L3525" s="10">
        <f t="shared" ca="1" si="223"/>
        <v>45404.878290046297</v>
      </c>
    </row>
    <row r="3526" spans="6:12" x14ac:dyDescent="0.25">
      <c r="F3526" s="11" t="str">
        <f>IF(ISBLANK(D3526),"",(VLOOKUP(D3526,Cardápio!$A$2:$B$16,2,0))*E3526)</f>
        <v/>
      </c>
      <c r="H3526" s="7" t="str">
        <f t="shared" si="220"/>
        <v/>
      </c>
      <c r="I3526" s="7" t="str">
        <f>IF(AND(ISBLANK(D3526),ISBLANK(C3526)),"",((VLOOKUP(D3526,Cardápio!$A$2:$C$16,3,0))*E3526)+IF(B3526="iFood",F3526*0.27,(VLOOKUP(VENDAS!C3526,Bairros!$A$2:$B$90,2,0))))</f>
        <v/>
      </c>
      <c r="J3526" s="7" t="str">
        <f t="shared" si="221"/>
        <v/>
      </c>
      <c r="K3526" s="9">
        <f t="shared" ca="1" si="222"/>
        <v>45404.878290162036</v>
      </c>
      <c r="L3526" s="10">
        <f t="shared" ca="1" si="223"/>
        <v>45404.878290046297</v>
      </c>
    </row>
    <row r="3527" spans="6:12" x14ac:dyDescent="0.25">
      <c r="F3527" s="11" t="str">
        <f>IF(ISBLANK(D3527),"",(VLOOKUP(D3527,Cardápio!$A$2:$B$16,2,0))*E3527)</f>
        <v/>
      </c>
      <c r="H3527" s="7" t="str">
        <f t="shared" si="220"/>
        <v/>
      </c>
      <c r="I3527" s="7" t="str">
        <f>IF(AND(ISBLANK(D3527),ISBLANK(C3527)),"",((VLOOKUP(D3527,Cardápio!$A$2:$C$16,3,0))*E3527)+IF(B3527="iFood",F3527*0.27,(VLOOKUP(VENDAS!C3527,Bairros!$A$2:$B$90,2,0))))</f>
        <v/>
      </c>
      <c r="J3527" s="7" t="str">
        <f t="shared" si="221"/>
        <v/>
      </c>
      <c r="K3527" s="9">
        <f t="shared" ca="1" si="222"/>
        <v>45404.878290162036</v>
      </c>
      <c r="L3527" s="10">
        <f t="shared" ca="1" si="223"/>
        <v>45404.878290162036</v>
      </c>
    </row>
    <row r="3528" spans="6:12" x14ac:dyDescent="0.25">
      <c r="F3528" s="11" t="str">
        <f>IF(ISBLANK(D3528),"",(VLOOKUP(D3528,Cardápio!$A$2:$B$16,2,0))*E3528)</f>
        <v/>
      </c>
      <c r="H3528" s="7" t="str">
        <f t="shared" si="220"/>
        <v/>
      </c>
      <c r="I3528" s="7" t="str">
        <f>IF(AND(ISBLANK(D3528),ISBLANK(C3528)),"",((VLOOKUP(D3528,Cardápio!$A$2:$C$16,3,0))*E3528)+IF(B3528="iFood",F3528*0.27,(VLOOKUP(VENDAS!C3528,Bairros!$A$2:$B$90,2,0))))</f>
        <v/>
      </c>
      <c r="J3528" s="7" t="str">
        <f t="shared" si="221"/>
        <v/>
      </c>
      <c r="K3528" s="9">
        <f t="shared" ca="1" si="222"/>
        <v>45404.878290162036</v>
      </c>
      <c r="L3528" s="10">
        <f t="shared" ca="1" si="223"/>
        <v>45404.878290046297</v>
      </c>
    </row>
    <row r="3529" spans="6:12" x14ac:dyDescent="0.25">
      <c r="F3529" s="11" t="str">
        <f>IF(ISBLANK(D3529),"",(VLOOKUP(D3529,Cardápio!$A$2:$B$16,2,0))*E3529)</f>
        <v/>
      </c>
      <c r="H3529" s="7" t="str">
        <f t="shared" si="220"/>
        <v/>
      </c>
      <c r="I3529" s="7" t="str">
        <f>IF(AND(ISBLANK(D3529),ISBLANK(C3529)),"",((VLOOKUP(D3529,Cardápio!$A$2:$C$16,3,0))*E3529)+IF(B3529="iFood",F3529*0.27,(VLOOKUP(VENDAS!C3529,Bairros!$A$2:$B$90,2,0))))</f>
        <v/>
      </c>
      <c r="J3529" s="7" t="str">
        <f t="shared" si="221"/>
        <v/>
      </c>
      <c r="K3529" s="9">
        <f t="shared" ca="1" si="222"/>
        <v>45404.878290277775</v>
      </c>
      <c r="L3529" s="10">
        <f t="shared" ca="1" si="223"/>
        <v>45404.878290046297</v>
      </c>
    </row>
    <row r="3530" spans="6:12" x14ac:dyDescent="0.25">
      <c r="F3530" s="11" t="str">
        <f>IF(ISBLANK(D3530),"",(VLOOKUP(D3530,Cardápio!$A$2:$B$16,2,0))*E3530)</f>
        <v/>
      </c>
      <c r="H3530" s="7" t="str">
        <f t="shared" si="220"/>
        <v/>
      </c>
      <c r="I3530" s="7" t="str">
        <f>IF(AND(ISBLANK(D3530),ISBLANK(C3530)),"",((VLOOKUP(D3530,Cardápio!$A$2:$C$16,3,0))*E3530)+IF(B3530="iFood",F3530*0.27,(VLOOKUP(VENDAS!C3530,Bairros!$A$2:$B$90,2,0))))</f>
        <v/>
      </c>
      <c r="J3530" s="7" t="str">
        <f t="shared" si="221"/>
        <v/>
      </c>
      <c r="K3530" s="9">
        <f t="shared" ca="1" si="222"/>
        <v>45404.878290162036</v>
      </c>
      <c r="L3530" s="10">
        <f t="shared" ca="1" si="223"/>
        <v>45404.878290046297</v>
      </c>
    </row>
    <row r="3531" spans="6:12" x14ac:dyDescent="0.25">
      <c r="F3531" s="11" t="str">
        <f>IF(ISBLANK(D3531),"",(VLOOKUP(D3531,Cardápio!$A$2:$B$16,2,0))*E3531)</f>
        <v/>
      </c>
      <c r="H3531" s="7" t="str">
        <f t="shared" si="220"/>
        <v/>
      </c>
      <c r="I3531" s="7" t="str">
        <f>IF(AND(ISBLANK(D3531),ISBLANK(C3531)),"",((VLOOKUP(D3531,Cardápio!$A$2:$C$16,3,0))*E3531)+IF(B3531="iFood",F3531*0.27,(VLOOKUP(VENDAS!C3531,Bairros!$A$2:$B$90,2,0))))</f>
        <v/>
      </c>
      <c r="J3531" s="7" t="str">
        <f t="shared" si="221"/>
        <v/>
      </c>
      <c r="K3531" s="9">
        <f t="shared" ca="1" si="222"/>
        <v>45404.878290162036</v>
      </c>
      <c r="L3531" s="10">
        <f t="shared" ca="1" si="223"/>
        <v>45404.878290162036</v>
      </c>
    </row>
    <row r="3532" spans="6:12" x14ac:dyDescent="0.25">
      <c r="F3532" s="11" t="str">
        <f>IF(ISBLANK(D3532),"",(VLOOKUP(D3532,Cardápio!$A$2:$B$16,2,0))*E3532)</f>
        <v/>
      </c>
      <c r="H3532" s="7" t="str">
        <f t="shared" si="220"/>
        <v/>
      </c>
      <c r="I3532" s="7" t="str">
        <f>IF(AND(ISBLANK(D3532),ISBLANK(C3532)),"",((VLOOKUP(D3532,Cardápio!$A$2:$C$16,3,0))*E3532)+IF(B3532="iFood",F3532*0.27,(VLOOKUP(VENDAS!C3532,Bairros!$A$2:$B$90,2,0))))</f>
        <v/>
      </c>
      <c r="J3532" s="7" t="str">
        <f t="shared" si="221"/>
        <v/>
      </c>
      <c r="K3532" s="9">
        <f t="shared" ca="1" si="222"/>
        <v>45404.878290162036</v>
      </c>
      <c r="L3532" s="10">
        <f t="shared" ca="1" si="223"/>
        <v>45404.878290046297</v>
      </c>
    </row>
    <row r="3533" spans="6:12" x14ac:dyDescent="0.25">
      <c r="F3533" s="11" t="str">
        <f>IF(ISBLANK(D3533),"",(VLOOKUP(D3533,Cardápio!$A$2:$B$16,2,0))*E3533)</f>
        <v/>
      </c>
      <c r="H3533" s="7" t="str">
        <f t="shared" si="220"/>
        <v/>
      </c>
      <c r="I3533" s="7" t="str">
        <f>IF(AND(ISBLANK(D3533),ISBLANK(C3533)),"",((VLOOKUP(D3533,Cardápio!$A$2:$C$16,3,0))*E3533)+IF(B3533="iFood",F3533*0.27,(VLOOKUP(VENDAS!C3533,Bairros!$A$2:$B$90,2,0))))</f>
        <v/>
      </c>
      <c r="J3533" s="7" t="str">
        <f t="shared" si="221"/>
        <v/>
      </c>
      <c r="K3533" s="9">
        <f t="shared" ca="1" si="222"/>
        <v>45404.878290277775</v>
      </c>
      <c r="L3533" s="10">
        <f t="shared" ca="1" si="223"/>
        <v>45404.878290046297</v>
      </c>
    </row>
    <row r="3534" spans="6:12" x14ac:dyDescent="0.25">
      <c r="F3534" s="11" t="str">
        <f>IF(ISBLANK(D3534),"",(VLOOKUP(D3534,Cardápio!$A$2:$B$16,2,0))*E3534)</f>
        <v/>
      </c>
      <c r="H3534" s="7" t="str">
        <f t="shared" si="220"/>
        <v/>
      </c>
      <c r="I3534" s="7" t="str">
        <f>IF(AND(ISBLANK(D3534),ISBLANK(C3534)),"",((VLOOKUP(D3534,Cardápio!$A$2:$C$16,3,0))*E3534)+IF(B3534="iFood",F3534*0.27,(VLOOKUP(VENDAS!C3534,Bairros!$A$2:$B$90,2,0))))</f>
        <v/>
      </c>
      <c r="J3534" s="7" t="str">
        <f t="shared" si="221"/>
        <v/>
      </c>
      <c r="K3534" s="9">
        <f t="shared" ca="1" si="222"/>
        <v>45404.878290162036</v>
      </c>
      <c r="L3534" s="10">
        <f t="shared" ca="1" si="223"/>
        <v>45404.878290046297</v>
      </c>
    </row>
    <row r="3535" spans="6:12" x14ac:dyDescent="0.25">
      <c r="F3535" s="11" t="str">
        <f>IF(ISBLANK(D3535),"",(VLOOKUP(D3535,Cardápio!$A$2:$B$16,2,0))*E3535)</f>
        <v/>
      </c>
      <c r="H3535" s="7" t="str">
        <f t="shared" si="220"/>
        <v/>
      </c>
      <c r="I3535" s="7" t="str">
        <f>IF(AND(ISBLANK(D3535),ISBLANK(C3535)),"",((VLOOKUP(D3535,Cardápio!$A$2:$C$16,3,0))*E3535)+IF(B3535="iFood",F3535*0.27,(VLOOKUP(VENDAS!C3535,Bairros!$A$2:$B$90,2,0))))</f>
        <v/>
      </c>
      <c r="J3535" s="7" t="str">
        <f t="shared" si="221"/>
        <v/>
      </c>
      <c r="K3535" s="9">
        <f t="shared" ca="1" si="222"/>
        <v>45404.878290162036</v>
      </c>
      <c r="L3535" s="10">
        <f t="shared" ca="1" si="223"/>
        <v>45404.878290162036</v>
      </c>
    </row>
    <row r="3536" spans="6:12" x14ac:dyDescent="0.25">
      <c r="F3536" s="11" t="str">
        <f>IF(ISBLANK(D3536),"",(VLOOKUP(D3536,Cardápio!$A$2:$B$16,2,0))*E3536)</f>
        <v/>
      </c>
      <c r="H3536" s="7" t="str">
        <f t="shared" si="220"/>
        <v/>
      </c>
      <c r="I3536" s="7" t="str">
        <f>IF(AND(ISBLANK(D3536),ISBLANK(C3536)),"",((VLOOKUP(D3536,Cardápio!$A$2:$C$16,3,0))*E3536)+IF(B3536="iFood",F3536*0.27,(VLOOKUP(VENDAS!C3536,Bairros!$A$2:$B$90,2,0))))</f>
        <v/>
      </c>
      <c r="J3536" s="7" t="str">
        <f t="shared" si="221"/>
        <v/>
      </c>
      <c r="K3536" s="9">
        <f t="shared" ca="1" si="222"/>
        <v>45404.878290162036</v>
      </c>
      <c r="L3536" s="10">
        <f t="shared" ca="1" si="223"/>
        <v>45404.878290046297</v>
      </c>
    </row>
    <row r="3537" spans="6:12" x14ac:dyDescent="0.25">
      <c r="F3537" s="11" t="str">
        <f>IF(ISBLANK(D3537),"",(VLOOKUP(D3537,Cardápio!$A$2:$B$16,2,0))*E3537)</f>
        <v/>
      </c>
      <c r="H3537" s="7" t="str">
        <f t="shared" si="220"/>
        <v/>
      </c>
      <c r="I3537" s="7" t="str">
        <f>IF(AND(ISBLANK(D3537),ISBLANK(C3537)),"",((VLOOKUP(D3537,Cardápio!$A$2:$C$16,3,0))*E3537)+IF(B3537="iFood",F3537*0.27,(VLOOKUP(VENDAS!C3537,Bairros!$A$2:$B$90,2,0))))</f>
        <v/>
      </c>
      <c r="J3537" s="7" t="str">
        <f t="shared" si="221"/>
        <v/>
      </c>
      <c r="K3537" s="9">
        <f t="shared" ca="1" si="222"/>
        <v>45404.878290277775</v>
      </c>
      <c r="L3537" s="10">
        <f t="shared" ca="1" si="223"/>
        <v>45404.878290046297</v>
      </c>
    </row>
    <row r="3538" spans="6:12" x14ac:dyDescent="0.25">
      <c r="F3538" s="11" t="str">
        <f>IF(ISBLANK(D3538),"",(VLOOKUP(D3538,Cardápio!$A$2:$B$16,2,0))*E3538)</f>
        <v/>
      </c>
      <c r="H3538" s="7" t="str">
        <f t="shared" si="220"/>
        <v/>
      </c>
      <c r="I3538" s="7" t="str">
        <f>IF(AND(ISBLANK(D3538),ISBLANK(C3538)),"",((VLOOKUP(D3538,Cardápio!$A$2:$C$16,3,0))*E3538)+IF(B3538="iFood",F3538*0.27,(VLOOKUP(VENDAS!C3538,Bairros!$A$2:$B$90,2,0))))</f>
        <v/>
      </c>
      <c r="J3538" s="7" t="str">
        <f t="shared" si="221"/>
        <v/>
      </c>
      <c r="K3538" s="9">
        <f t="shared" ca="1" si="222"/>
        <v>45404.878290162036</v>
      </c>
      <c r="L3538" s="10">
        <f t="shared" ca="1" si="223"/>
        <v>45404.878290046297</v>
      </c>
    </row>
    <row r="3539" spans="6:12" x14ac:dyDescent="0.25">
      <c r="F3539" s="11" t="str">
        <f>IF(ISBLANK(D3539),"",(VLOOKUP(D3539,Cardápio!$A$2:$B$16,2,0))*E3539)</f>
        <v/>
      </c>
      <c r="H3539" s="7" t="str">
        <f t="shared" si="220"/>
        <v/>
      </c>
      <c r="I3539" s="7" t="str">
        <f>IF(AND(ISBLANK(D3539),ISBLANK(C3539)),"",((VLOOKUP(D3539,Cardápio!$A$2:$C$16,3,0))*E3539)+IF(B3539="iFood",F3539*0.27,(VLOOKUP(VENDAS!C3539,Bairros!$A$2:$B$90,2,0))))</f>
        <v/>
      </c>
      <c r="J3539" s="7" t="str">
        <f t="shared" si="221"/>
        <v/>
      </c>
      <c r="K3539" s="9">
        <f t="shared" ca="1" si="222"/>
        <v>45404.878290162036</v>
      </c>
      <c r="L3539" s="10">
        <f t="shared" ca="1" si="223"/>
        <v>45404.878290162036</v>
      </c>
    </row>
    <row r="3540" spans="6:12" x14ac:dyDescent="0.25">
      <c r="F3540" s="11" t="str">
        <f>IF(ISBLANK(D3540),"",(VLOOKUP(D3540,Cardápio!$A$2:$B$16,2,0))*E3540)</f>
        <v/>
      </c>
      <c r="H3540" s="7" t="str">
        <f t="shared" si="220"/>
        <v/>
      </c>
      <c r="I3540" s="7" t="str">
        <f>IF(AND(ISBLANK(D3540),ISBLANK(C3540)),"",((VLOOKUP(D3540,Cardápio!$A$2:$C$16,3,0))*E3540)+IF(B3540="iFood",F3540*0.27,(VLOOKUP(VENDAS!C3540,Bairros!$A$2:$B$90,2,0))))</f>
        <v/>
      </c>
      <c r="J3540" s="7" t="str">
        <f t="shared" si="221"/>
        <v/>
      </c>
      <c r="K3540" s="9">
        <f t="shared" ca="1" si="222"/>
        <v>45404.878290162036</v>
      </c>
      <c r="L3540" s="10">
        <f t="shared" ca="1" si="223"/>
        <v>45404.878290046297</v>
      </c>
    </row>
    <row r="3541" spans="6:12" x14ac:dyDescent="0.25">
      <c r="F3541" s="11" t="str">
        <f>IF(ISBLANK(D3541),"",(VLOOKUP(D3541,Cardápio!$A$2:$B$16,2,0))*E3541)</f>
        <v/>
      </c>
      <c r="H3541" s="7" t="str">
        <f t="shared" si="220"/>
        <v/>
      </c>
      <c r="I3541" s="7" t="str">
        <f>IF(AND(ISBLANK(D3541),ISBLANK(C3541)),"",((VLOOKUP(D3541,Cardápio!$A$2:$C$16,3,0))*E3541)+IF(B3541="iFood",F3541*0.27,(VLOOKUP(VENDAS!C3541,Bairros!$A$2:$B$90,2,0))))</f>
        <v/>
      </c>
      <c r="J3541" s="7" t="str">
        <f t="shared" si="221"/>
        <v/>
      </c>
      <c r="K3541" s="9">
        <f t="shared" ca="1" si="222"/>
        <v>45404.878290277775</v>
      </c>
      <c r="L3541" s="10">
        <f t="shared" ca="1" si="223"/>
        <v>45404.878290046297</v>
      </c>
    </row>
    <row r="3542" spans="6:12" x14ac:dyDescent="0.25">
      <c r="F3542" s="11" t="str">
        <f>IF(ISBLANK(D3542),"",(VLOOKUP(D3542,Cardápio!$A$2:$B$16,2,0))*E3542)</f>
        <v/>
      </c>
      <c r="H3542" s="7" t="str">
        <f t="shared" si="220"/>
        <v/>
      </c>
      <c r="I3542" s="7" t="str">
        <f>IF(AND(ISBLANK(D3542),ISBLANK(C3542)),"",((VLOOKUP(D3542,Cardápio!$A$2:$C$16,3,0))*E3542)+IF(B3542="iFood",F3542*0.27,(VLOOKUP(VENDAS!C3542,Bairros!$A$2:$B$90,2,0))))</f>
        <v/>
      </c>
      <c r="J3542" s="7" t="str">
        <f t="shared" si="221"/>
        <v/>
      </c>
      <c r="K3542" s="9">
        <f t="shared" ca="1" si="222"/>
        <v>45404.878290162036</v>
      </c>
      <c r="L3542" s="10">
        <f t="shared" ca="1" si="223"/>
        <v>45404.878290046297</v>
      </c>
    </row>
    <row r="3543" spans="6:12" x14ac:dyDescent="0.25">
      <c r="F3543" s="11" t="str">
        <f>IF(ISBLANK(D3543),"",(VLOOKUP(D3543,Cardápio!$A$2:$B$16,2,0))*E3543)</f>
        <v/>
      </c>
      <c r="H3543" s="7" t="str">
        <f t="shared" si="220"/>
        <v/>
      </c>
      <c r="I3543" s="7" t="str">
        <f>IF(AND(ISBLANK(D3543),ISBLANK(C3543)),"",((VLOOKUP(D3543,Cardápio!$A$2:$C$16,3,0))*E3543)+IF(B3543="iFood",F3543*0.27,(VLOOKUP(VENDAS!C3543,Bairros!$A$2:$B$90,2,0))))</f>
        <v/>
      </c>
      <c r="J3543" s="7" t="str">
        <f t="shared" si="221"/>
        <v/>
      </c>
      <c r="K3543" s="9">
        <f t="shared" ca="1" si="222"/>
        <v>45404.878290162036</v>
      </c>
      <c r="L3543" s="10">
        <f t="shared" ca="1" si="223"/>
        <v>45404.878290162036</v>
      </c>
    </row>
    <row r="3544" spans="6:12" x14ac:dyDescent="0.25">
      <c r="F3544" s="11" t="str">
        <f>IF(ISBLANK(D3544),"",(VLOOKUP(D3544,Cardápio!$A$2:$B$16,2,0))*E3544)</f>
        <v/>
      </c>
      <c r="H3544" s="7" t="str">
        <f t="shared" si="220"/>
        <v/>
      </c>
      <c r="I3544" s="7" t="str">
        <f>IF(AND(ISBLANK(D3544),ISBLANK(C3544)),"",((VLOOKUP(D3544,Cardápio!$A$2:$C$16,3,0))*E3544)+IF(B3544="iFood",F3544*0.27,(VLOOKUP(VENDAS!C3544,Bairros!$A$2:$B$90,2,0))))</f>
        <v/>
      </c>
      <c r="J3544" s="7" t="str">
        <f t="shared" si="221"/>
        <v/>
      </c>
      <c r="K3544" s="9">
        <f t="shared" ca="1" si="222"/>
        <v>45404.878290162036</v>
      </c>
      <c r="L3544" s="10">
        <f t="shared" ca="1" si="223"/>
        <v>45404.878290046297</v>
      </c>
    </row>
    <row r="3545" spans="6:12" x14ac:dyDescent="0.25">
      <c r="F3545" s="11" t="str">
        <f>IF(ISBLANK(D3545),"",(VLOOKUP(D3545,Cardápio!$A$2:$B$16,2,0))*E3545)</f>
        <v/>
      </c>
      <c r="H3545" s="7" t="str">
        <f t="shared" si="220"/>
        <v/>
      </c>
      <c r="I3545" s="7" t="str">
        <f>IF(AND(ISBLANK(D3545),ISBLANK(C3545)),"",((VLOOKUP(D3545,Cardápio!$A$2:$C$16,3,0))*E3545)+IF(B3545="iFood",F3545*0.27,(VLOOKUP(VENDAS!C3545,Bairros!$A$2:$B$90,2,0))))</f>
        <v/>
      </c>
      <c r="J3545" s="7" t="str">
        <f t="shared" si="221"/>
        <v/>
      </c>
      <c r="K3545" s="9">
        <f t="shared" ca="1" si="222"/>
        <v>45404.878290277775</v>
      </c>
      <c r="L3545" s="10">
        <f t="shared" ca="1" si="223"/>
        <v>45404.878290046297</v>
      </c>
    </row>
    <row r="3546" spans="6:12" x14ac:dyDescent="0.25">
      <c r="F3546" s="11" t="str">
        <f>IF(ISBLANK(D3546),"",(VLOOKUP(D3546,Cardápio!$A$2:$B$16,2,0))*E3546)</f>
        <v/>
      </c>
      <c r="H3546" s="7" t="str">
        <f t="shared" si="220"/>
        <v/>
      </c>
      <c r="I3546" s="7" t="str">
        <f>IF(AND(ISBLANK(D3546),ISBLANK(C3546)),"",((VLOOKUP(D3546,Cardápio!$A$2:$C$16,3,0))*E3546)+IF(B3546="iFood",F3546*0.27,(VLOOKUP(VENDAS!C3546,Bairros!$A$2:$B$90,2,0))))</f>
        <v/>
      </c>
      <c r="J3546" s="7" t="str">
        <f t="shared" si="221"/>
        <v/>
      </c>
      <c r="K3546" s="9">
        <f t="shared" ca="1" si="222"/>
        <v>45404.878290162036</v>
      </c>
      <c r="L3546" s="10">
        <f t="shared" ca="1" si="223"/>
        <v>45404.878290046297</v>
      </c>
    </row>
    <row r="3547" spans="6:12" x14ac:dyDescent="0.25">
      <c r="F3547" s="11" t="str">
        <f>IF(ISBLANK(D3547),"",(VLOOKUP(D3547,Cardápio!$A$2:$B$16,2,0))*E3547)</f>
        <v/>
      </c>
      <c r="H3547" s="7" t="str">
        <f t="shared" si="220"/>
        <v/>
      </c>
      <c r="I3547" s="7" t="str">
        <f>IF(AND(ISBLANK(D3547),ISBLANK(C3547)),"",((VLOOKUP(D3547,Cardápio!$A$2:$C$16,3,0))*E3547)+IF(B3547="iFood",F3547*0.27,(VLOOKUP(VENDAS!C3547,Bairros!$A$2:$B$90,2,0))))</f>
        <v/>
      </c>
      <c r="J3547" s="7" t="str">
        <f t="shared" si="221"/>
        <v/>
      </c>
      <c r="K3547" s="9">
        <f t="shared" ca="1" si="222"/>
        <v>45404.878290162036</v>
      </c>
      <c r="L3547" s="10">
        <f t="shared" ca="1" si="223"/>
        <v>45404.878290162036</v>
      </c>
    </row>
    <row r="3548" spans="6:12" x14ac:dyDescent="0.25">
      <c r="F3548" s="11" t="str">
        <f>IF(ISBLANK(D3548),"",(VLOOKUP(D3548,Cardápio!$A$2:$B$16,2,0))*E3548)</f>
        <v/>
      </c>
      <c r="H3548" s="7" t="str">
        <f t="shared" si="220"/>
        <v/>
      </c>
      <c r="I3548" s="7" t="str">
        <f>IF(AND(ISBLANK(D3548),ISBLANK(C3548)),"",((VLOOKUP(D3548,Cardápio!$A$2:$C$16,3,0))*E3548)+IF(B3548="iFood",F3548*0.27,(VLOOKUP(VENDAS!C3548,Bairros!$A$2:$B$90,2,0))))</f>
        <v/>
      </c>
      <c r="J3548" s="7" t="str">
        <f t="shared" si="221"/>
        <v/>
      </c>
      <c r="K3548" s="9">
        <f t="shared" ca="1" si="222"/>
        <v>45404.878290162036</v>
      </c>
      <c r="L3548" s="10">
        <f t="shared" ca="1" si="223"/>
        <v>45404.878290046297</v>
      </c>
    </row>
    <row r="3549" spans="6:12" x14ac:dyDescent="0.25">
      <c r="F3549" s="11" t="str">
        <f>IF(ISBLANK(D3549),"",(VLOOKUP(D3549,Cardápio!$A$2:$B$16,2,0))*E3549)</f>
        <v/>
      </c>
      <c r="H3549" s="7" t="str">
        <f t="shared" si="220"/>
        <v/>
      </c>
      <c r="I3549" s="7" t="str">
        <f>IF(AND(ISBLANK(D3549),ISBLANK(C3549)),"",((VLOOKUP(D3549,Cardápio!$A$2:$C$16,3,0))*E3549)+IF(B3549="iFood",F3549*0.27,(VLOOKUP(VENDAS!C3549,Bairros!$A$2:$B$90,2,0))))</f>
        <v/>
      </c>
      <c r="J3549" s="7" t="str">
        <f t="shared" si="221"/>
        <v/>
      </c>
      <c r="K3549" s="9">
        <f t="shared" ca="1" si="222"/>
        <v>45404.878290277775</v>
      </c>
      <c r="L3549" s="10">
        <f t="shared" ca="1" si="223"/>
        <v>45404.878290046297</v>
      </c>
    </row>
    <row r="3550" spans="6:12" x14ac:dyDescent="0.25">
      <c r="F3550" s="11" t="str">
        <f>IF(ISBLANK(D3550),"",(VLOOKUP(D3550,Cardápio!$A$2:$B$16,2,0))*E3550)</f>
        <v/>
      </c>
      <c r="H3550" s="7" t="str">
        <f t="shared" si="220"/>
        <v/>
      </c>
      <c r="I3550" s="7" t="str">
        <f>IF(AND(ISBLANK(D3550),ISBLANK(C3550)),"",((VLOOKUP(D3550,Cardápio!$A$2:$C$16,3,0))*E3550)+IF(B3550="iFood",F3550*0.27,(VLOOKUP(VENDAS!C3550,Bairros!$A$2:$B$90,2,0))))</f>
        <v/>
      </c>
      <c r="J3550" s="7" t="str">
        <f t="shared" si="221"/>
        <v/>
      </c>
      <c r="K3550" s="9">
        <f t="shared" ca="1" si="222"/>
        <v>45404.878290162036</v>
      </c>
      <c r="L3550" s="10">
        <f t="shared" ca="1" si="223"/>
        <v>45404.878290046297</v>
      </c>
    </row>
    <row r="3551" spans="6:12" x14ac:dyDescent="0.25">
      <c r="F3551" s="11" t="str">
        <f>IF(ISBLANK(D3551),"",(VLOOKUP(D3551,Cardápio!$A$2:$B$16,2,0))*E3551)</f>
        <v/>
      </c>
      <c r="H3551" s="7" t="str">
        <f t="shared" si="220"/>
        <v/>
      </c>
      <c r="I3551" s="7" t="str">
        <f>IF(AND(ISBLANK(D3551),ISBLANK(C3551)),"",((VLOOKUP(D3551,Cardápio!$A$2:$C$16,3,0))*E3551)+IF(B3551="iFood",F3551*0.27,(VLOOKUP(VENDAS!C3551,Bairros!$A$2:$B$90,2,0))))</f>
        <v/>
      </c>
      <c r="J3551" s="7" t="str">
        <f t="shared" si="221"/>
        <v/>
      </c>
      <c r="K3551" s="9">
        <f t="shared" ca="1" si="222"/>
        <v>45404.878290162036</v>
      </c>
      <c r="L3551" s="10">
        <f t="shared" ca="1" si="223"/>
        <v>45404.878290162036</v>
      </c>
    </row>
    <row r="3552" spans="6:12" x14ac:dyDescent="0.25">
      <c r="F3552" s="11" t="str">
        <f>IF(ISBLANK(D3552),"",(VLOOKUP(D3552,Cardápio!$A$2:$B$16,2,0))*E3552)</f>
        <v/>
      </c>
      <c r="H3552" s="7" t="str">
        <f t="shared" si="220"/>
        <v/>
      </c>
      <c r="I3552" s="7" t="str">
        <f>IF(AND(ISBLANK(D3552),ISBLANK(C3552)),"",((VLOOKUP(D3552,Cardápio!$A$2:$C$16,3,0))*E3552)+IF(B3552="iFood",F3552*0.27,(VLOOKUP(VENDAS!C3552,Bairros!$A$2:$B$90,2,0))))</f>
        <v/>
      </c>
      <c r="J3552" s="7" t="str">
        <f t="shared" si="221"/>
        <v/>
      </c>
      <c r="K3552" s="9">
        <f t="shared" ca="1" si="222"/>
        <v>45404.878290162036</v>
      </c>
      <c r="L3552" s="10">
        <f t="shared" ca="1" si="223"/>
        <v>45404.878290046297</v>
      </c>
    </row>
    <row r="3553" spans="6:12" x14ac:dyDescent="0.25">
      <c r="F3553" s="11" t="str">
        <f>IF(ISBLANK(D3553),"",(VLOOKUP(D3553,Cardápio!$A$2:$B$16,2,0))*E3553)</f>
        <v/>
      </c>
      <c r="H3553" s="7" t="str">
        <f t="shared" si="220"/>
        <v/>
      </c>
      <c r="I3553" s="7" t="str">
        <f>IF(AND(ISBLANK(D3553),ISBLANK(C3553)),"",((VLOOKUP(D3553,Cardápio!$A$2:$C$16,3,0))*E3553)+IF(B3553="iFood",F3553*0.27,(VLOOKUP(VENDAS!C3553,Bairros!$A$2:$B$90,2,0))))</f>
        <v/>
      </c>
      <c r="J3553" s="7" t="str">
        <f t="shared" si="221"/>
        <v/>
      </c>
      <c r="K3553" s="9">
        <f t="shared" ca="1" si="222"/>
        <v>45404.878290277775</v>
      </c>
      <c r="L3553" s="10">
        <f t="shared" ca="1" si="223"/>
        <v>45404.878290046297</v>
      </c>
    </row>
    <row r="3554" spans="6:12" x14ac:dyDescent="0.25">
      <c r="F3554" s="11" t="str">
        <f>IF(ISBLANK(D3554),"",(VLOOKUP(D3554,Cardápio!$A$2:$B$16,2,0))*E3554)</f>
        <v/>
      </c>
      <c r="H3554" s="7" t="str">
        <f t="shared" si="220"/>
        <v/>
      </c>
      <c r="I3554" s="7" t="str">
        <f>IF(AND(ISBLANK(D3554),ISBLANK(C3554)),"",((VLOOKUP(D3554,Cardápio!$A$2:$C$16,3,0))*E3554)+IF(B3554="iFood",F3554*0.27,(VLOOKUP(VENDAS!C3554,Bairros!$A$2:$B$90,2,0))))</f>
        <v/>
      </c>
      <c r="J3554" s="7" t="str">
        <f t="shared" si="221"/>
        <v/>
      </c>
      <c r="K3554" s="9">
        <f t="shared" ca="1" si="222"/>
        <v>45404.878290162036</v>
      </c>
      <c r="L3554" s="10">
        <f t="shared" ca="1" si="223"/>
        <v>45404.878290046297</v>
      </c>
    </row>
    <row r="3555" spans="6:12" x14ac:dyDescent="0.25">
      <c r="F3555" s="11" t="str">
        <f>IF(ISBLANK(D3555),"",(VLOOKUP(D3555,Cardápio!$A$2:$B$16,2,0))*E3555)</f>
        <v/>
      </c>
      <c r="H3555" s="7" t="str">
        <f t="shared" si="220"/>
        <v/>
      </c>
      <c r="I3555" s="7" t="str">
        <f>IF(AND(ISBLANK(D3555),ISBLANK(C3555)),"",((VLOOKUP(D3555,Cardápio!$A$2:$C$16,3,0))*E3555)+IF(B3555="iFood",F3555*0.27,(VLOOKUP(VENDAS!C3555,Bairros!$A$2:$B$90,2,0))))</f>
        <v/>
      </c>
      <c r="J3555" s="7" t="str">
        <f t="shared" si="221"/>
        <v/>
      </c>
      <c r="K3555" s="9">
        <f t="shared" ca="1" si="222"/>
        <v>45404.878290162036</v>
      </c>
      <c r="L3555" s="10">
        <f t="shared" ca="1" si="223"/>
        <v>45404.878290162036</v>
      </c>
    </row>
    <row r="3556" spans="6:12" x14ac:dyDescent="0.25">
      <c r="F3556" s="11" t="str">
        <f>IF(ISBLANK(D3556),"",(VLOOKUP(D3556,Cardápio!$A$2:$B$16,2,0))*E3556)</f>
        <v/>
      </c>
      <c r="H3556" s="7" t="str">
        <f t="shared" si="220"/>
        <v/>
      </c>
      <c r="I3556" s="7" t="str">
        <f>IF(AND(ISBLANK(D3556),ISBLANK(C3556)),"",((VLOOKUP(D3556,Cardápio!$A$2:$C$16,3,0))*E3556)+IF(B3556="iFood",F3556*0.27,(VLOOKUP(VENDAS!C3556,Bairros!$A$2:$B$90,2,0))))</f>
        <v/>
      </c>
      <c r="J3556" s="7" t="str">
        <f t="shared" si="221"/>
        <v/>
      </c>
      <c r="K3556" s="9">
        <f t="shared" ca="1" si="222"/>
        <v>45404.878290162036</v>
      </c>
      <c r="L3556" s="10">
        <f t="shared" ca="1" si="223"/>
        <v>45404.878290046297</v>
      </c>
    </row>
    <row r="3557" spans="6:12" x14ac:dyDescent="0.25">
      <c r="F3557" s="11" t="str">
        <f>IF(ISBLANK(D3557),"",(VLOOKUP(D3557,Cardápio!$A$2:$B$16,2,0))*E3557)</f>
        <v/>
      </c>
      <c r="H3557" s="7" t="str">
        <f t="shared" si="220"/>
        <v/>
      </c>
      <c r="I3557" s="7" t="str">
        <f>IF(AND(ISBLANK(D3557),ISBLANK(C3557)),"",((VLOOKUP(D3557,Cardápio!$A$2:$C$16,3,0))*E3557)+IF(B3557="iFood",F3557*0.27,(VLOOKUP(VENDAS!C3557,Bairros!$A$2:$B$90,2,0))))</f>
        <v/>
      </c>
      <c r="J3557" s="7" t="str">
        <f t="shared" si="221"/>
        <v/>
      </c>
      <c r="K3557" s="9">
        <f t="shared" ca="1" si="222"/>
        <v>45404.878290277775</v>
      </c>
      <c r="L3557" s="10">
        <f t="shared" ca="1" si="223"/>
        <v>45404.878290046297</v>
      </c>
    </row>
    <row r="3558" spans="6:12" x14ac:dyDescent="0.25">
      <c r="F3558" s="11" t="str">
        <f>IF(ISBLANK(D3558),"",(VLOOKUP(D3558,Cardápio!$A$2:$B$16,2,0))*E3558)</f>
        <v/>
      </c>
      <c r="H3558" s="7" t="str">
        <f t="shared" si="220"/>
        <v/>
      </c>
      <c r="I3558" s="7" t="str">
        <f>IF(AND(ISBLANK(D3558),ISBLANK(C3558)),"",((VLOOKUP(D3558,Cardápio!$A$2:$C$16,3,0))*E3558)+IF(B3558="iFood",F3558*0.27,(VLOOKUP(VENDAS!C3558,Bairros!$A$2:$B$90,2,0))))</f>
        <v/>
      </c>
      <c r="J3558" s="7" t="str">
        <f t="shared" si="221"/>
        <v/>
      </c>
      <c r="K3558" s="9">
        <f t="shared" ca="1" si="222"/>
        <v>45404.878290162036</v>
      </c>
      <c r="L3558" s="10">
        <f t="shared" ca="1" si="223"/>
        <v>45404.878290046297</v>
      </c>
    </row>
    <row r="3559" spans="6:12" x14ac:dyDescent="0.25">
      <c r="F3559" s="11" t="str">
        <f>IF(ISBLANK(D3559),"",(VLOOKUP(D3559,Cardápio!$A$2:$B$16,2,0))*E3559)</f>
        <v/>
      </c>
      <c r="H3559" s="7" t="str">
        <f t="shared" si="220"/>
        <v/>
      </c>
      <c r="I3559" s="7" t="str">
        <f>IF(AND(ISBLANK(D3559),ISBLANK(C3559)),"",((VLOOKUP(D3559,Cardápio!$A$2:$C$16,3,0))*E3559)+IF(B3559="iFood",F3559*0.27,(VLOOKUP(VENDAS!C3559,Bairros!$A$2:$B$90,2,0))))</f>
        <v/>
      </c>
      <c r="J3559" s="7" t="str">
        <f t="shared" si="221"/>
        <v/>
      </c>
      <c r="K3559" s="9">
        <f t="shared" ca="1" si="222"/>
        <v>45404.878290162036</v>
      </c>
      <c r="L3559" s="10">
        <f t="shared" ca="1" si="223"/>
        <v>45404.878290162036</v>
      </c>
    </row>
    <row r="3560" spans="6:12" x14ac:dyDescent="0.25">
      <c r="F3560" s="11" t="str">
        <f>IF(ISBLANK(D3560),"",(VLOOKUP(D3560,Cardápio!$A$2:$B$16,2,0))*E3560)</f>
        <v/>
      </c>
      <c r="H3560" s="7" t="str">
        <f t="shared" si="220"/>
        <v/>
      </c>
      <c r="I3560" s="7" t="str">
        <f>IF(AND(ISBLANK(D3560),ISBLANK(C3560)),"",((VLOOKUP(D3560,Cardápio!$A$2:$C$16,3,0))*E3560)+IF(B3560="iFood",F3560*0.27,(VLOOKUP(VENDAS!C3560,Bairros!$A$2:$B$90,2,0))))</f>
        <v/>
      </c>
      <c r="J3560" s="7" t="str">
        <f t="shared" si="221"/>
        <v/>
      </c>
      <c r="K3560" s="9">
        <f t="shared" ca="1" si="222"/>
        <v>45404.878290162036</v>
      </c>
      <c r="L3560" s="10">
        <f t="shared" ca="1" si="223"/>
        <v>45404.878290046297</v>
      </c>
    </row>
    <row r="3561" spans="6:12" x14ac:dyDescent="0.25">
      <c r="F3561" s="11" t="str">
        <f>IF(ISBLANK(D3561),"",(VLOOKUP(D3561,Cardápio!$A$2:$B$16,2,0))*E3561)</f>
        <v/>
      </c>
      <c r="H3561" s="7" t="str">
        <f t="shared" si="220"/>
        <v/>
      </c>
      <c r="I3561" s="7" t="str">
        <f>IF(AND(ISBLANK(D3561),ISBLANK(C3561)),"",((VLOOKUP(D3561,Cardápio!$A$2:$C$16,3,0))*E3561)+IF(B3561="iFood",F3561*0.27,(VLOOKUP(VENDAS!C3561,Bairros!$A$2:$B$90,2,0))))</f>
        <v/>
      </c>
      <c r="J3561" s="7" t="str">
        <f t="shared" si="221"/>
        <v/>
      </c>
      <c r="K3561" s="9">
        <f t="shared" ca="1" si="222"/>
        <v>45404.878290277775</v>
      </c>
      <c r="L3561" s="10">
        <f t="shared" ca="1" si="223"/>
        <v>45404.878290046297</v>
      </c>
    </row>
    <row r="3562" spans="6:12" x14ac:dyDescent="0.25">
      <c r="F3562" s="11" t="str">
        <f>IF(ISBLANK(D3562),"",(VLOOKUP(D3562,Cardápio!$A$2:$B$16,2,0))*E3562)</f>
        <v/>
      </c>
      <c r="H3562" s="7" t="str">
        <f t="shared" si="220"/>
        <v/>
      </c>
      <c r="I3562" s="7" t="str">
        <f>IF(AND(ISBLANK(D3562),ISBLANK(C3562)),"",((VLOOKUP(D3562,Cardápio!$A$2:$C$16,3,0))*E3562)+IF(B3562="iFood",F3562*0.27,(VLOOKUP(VENDAS!C3562,Bairros!$A$2:$B$90,2,0))))</f>
        <v/>
      </c>
      <c r="J3562" s="7" t="str">
        <f t="shared" si="221"/>
        <v/>
      </c>
      <c r="K3562" s="9">
        <f t="shared" ca="1" si="222"/>
        <v>45404.878290162036</v>
      </c>
      <c r="L3562" s="10">
        <f t="shared" ca="1" si="223"/>
        <v>45404.878290046297</v>
      </c>
    </row>
    <row r="3563" spans="6:12" x14ac:dyDescent="0.25">
      <c r="F3563" s="11" t="str">
        <f>IF(ISBLANK(D3563),"",(VLOOKUP(D3563,Cardápio!$A$2:$B$16,2,0))*E3563)</f>
        <v/>
      </c>
      <c r="H3563" s="7" t="str">
        <f t="shared" si="220"/>
        <v/>
      </c>
      <c r="I3563" s="7" t="str">
        <f>IF(AND(ISBLANK(D3563),ISBLANK(C3563)),"",((VLOOKUP(D3563,Cardápio!$A$2:$C$16,3,0))*E3563)+IF(B3563="iFood",F3563*0.27,(VLOOKUP(VENDAS!C3563,Bairros!$A$2:$B$90,2,0))))</f>
        <v/>
      </c>
      <c r="J3563" s="7" t="str">
        <f t="shared" si="221"/>
        <v/>
      </c>
      <c r="K3563" s="9">
        <f t="shared" ca="1" si="222"/>
        <v>45404.878290162036</v>
      </c>
      <c r="L3563" s="10">
        <f t="shared" ca="1" si="223"/>
        <v>45404.878290162036</v>
      </c>
    </row>
    <row r="3564" spans="6:12" x14ac:dyDescent="0.25">
      <c r="F3564" s="11" t="str">
        <f>IF(ISBLANK(D3564),"",(VLOOKUP(D3564,Cardápio!$A$2:$B$16,2,0))*E3564)</f>
        <v/>
      </c>
      <c r="H3564" s="7" t="str">
        <f t="shared" si="220"/>
        <v/>
      </c>
      <c r="I3564" s="7" t="str">
        <f>IF(AND(ISBLANK(D3564),ISBLANK(C3564)),"",((VLOOKUP(D3564,Cardápio!$A$2:$C$16,3,0))*E3564)+IF(B3564="iFood",F3564*0.27,(VLOOKUP(VENDAS!C3564,Bairros!$A$2:$B$90,2,0))))</f>
        <v/>
      </c>
      <c r="J3564" s="7" t="str">
        <f t="shared" si="221"/>
        <v/>
      </c>
      <c r="K3564" s="9">
        <f t="shared" ca="1" si="222"/>
        <v>45404.878290162036</v>
      </c>
      <c r="L3564" s="10">
        <f t="shared" ca="1" si="223"/>
        <v>45404.878290046297</v>
      </c>
    </row>
    <row r="3565" spans="6:12" x14ac:dyDescent="0.25">
      <c r="F3565" s="11" t="str">
        <f>IF(ISBLANK(D3565),"",(VLOOKUP(D3565,Cardápio!$A$2:$B$16,2,0))*E3565)</f>
        <v/>
      </c>
      <c r="H3565" s="7" t="str">
        <f t="shared" si="220"/>
        <v/>
      </c>
      <c r="I3565" s="7" t="str">
        <f>IF(AND(ISBLANK(D3565),ISBLANK(C3565)),"",((VLOOKUP(D3565,Cardápio!$A$2:$C$16,3,0))*E3565)+IF(B3565="iFood",F3565*0.27,(VLOOKUP(VENDAS!C3565,Bairros!$A$2:$B$90,2,0))))</f>
        <v/>
      </c>
      <c r="J3565" s="7" t="str">
        <f t="shared" si="221"/>
        <v/>
      </c>
      <c r="K3565" s="9">
        <f t="shared" ca="1" si="222"/>
        <v>45404.878290277775</v>
      </c>
      <c r="L3565" s="10">
        <f t="shared" ca="1" si="223"/>
        <v>45404.878290046297</v>
      </c>
    </row>
    <row r="3566" spans="6:12" x14ac:dyDescent="0.25">
      <c r="F3566" s="11" t="str">
        <f>IF(ISBLANK(D3566),"",(VLOOKUP(D3566,Cardápio!$A$2:$B$16,2,0))*E3566)</f>
        <v/>
      </c>
      <c r="H3566" s="7" t="str">
        <f t="shared" si="220"/>
        <v/>
      </c>
      <c r="I3566" s="7" t="str">
        <f>IF(AND(ISBLANK(D3566),ISBLANK(C3566)),"",((VLOOKUP(D3566,Cardápio!$A$2:$C$16,3,0))*E3566)+IF(B3566="iFood",F3566*0.27,(VLOOKUP(VENDAS!C3566,Bairros!$A$2:$B$90,2,0))))</f>
        <v/>
      </c>
      <c r="J3566" s="7" t="str">
        <f t="shared" si="221"/>
        <v/>
      </c>
      <c r="K3566" s="9">
        <f t="shared" ca="1" si="222"/>
        <v>45404.878290162036</v>
      </c>
      <c r="L3566" s="10">
        <f t="shared" ca="1" si="223"/>
        <v>45404.878290046297</v>
      </c>
    </row>
    <row r="3567" spans="6:12" x14ac:dyDescent="0.25">
      <c r="F3567" s="11" t="str">
        <f>IF(ISBLANK(D3567),"",(VLOOKUP(D3567,Cardápio!$A$2:$B$16,2,0))*E3567)</f>
        <v/>
      </c>
      <c r="H3567" s="7" t="str">
        <f t="shared" si="220"/>
        <v/>
      </c>
      <c r="I3567" s="7" t="str">
        <f>IF(AND(ISBLANK(D3567),ISBLANK(C3567)),"",((VLOOKUP(D3567,Cardápio!$A$2:$C$16,3,0))*E3567)+IF(B3567="iFood",F3567*0.27,(VLOOKUP(VENDAS!C3567,Bairros!$A$2:$B$90,2,0))))</f>
        <v/>
      </c>
      <c r="J3567" s="7" t="str">
        <f t="shared" si="221"/>
        <v/>
      </c>
      <c r="K3567" s="9">
        <f t="shared" ca="1" si="222"/>
        <v>45404.878290162036</v>
      </c>
      <c r="L3567" s="10">
        <f t="shared" ca="1" si="223"/>
        <v>45404.878290162036</v>
      </c>
    </row>
    <row r="3568" spans="6:12" x14ac:dyDescent="0.25">
      <c r="F3568" s="11" t="str">
        <f>IF(ISBLANK(D3568),"",(VLOOKUP(D3568,Cardápio!$A$2:$B$16,2,0))*E3568)</f>
        <v/>
      </c>
      <c r="H3568" s="7" t="str">
        <f t="shared" si="220"/>
        <v/>
      </c>
      <c r="I3568" s="7" t="str">
        <f>IF(AND(ISBLANK(D3568),ISBLANK(C3568)),"",((VLOOKUP(D3568,Cardápio!$A$2:$C$16,3,0))*E3568)+IF(B3568="iFood",F3568*0.27,(VLOOKUP(VENDAS!C3568,Bairros!$A$2:$B$90,2,0))))</f>
        <v/>
      </c>
      <c r="J3568" s="7" t="str">
        <f t="shared" si="221"/>
        <v/>
      </c>
      <c r="K3568" s="9">
        <f t="shared" ca="1" si="222"/>
        <v>45404.878290162036</v>
      </c>
      <c r="L3568" s="10">
        <f t="shared" ca="1" si="223"/>
        <v>45404.878290046297</v>
      </c>
    </row>
    <row r="3569" spans="6:12" x14ac:dyDescent="0.25">
      <c r="F3569" s="11" t="str">
        <f>IF(ISBLANK(D3569),"",(VLOOKUP(D3569,Cardápio!$A$2:$B$16,2,0))*E3569)</f>
        <v/>
      </c>
      <c r="H3569" s="7" t="str">
        <f t="shared" si="220"/>
        <v/>
      </c>
      <c r="I3569" s="7" t="str">
        <f>IF(AND(ISBLANK(D3569),ISBLANK(C3569)),"",((VLOOKUP(D3569,Cardápio!$A$2:$C$16,3,0))*E3569)+IF(B3569="iFood",F3569*0.27,(VLOOKUP(VENDAS!C3569,Bairros!$A$2:$B$90,2,0))))</f>
        <v/>
      </c>
      <c r="J3569" s="7" t="str">
        <f t="shared" si="221"/>
        <v/>
      </c>
      <c r="K3569" s="9">
        <f t="shared" ca="1" si="222"/>
        <v>45404.878290277775</v>
      </c>
      <c r="L3569" s="10">
        <f t="shared" ca="1" si="223"/>
        <v>45404.878290046297</v>
      </c>
    </row>
    <row r="3570" spans="6:12" x14ac:dyDescent="0.25">
      <c r="F3570" s="11" t="str">
        <f>IF(ISBLANK(D3570),"",(VLOOKUP(D3570,Cardápio!$A$2:$B$16,2,0))*E3570)</f>
        <v/>
      </c>
      <c r="H3570" s="7" t="str">
        <f t="shared" si="220"/>
        <v/>
      </c>
      <c r="I3570" s="7" t="str">
        <f>IF(AND(ISBLANK(D3570),ISBLANK(C3570)),"",((VLOOKUP(D3570,Cardápio!$A$2:$C$16,3,0))*E3570)+IF(B3570="iFood",F3570*0.27,(VLOOKUP(VENDAS!C3570,Bairros!$A$2:$B$90,2,0))))</f>
        <v/>
      </c>
      <c r="J3570" s="7" t="str">
        <f t="shared" si="221"/>
        <v/>
      </c>
      <c r="K3570" s="9">
        <f t="shared" ca="1" si="222"/>
        <v>45404.878290162036</v>
      </c>
      <c r="L3570" s="10">
        <f t="shared" ca="1" si="223"/>
        <v>45404.878290046297</v>
      </c>
    </row>
    <row r="3571" spans="6:12" x14ac:dyDescent="0.25">
      <c r="F3571" s="11" t="str">
        <f>IF(ISBLANK(D3571),"",(VLOOKUP(D3571,Cardápio!$A$2:$B$16,2,0))*E3571)</f>
        <v/>
      </c>
      <c r="H3571" s="7" t="str">
        <f t="shared" si="220"/>
        <v/>
      </c>
      <c r="I3571" s="7" t="str">
        <f>IF(AND(ISBLANK(D3571),ISBLANK(C3571)),"",((VLOOKUP(D3571,Cardápio!$A$2:$C$16,3,0))*E3571)+IF(B3571="iFood",F3571*0.27,(VLOOKUP(VENDAS!C3571,Bairros!$A$2:$B$90,2,0))))</f>
        <v/>
      </c>
      <c r="J3571" s="7" t="str">
        <f t="shared" si="221"/>
        <v/>
      </c>
      <c r="K3571" s="9">
        <f t="shared" ca="1" si="222"/>
        <v>45404.878290162036</v>
      </c>
      <c r="L3571" s="10">
        <f t="shared" ca="1" si="223"/>
        <v>45404.878290162036</v>
      </c>
    </row>
    <row r="3572" spans="6:12" x14ac:dyDescent="0.25">
      <c r="F3572" s="11" t="str">
        <f>IF(ISBLANK(D3572),"",(VLOOKUP(D3572,Cardápio!$A$2:$B$16,2,0))*E3572)</f>
        <v/>
      </c>
      <c r="H3572" s="7" t="str">
        <f t="shared" si="220"/>
        <v/>
      </c>
      <c r="I3572" s="7" t="str">
        <f>IF(AND(ISBLANK(D3572),ISBLANK(C3572)),"",((VLOOKUP(D3572,Cardápio!$A$2:$C$16,3,0))*E3572)+IF(B3572="iFood",F3572*0.27,(VLOOKUP(VENDAS!C3572,Bairros!$A$2:$B$90,2,0))))</f>
        <v/>
      </c>
      <c r="J3572" s="7" t="str">
        <f t="shared" si="221"/>
        <v/>
      </c>
      <c r="K3572" s="9">
        <f t="shared" ca="1" si="222"/>
        <v>45404.878290162036</v>
      </c>
      <c r="L3572" s="10">
        <f t="shared" ca="1" si="223"/>
        <v>45404.878290046297</v>
      </c>
    </row>
    <row r="3573" spans="6:12" x14ac:dyDescent="0.25">
      <c r="F3573" s="11" t="str">
        <f>IF(ISBLANK(D3573),"",(VLOOKUP(D3573,Cardápio!$A$2:$B$16,2,0))*E3573)</f>
        <v/>
      </c>
      <c r="H3573" s="7" t="str">
        <f t="shared" ref="H3573:H3636" si="224">IF(ISBLANK(D3573),"",F3573-G3573)</f>
        <v/>
      </c>
      <c r="I3573" s="7" t="str">
        <f>IF(AND(ISBLANK(D3573),ISBLANK(C3573)),"",((VLOOKUP(D3573,Cardápio!$A$2:$C$16,3,0))*E3573)+IF(B3573="iFood",F3573*0.27,(VLOOKUP(VENDAS!C3573,Bairros!$A$2:$B$90,2,0))))</f>
        <v/>
      </c>
      <c r="J3573" s="7" t="str">
        <f t="shared" ref="J3573:J3636" si="225">IF(OR(AND(ISBLANK(H3573),ISBLANK(I3573)),(AND(H3573="",I3573=""))),"",H3573-I3573)</f>
        <v/>
      </c>
      <c r="K3573" s="9">
        <f t="shared" ref="K3573:K3636" ca="1" si="226">IF(D3573&lt;&gt;"",K3573,NOW())</f>
        <v>45404.878290277775</v>
      </c>
      <c r="L3573" s="10">
        <f t="shared" ref="L3573:L3636" ca="1" si="227">IF(D3573&lt;&gt;"",L3573,NOW())</f>
        <v>45404.878290046297</v>
      </c>
    </row>
    <row r="3574" spans="6:12" x14ac:dyDescent="0.25">
      <c r="F3574" s="11" t="str">
        <f>IF(ISBLANK(D3574),"",(VLOOKUP(D3574,Cardápio!$A$2:$B$16,2,0))*E3574)</f>
        <v/>
      </c>
      <c r="H3574" s="7" t="str">
        <f t="shared" si="224"/>
        <v/>
      </c>
      <c r="I3574" s="7" t="str">
        <f>IF(AND(ISBLANK(D3574),ISBLANK(C3574)),"",((VLOOKUP(D3574,Cardápio!$A$2:$C$16,3,0))*E3574)+IF(B3574="iFood",F3574*0.27,(VLOOKUP(VENDAS!C3574,Bairros!$A$2:$B$90,2,0))))</f>
        <v/>
      </c>
      <c r="J3574" s="7" t="str">
        <f t="shared" si="225"/>
        <v/>
      </c>
      <c r="K3574" s="9">
        <f t="shared" ca="1" si="226"/>
        <v>45404.878290162036</v>
      </c>
      <c r="L3574" s="10">
        <f t="shared" ca="1" si="227"/>
        <v>45404.878290046297</v>
      </c>
    </row>
    <row r="3575" spans="6:12" x14ac:dyDescent="0.25">
      <c r="F3575" s="11" t="str">
        <f>IF(ISBLANK(D3575),"",(VLOOKUP(D3575,Cardápio!$A$2:$B$16,2,0))*E3575)</f>
        <v/>
      </c>
      <c r="H3575" s="7" t="str">
        <f t="shared" si="224"/>
        <v/>
      </c>
      <c r="I3575" s="7" t="str">
        <f>IF(AND(ISBLANK(D3575),ISBLANK(C3575)),"",((VLOOKUP(D3575,Cardápio!$A$2:$C$16,3,0))*E3575)+IF(B3575="iFood",F3575*0.27,(VLOOKUP(VENDAS!C3575,Bairros!$A$2:$B$90,2,0))))</f>
        <v/>
      </c>
      <c r="J3575" s="7" t="str">
        <f t="shared" si="225"/>
        <v/>
      </c>
      <c r="K3575" s="9">
        <f t="shared" ca="1" si="226"/>
        <v>45404.878290162036</v>
      </c>
      <c r="L3575" s="10">
        <f t="shared" ca="1" si="227"/>
        <v>45404.878290162036</v>
      </c>
    </row>
    <row r="3576" spans="6:12" x14ac:dyDescent="0.25">
      <c r="F3576" s="11" t="str">
        <f>IF(ISBLANK(D3576),"",(VLOOKUP(D3576,Cardápio!$A$2:$B$16,2,0))*E3576)</f>
        <v/>
      </c>
      <c r="H3576" s="7" t="str">
        <f t="shared" si="224"/>
        <v/>
      </c>
      <c r="I3576" s="7" t="str">
        <f>IF(AND(ISBLANK(D3576),ISBLANK(C3576)),"",((VLOOKUP(D3576,Cardápio!$A$2:$C$16,3,0))*E3576)+IF(B3576="iFood",F3576*0.27,(VLOOKUP(VENDAS!C3576,Bairros!$A$2:$B$90,2,0))))</f>
        <v/>
      </c>
      <c r="J3576" s="7" t="str">
        <f t="shared" si="225"/>
        <v/>
      </c>
      <c r="K3576" s="9">
        <f t="shared" ca="1" si="226"/>
        <v>45404.878290162036</v>
      </c>
      <c r="L3576" s="10">
        <f t="shared" ca="1" si="227"/>
        <v>45404.878290046297</v>
      </c>
    </row>
    <row r="3577" spans="6:12" x14ac:dyDescent="0.25">
      <c r="F3577" s="11" t="str">
        <f>IF(ISBLANK(D3577),"",(VLOOKUP(D3577,Cardápio!$A$2:$B$16,2,0))*E3577)</f>
        <v/>
      </c>
      <c r="H3577" s="7" t="str">
        <f t="shared" si="224"/>
        <v/>
      </c>
      <c r="I3577" s="7" t="str">
        <f>IF(AND(ISBLANK(D3577),ISBLANK(C3577)),"",((VLOOKUP(D3577,Cardápio!$A$2:$C$16,3,0))*E3577)+IF(B3577="iFood",F3577*0.27,(VLOOKUP(VENDAS!C3577,Bairros!$A$2:$B$90,2,0))))</f>
        <v/>
      </c>
      <c r="J3577" s="7" t="str">
        <f t="shared" si="225"/>
        <v/>
      </c>
      <c r="K3577" s="9">
        <f t="shared" ca="1" si="226"/>
        <v>45404.878290277775</v>
      </c>
      <c r="L3577" s="10">
        <f t="shared" ca="1" si="227"/>
        <v>45404.878290046297</v>
      </c>
    </row>
    <row r="3578" spans="6:12" x14ac:dyDescent="0.25">
      <c r="F3578" s="11" t="str">
        <f>IF(ISBLANK(D3578),"",(VLOOKUP(D3578,Cardápio!$A$2:$B$16,2,0))*E3578)</f>
        <v/>
      </c>
      <c r="H3578" s="7" t="str">
        <f t="shared" si="224"/>
        <v/>
      </c>
      <c r="I3578" s="7" t="str">
        <f>IF(AND(ISBLANK(D3578),ISBLANK(C3578)),"",((VLOOKUP(D3578,Cardápio!$A$2:$C$16,3,0))*E3578)+IF(B3578="iFood",F3578*0.27,(VLOOKUP(VENDAS!C3578,Bairros!$A$2:$B$90,2,0))))</f>
        <v/>
      </c>
      <c r="J3578" s="7" t="str">
        <f t="shared" si="225"/>
        <v/>
      </c>
      <c r="K3578" s="9">
        <f t="shared" ca="1" si="226"/>
        <v>45404.878290162036</v>
      </c>
      <c r="L3578" s="10">
        <f t="shared" ca="1" si="227"/>
        <v>45404.878290046297</v>
      </c>
    </row>
    <row r="3579" spans="6:12" x14ac:dyDescent="0.25">
      <c r="F3579" s="11" t="str">
        <f>IF(ISBLANK(D3579),"",(VLOOKUP(D3579,Cardápio!$A$2:$B$16,2,0))*E3579)</f>
        <v/>
      </c>
      <c r="H3579" s="7" t="str">
        <f t="shared" si="224"/>
        <v/>
      </c>
      <c r="I3579" s="7" t="str">
        <f>IF(AND(ISBLANK(D3579),ISBLANK(C3579)),"",((VLOOKUP(D3579,Cardápio!$A$2:$C$16,3,0))*E3579)+IF(B3579="iFood",F3579*0.27,(VLOOKUP(VENDAS!C3579,Bairros!$A$2:$B$90,2,0))))</f>
        <v/>
      </c>
      <c r="J3579" s="7" t="str">
        <f t="shared" si="225"/>
        <v/>
      </c>
      <c r="K3579" s="9">
        <f t="shared" ca="1" si="226"/>
        <v>45404.878290162036</v>
      </c>
      <c r="L3579" s="10">
        <f t="shared" ca="1" si="227"/>
        <v>45404.878290162036</v>
      </c>
    </row>
    <row r="3580" spans="6:12" x14ac:dyDescent="0.25">
      <c r="F3580" s="11" t="str">
        <f>IF(ISBLANK(D3580),"",(VLOOKUP(D3580,Cardápio!$A$2:$B$16,2,0))*E3580)</f>
        <v/>
      </c>
      <c r="H3580" s="7" t="str">
        <f t="shared" si="224"/>
        <v/>
      </c>
      <c r="I3580" s="7" t="str">
        <f>IF(AND(ISBLANK(D3580),ISBLANK(C3580)),"",((VLOOKUP(D3580,Cardápio!$A$2:$C$16,3,0))*E3580)+IF(B3580="iFood",F3580*0.27,(VLOOKUP(VENDAS!C3580,Bairros!$A$2:$B$90,2,0))))</f>
        <v/>
      </c>
      <c r="J3580" s="7" t="str">
        <f t="shared" si="225"/>
        <v/>
      </c>
      <c r="K3580" s="9">
        <f t="shared" ca="1" si="226"/>
        <v>45404.878290162036</v>
      </c>
      <c r="L3580" s="10">
        <f t="shared" ca="1" si="227"/>
        <v>45404.878290046297</v>
      </c>
    </row>
    <row r="3581" spans="6:12" x14ac:dyDescent="0.25">
      <c r="F3581" s="11" t="str">
        <f>IF(ISBLANK(D3581),"",(VLOOKUP(D3581,Cardápio!$A$2:$B$16,2,0))*E3581)</f>
        <v/>
      </c>
      <c r="H3581" s="7" t="str">
        <f t="shared" si="224"/>
        <v/>
      </c>
      <c r="I3581" s="7" t="str">
        <f>IF(AND(ISBLANK(D3581),ISBLANK(C3581)),"",((VLOOKUP(D3581,Cardápio!$A$2:$C$16,3,0))*E3581)+IF(B3581="iFood",F3581*0.27,(VLOOKUP(VENDAS!C3581,Bairros!$A$2:$B$90,2,0))))</f>
        <v/>
      </c>
      <c r="J3581" s="7" t="str">
        <f t="shared" si="225"/>
        <v/>
      </c>
      <c r="K3581" s="9">
        <f t="shared" ca="1" si="226"/>
        <v>45404.878290277775</v>
      </c>
      <c r="L3581" s="10">
        <f t="shared" ca="1" si="227"/>
        <v>45404.878290046297</v>
      </c>
    </row>
    <row r="3582" spans="6:12" x14ac:dyDescent="0.25">
      <c r="F3582" s="11" t="str">
        <f>IF(ISBLANK(D3582),"",(VLOOKUP(D3582,Cardápio!$A$2:$B$16,2,0))*E3582)</f>
        <v/>
      </c>
      <c r="H3582" s="7" t="str">
        <f t="shared" si="224"/>
        <v/>
      </c>
      <c r="I3582" s="7" t="str">
        <f>IF(AND(ISBLANK(D3582),ISBLANK(C3582)),"",((VLOOKUP(D3582,Cardápio!$A$2:$C$16,3,0))*E3582)+IF(B3582="iFood",F3582*0.27,(VLOOKUP(VENDAS!C3582,Bairros!$A$2:$B$90,2,0))))</f>
        <v/>
      </c>
      <c r="J3582" s="7" t="str">
        <f t="shared" si="225"/>
        <v/>
      </c>
      <c r="K3582" s="9">
        <f t="shared" ca="1" si="226"/>
        <v>45404.878290162036</v>
      </c>
      <c r="L3582" s="10">
        <f t="shared" ca="1" si="227"/>
        <v>45404.878290046297</v>
      </c>
    </row>
    <row r="3583" spans="6:12" x14ac:dyDescent="0.25">
      <c r="F3583" s="11" t="str">
        <f>IF(ISBLANK(D3583),"",(VLOOKUP(D3583,Cardápio!$A$2:$B$16,2,0))*E3583)</f>
        <v/>
      </c>
      <c r="H3583" s="7" t="str">
        <f t="shared" si="224"/>
        <v/>
      </c>
      <c r="I3583" s="7" t="str">
        <f>IF(AND(ISBLANK(D3583),ISBLANK(C3583)),"",((VLOOKUP(D3583,Cardápio!$A$2:$C$16,3,0))*E3583)+IF(B3583="iFood",F3583*0.27,(VLOOKUP(VENDAS!C3583,Bairros!$A$2:$B$90,2,0))))</f>
        <v/>
      </c>
      <c r="J3583" s="7" t="str">
        <f t="shared" si="225"/>
        <v/>
      </c>
      <c r="K3583" s="9">
        <f t="shared" ca="1" si="226"/>
        <v>45404.878290162036</v>
      </c>
      <c r="L3583" s="10">
        <f t="shared" ca="1" si="227"/>
        <v>45404.878290162036</v>
      </c>
    </row>
    <row r="3584" spans="6:12" x14ac:dyDescent="0.25">
      <c r="F3584" s="11" t="str">
        <f>IF(ISBLANK(D3584),"",(VLOOKUP(D3584,Cardápio!$A$2:$B$16,2,0))*E3584)</f>
        <v/>
      </c>
      <c r="H3584" s="7" t="str">
        <f t="shared" si="224"/>
        <v/>
      </c>
      <c r="I3584" s="7" t="str">
        <f>IF(AND(ISBLANK(D3584),ISBLANK(C3584)),"",((VLOOKUP(D3584,Cardápio!$A$2:$C$16,3,0))*E3584)+IF(B3584="iFood",F3584*0.27,(VLOOKUP(VENDAS!C3584,Bairros!$A$2:$B$90,2,0))))</f>
        <v/>
      </c>
      <c r="J3584" s="7" t="str">
        <f t="shared" si="225"/>
        <v/>
      </c>
      <c r="K3584" s="9">
        <f t="shared" ca="1" si="226"/>
        <v>45404.878290162036</v>
      </c>
      <c r="L3584" s="10">
        <f t="shared" ca="1" si="227"/>
        <v>45404.878290046297</v>
      </c>
    </row>
    <row r="3585" spans="6:12" x14ac:dyDescent="0.25">
      <c r="F3585" s="11" t="str">
        <f>IF(ISBLANK(D3585),"",(VLOOKUP(D3585,Cardápio!$A$2:$B$16,2,0))*E3585)</f>
        <v/>
      </c>
      <c r="H3585" s="7" t="str">
        <f t="shared" si="224"/>
        <v/>
      </c>
      <c r="I3585" s="7" t="str">
        <f>IF(AND(ISBLANK(D3585),ISBLANK(C3585)),"",((VLOOKUP(D3585,Cardápio!$A$2:$C$16,3,0))*E3585)+IF(B3585="iFood",F3585*0.27,(VLOOKUP(VENDAS!C3585,Bairros!$A$2:$B$90,2,0))))</f>
        <v/>
      </c>
      <c r="J3585" s="7" t="str">
        <f t="shared" si="225"/>
        <v/>
      </c>
      <c r="K3585" s="9">
        <f t="shared" ca="1" si="226"/>
        <v>45404.878290277775</v>
      </c>
      <c r="L3585" s="10">
        <f t="shared" ca="1" si="227"/>
        <v>45404.878290046297</v>
      </c>
    </row>
    <row r="3586" spans="6:12" x14ac:dyDescent="0.25">
      <c r="F3586" s="11" t="str">
        <f>IF(ISBLANK(D3586),"",(VLOOKUP(D3586,Cardápio!$A$2:$B$16,2,0))*E3586)</f>
        <v/>
      </c>
      <c r="H3586" s="7" t="str">
        <f t="shared" si="224"/>
        <v/>
      </c>
      <c r="I3586" s="7" t="str">
        <f>IF(AND(ISBLANK(D3586),ISBLANK(C3586)),"",((VLOOKUP(D3586,Cardápio!$A$2:$C$16,3,0))*E3586)+IF(B3586="iFood",F3586*0.27,(VLOOKUP(VENDAS!C3586,Bairros!$A$2:$B$90,2,0))))</f>
        <v/>
      </c>
      <c r="J3586" s="7" t="str">
        <f t="shared" si="225"/>
        <v/>
      </c>
      <c r="K3586" s="9">
        <f t="shared" ca="1" si="226"/>
        <v>45404.878290162036</v>
      </c>
      <c r="L3586" s="10">
        <f t="shared" ca="1" si="227"/>
        <v>45404.878290046297</v>
      </c>
    </row>
    <row r="3587" spans="6:12" x14ac:dyDescent="0.25">
      <c r="F3587" s="11" t="str">
        <f>IF(ISBLANK(D3587),"",(VLOOKUP(D3587,Cardápio!$A$2:$B$16,2,0))*E3587)</f>
        <v/>
      </c>
      <c r="H3587" s="7" t="str">
        <f t="shared" si="224"/>
        <v/>
      </c>
      <c r="I3587" s="7" t="str">
        <f>IF(AND(ISBLANK(D3587),ISBLANK(C3587)),"",((VLOOKUP(D3587,Cardápio!$A$2:$C$16,3,0))*E3587)+IF(B3587="iFood",F3587*0.27,(VLOOKUP(VENDAS!C3587,Bairros!$A$2:$B$90,2,0))))</f>
        <v/>
      </c>
      <c r="J3587" s="7" t="str">
        <f t="shared" si="225"/>
        <v/>
      </c>
      <c r="K3587" s="9">
        <f t="shared" ca="1" si="226"/>
        <v>45404.878290162036</v>
      </c>
      <c r="L3587" s="10">
        <f t="shared" ca="1" si="227"/>
        <v>45404.878290162036</v>
      </c>
    </row>
    <row r="3588" spans="6:12" x14ac:dyDescent="0.25">
      <c r="F3588" s="11" t="str">
        <f>IF(ISBLANK(D3588),"",(VLOOKUP(D3588,Cardápio!$A$2:$B$16,2,0))*E3588)</f>
        <v/>
      </c>
      <c r="H3588" s="7" t="str">
        <f t="shared" si="224"/>
        <v/>
      </c>
      <c r="I3588" s="7" t="str">
        <f>IF(AND(ISBLANK(D3588),ISBLANK(C3588)),"",((VLOOKUP(D3588,Cardápio!$A$2:$C$16,3,0))*E3588)+IF(B3588="iFood",F3588*0.27,(VLOOKUP(VENDAS!C3588,Bairros!$A$2:$B$90,2,0))))</f>
        <v/>
      </c>
      <c r="J3588" s="7" t="str">
        <f t="shared" si="225"/>
        <v/>
      </c>
      <c r="K3588" s="9">
        <f t="shared" ca="1" si="226"/>
        <v>45404.878290162036</v>
      </c>
      <c r="L3588" s="10">
        <f t="shared" ca="1" si="227"/>
        <v>45404.878290046297</v>
      </c>
    </row>
    <row r="3589" spans="6:12" x14ac:dyDescent="0.25">
      <c r="F3589" s="11" t="str">
        <f>IF(ISBLANK(D3589),"",(VLOOKUP(D3589,Cardápio!$A$2:$B$16,2,0))*E3589)</f>
        <v/>
      </c>
      <c r="H3589" s="7" t="str">
        <f t="shared" si="224"/>
        <v/>
      </c>
      <c r="I3589" s="7" t="str">
        <f>IF(AND(ISBLANK(D3589),ISBLANK(C3589)),"",((VLOOKUP(D3589,Cardápio!$A$2:$C$16,3,0))*E3589)+IF(B3589="iFood",F3589*0.27,(VLOOKUP(VENDAS!C3589,Bairros!$A$2:$B$90,2,0))))</f>
        <v/>
      </c>
      <c r="J3589" s="7" t="str">
        <f t="shared" si="225"/>
        <v/>
      </c>
      <c r="K3589" s="9">
        <f t="shared" ca="1" si="226"/>
        <v>45404.878290277775</v>
      </c>
      <c r="L3589" s="10">
        <f t="shared" ca="1" si="227"/>
        <v>45404.878290046297</v>
      </c>
    </row>
    <row r="3590" spans="6:12" x14ac:dyDescent="0.25">
      <c r="F3590" s="11" t="str">
        <f>IF(ISBLANK(D3590),"",(VLOOKUP(D3590,Cardápio!$A$2:$B$16,2,0))*E3590)</f>
        <v/>
      </c>
      <c r="H3590" s="7" t="str">
        <f t="shared" si="224"/>
        <v/>
      </c>
      <c r="I3590" s="7" t="str">
        <f>IF(AND(ISBLANK(D3590),ISBLANK(C3590)),"",((VLOOKUP(D3590,Cardápio!$A$2:$C$16,3,0))*E3590)+IF(B3590="iFood",F3590*0.27,(VLOOKUP(VENDAS!C3590,Bairros!$A$2:$B$90,2,0))))</f>
        <v/>
      </c>
      <c r="J3590" s="7" t="str">
        <f t="shared" si="225"/>
        <v/>
      </c>
      <c r="K3590" s="9">
        <f t="shared" ca="1" si="226"/>
        <v>45404.878290162036</v>
      </c>
      <c r="L3590" s="10">
        <f t="shared" ca="1" si="227"/>
        <v>45404.878290046297</v>
      </c>
    </row>
    <row r="3591" spans="6:12" x14ac:dyDescent="0.25">
      <c r="F3591" s="11" t="str">
        <f>IF(ISBLANK(D3591),"",(VLOOKUP(D3591,Cardápio!$A$2:$B$16,2,0))*E3591)</f>
        <v/>
      </c>
      <c r="H3591" s="7" t="str">
        <f t="shared" si="224"/>
        <v/>
      </c>
      <c r="I3591" s="7" t="str">
        <f>IF(AND(ISBLANK(D3591),ISBLANK(C3591)),"",((VLOOKUP(D3591,Cardápio!$A$2:$C$16,3,0))*E3591)+IF(B3591="iFood",F3591*0.27,(VLOOKUP(VENDAS!C3591,Bairros!$A$2:$B$90,2,0))))</f>
        <v/>
      </c>
      <c r="J3591" s="7" t="str">
        <f t="shared" si="225"/>
        <v/>
      </c>
      <c r="K3591" s="9">
        <f t="shared" ca="1" si="226"/>
        <v>45404.878290162036</v>
      </c>
      <c r="L3591" s="10">
        <f t="shared" ca="1" si="227"/>
        <v>45404.878290162036</v>
      </c>
    </row>
    <row r="3592" spans="6:12" x14ac:dyDescent="0.25">
      <c r="F3592" s="11" t="str">
        <f>IF(ISBLANK(D3592),"",(VLOOKUP(D3592,Cardápio!$A$2:$B$16,2,0))*E3592)</f>
        <v/>
      </c>
      <c r="H3592" s="7" t="str">
        <f t="shared" si="224"/>
        <v/>
      </c>
      <c r="I3592" s="7" t="str">
        <f>IF(AND(ISBLANK(D3592),ISBLANK(C3592)),"",((VLOOKUP(D3592,Cardápio!$A$2:$C$16,3,0))*E3592)+IF(B3592="iFood",F3592*0.27,(VLOOKUP(VENDAS!C3592,Bairros!$A$2:$B$90,2,0))))</f>
        <v/>
      </c>
      <c r="J3592" s="7" t="str">
        <f t="shared" si="225"/>
        <v/>
      </c>
      <c r="K3592" s="9">
        <f t="shared" ca="1" si="226"/>
        <v>45404.878290162036</v>
      </c>
      <c r="L3592" s="10">
        <f t="shared" ca="1" si="227"/>
        <v>45404.878290046297</v>
      </c>
    </row>
    <row r="3593" spans="6:12" x14ac:dyDescent="0.25">
      <c r="F3593" s="11" t="str">
        <f>IF(ISBLANK(D3593),"",(VLOOKUP(D3593,Cardápio!$A$2:$B$16,2,0))*E3593)</f>
        <v/>
      </c>
      <c r="H3593" s="7" t="str">
        <f t="shared" si="224"/>
        <v/>
      </c>
      <c r="I3593" s="7" t="str">
        <f>IF(AND(ISBLANK(D3593),ISBLANK(C3593)),"",((VLOOKUP(D3593,Cardápio!$A$2:$C$16,3,0))*E3593)+IF(B3593="iFood",F3593*0.27,(VLOOKUP(VENDAS!C3593,Bairros!$A$2:$B$90,2,0))))</f>
        <v/>
      </c>
      <c r="J3593" s="7" t="str">
        <f t="shared" si="225"/>
        <v/>
      </c>
      <c r="K3593" s="9">
        <f t="shared" ca="1" si="226"/>
        <v>45404.878290277775</v>
      </c>
      <c r="L3593" s="10">
        <f t="shared" ca="1" si="227"/>
        <v>45404.878290046297</v>
      </c>
    </row>
    <row r="3594" spans="6:12" x14ac:dyDescent="0.25">
      <c r="F3594" s="11" t="str">
        <f>IF(ISBLANK(D3594),"",(VLOOKUP(D3594,Cardápio!$A$2:$B$16,2,0))*E3594)</f>
        <v/>
      </c>
      <c r="H3594" s="7" t="str">
        <f t="shared" si="224"/>
        <v/>
      </c>
      <c r="I3594" s="7" t="str">
        <f>IF(AND(ISBLANK(D3594),ISBLANK(C3594)),"",((VLOOKUP(D3594,Cardápio!$A$2:$C$16,3,0))*E3594)+IF(B3594="iFood",F3594*0.27,(VLOOKUP(VENDAS!C3594,Bairros!$A$2:$B$90,2,0))))</f>
        <v/>
      </c>
      <c r="J3594" s="7" t="str">
        <f t="shared" si="225"/>
        <v/>
      </c>
      <c r="K3594" s="9">
        <f t="shared" ca="1" si="226"/>
        <v>45404.878290162036</v>
      </c>
      <c r="L3594" s="10">
        <f t="shared" ca="1" si="227"/>
        <v>45404.878290046297</v>
      </c>
    </row>
    <row r="3595" spans="6:12" x14ac:dyDescent="0.25">
      <c r="F3595" s="11" t="str">
        <f>IF(ISBLANK(D3595),"",(VLOOKUP(D3595,Cardápio!$A$2:$B$16,2,0))*E3595)</f>
        <v/>
      </c>
      <c r="H3595" s="7" t="str">
        <f t="shared" si="224"/>
        <v/>
      </c>
      <c r="I3595" s="7" t="str">
        <f>IF(AND(ISBLANK(D3595),ISBLANK(C3595)),"",((VLOOKUP(D3595,Cardápio!$A$2:$C$16,3,0))*E3595)+IF(B3595="iFood",F3595*0.27,(VLOOKUP(VENDAS!C3595,Bairros!$A$2:$B$90,2,0))))</f>
        <v/>
      </c>
      <c r="J3595" s="7" t="str">
        <f t="shared" si="225"/>
        <v/>
      </c>
      <c r="K3595" s="9">
        <f t="shared" ca="1" si="226"/>
        <v>45404.878290162036</v>
      </c>
      <c r="L3595" s="10">
        <f t="shared" ca="1" si="227"/>
        <v>45404.878290162036</v>
      </c>
    </row>
    <row r="3596" spans="6:12" x14ac:dyDescent="0.25">
      <c r="F3596" s="11" t="str">
        <f>IF(ISBLANK(D3596),"",(VLOOKUP(D3596,Cardápio!$A$2:$B$16,2,0))*E3596)</f>
        <v/>
      </c>
      <c r="H3596" s="7" t="str">
        <f t="shared" si="224"/>
        <v/>
      </c>
      <c r="I3596" s="7" t="str">
        <f>IF(AND(ISBLANK(D3596),ISBLANK(C3596)),"",((VLOOKUP(D3596,Cardápio!$A$2:$C$16,3,0))*E3596)+IF(B3596="iFood",F3596*0.27,(VLOOKUP(VENDAS!C3596,Bairros!$A$2:$B$90,2,0))))</f>
        <v/>
      </c>
      <c r="J3596" s="7" t="str">
        <f t="shared" si="225"/>
        <v/>
      </c>
      <c r="K3596" s="9">
        <f t="shared" ca="1" si="226"/>
        <v>45404.878290162036</v>
      </c>
      <c r="L3596" s="10">
        <f t="shared" ca="1" si="227"/>
        <v>45404.878290046297</v>
      </c>
    </row>
    <row r="3597" spans="6:12" x14ac:dyDescent="0.25">
      <c r="F3597" s="11" t="str">
        <f>IF(ISBLANK(D3597),"",(VLOOKUP(D3597,Cardápio!$A$2:$B$16,2,0))*E3597)</f>
        <v/>
      </c>
      <c r="H3597" s="7" t="str">
        <f t="shared" si="224"/>
        <v/>
      </c>
      <c r="I3597" s="7" t="str">
        <f>IF(AND(ISBLANK(D3597),ISBLANK(C3597)),"",((VLOOKUP(D3597,Cardápio!$A$2:$C$16,3,0))*E3597)+IF(B3597="iFood",F3597*0.27,(VLOOKUP(VENDAS!C3597,Bairros!$A$2:$B$90,2,0))))</f>
        <v/>
      </c>
      <c r="J3597" s="7" t="str">
        <f t="shared" si="225"/>
        <v/>
      </c>
      <c r="K3597" s="9">
        <f t="shared" ca="1" si="226"/>
        <v>45404.878290277775</v>
      </c>
      <c r="L3597" s="10">
        <f t="shared" ca="1" si="227"/>
        <v>45404.878290046297</v>
      </c>
    </row>
    <row r="3598" spans="6:12" x14ac:dyDescent="0.25">
      <c r="F3598" s="11" t="str">
        <f>IF(ISBLANK(D3598),"",(VLOOKUP(D3598,Cardápio!$A$2:$B$16,2,0))*E3598)</f>
        <v/>
      </c>
      <c r="H3598" s="7" t="str">
        <f t="shared" si="224"/>
        <v/>
      </c>
      <c r="I3598" s="7" t="str">
        <f>IF(AND(ISBLANK(D3598),ISBLANK(C3598)),"",((VLOOKUP(D3598,Cardápio!$A$2:$C$16,3,0))*E3598)+IF(B3598="iFood",F3598*0.27,(VLOOKUP(VENDAS!C3598,Bairros!$A$2:$B$90,2,0))))</f>
        <v/>
      </c>
      <c r="J3598" s="7" t="str">
        <f t="shared" si="225"/>
        <v/>
      </c>
      <c r="K3598" s="9">
        <f t="shared" ca="1" si="226"/>
        <v>45404.878290162036</v>
      </c>
      <c r="L3598" s="10">
        <f t="shared" ca="1" si="227"/>
        <v>45404.878290046297</v>
      </c>
    </row>
    <row r="3599" spans="6:12" x14ac:dyDescent="0.25">
      <c r="F3599" s="11" t="str">
        <f>IF(ISBLANK(D3599),"",(VLOOKUP(D3599,Cardápio!$A$2:$B$16,2,0))*E3599)</f>
        <v/>
      </c>
      <c r="H3599" s="7" t="str">
        <f t="shared" si="224"/>
        <v/>
      </c>
      <c r="I3599" s="7" t="str">
        <f>IF(AND(ISBLANK(D3599),ISBLANK(C3599)),"",((VLOOKUP(D3599,Cardápio!$A$2:$C$16,3,0))*E3599)+IF(B3599="iFood",F3599*0.27,(VLOOKUP(VENDAS!C3599,Bairros!$A$2:$B$90,2,0))))</f>
        <v/>
      </c>
      <c r="J3599" s="7" t="str">
        <f t="shared" si="225"/>
        <v/>
      </c>
      <c r="K3599" s="9">
        <f t="shared" ca="1" si="226"/>
        <v>45404.878290162036</v>
      </c>
      <c r="L3599" s="10">
        <f t="shared" ca="1" si="227"/>
        <v>45404.878290162036</v>
      </c>
    </row>
    <row r="3600" spans="6:12" x14ac:dyDescent="0.25">
      <c r="F3600" s="11" t="str">
        <f>IF(ISBLANK(D3600),"",(VLOOKUP(D3600,Cardápio!$A$2:$B$16,2,0))*E3600)</f>
        <v/>
      </c>
      <c r="H3600" s="7" t="str">
        <f t="shared" si="224"/>
        <v/>
      </c>
      <c r="I3600" s="7" t="str">
        <f>IF(AND(ISBLANK(D3600),ISBLANK(C3600)),"",((VLOOKUP(D3600,Cardápio!$A$2:$C$16,3,0))*E3600)+IF(B3600="iFood",F3600*0.27,(VLOOKUP(VENDAS!C3600,Bairros!$A$2:$B$90,2,0))))</f>
        <v/>
      </c>
      <c r="J3600" s="7" t="str">
        <f t="shared" si="225"/>
        <v/>
      </c>
      <c r="K3600" s="9">
        <f t="shared" ca="1" si="226"/>
        <v>45404.878290162036</v>
      </c>
      <c r="L3600" s="10">
        <f t="shared" ca="1" si="227"/>
        <v>45404.878290046297</v>
      </c>
    </row>
    <row r="3601" spans="6:12" x14ac:dyDescent="0.25">
      <c r="F3601" s="11" t="str">
        <f>IF(ISBLANK(D3601),"",(VLOOKUP(D3601,Cardápio!$A$2:$B$16,2,0))*E3601)</f>
        <v/>
      </c>
      <c r="H3601" s="7" t="str">
        <f t="shared" si="224"/>
        <v/>
      </c>
      <c r="I3601" s="7" t="str">
        <f>IF(AND(ISBLANK(D3601),ISBLANK(C3601)),"",((VLOOKUP(D3601,Cardápio!$A$2:$C$16,3,0))*E3601)+IF(B3601="iFood",F3601*0.27,(VLOOKUP(VENDAS!C3601,Bairros!$A$2:$B$90,2,0))))</f>
        <v/>
      </c>
      <c r="J3601" s="7" t="str">
        <f t="shared" si="225"/>
        <v/>
      </c>
      <c r="K3601" s="9">
        <f t="shared" ca="1" si="226"/>
        <v>45404.878290277775</v>
      </c>
      <c r="L3601" s="10">
        <f t="shared" ca="1" si="227"/>
        <v>45404.878290046297</v>
      </c>
    </row>
    <row r="3602" spans="6:12" x14ac:dyDescent="0.25">
      <c r="F3602" s="11" t="str">
        <f>IF(ISBLANK(D3602),"",(VLOOKUP(D3602,Cardápio!$A$2:$B$16,2,0))*E3602)</f>
        <v/>
      </c>
      <c r="H3602" s="7" t="str">
        <f t="shared" si="224"/>
        <v/>
      </c>
      <c r="I3602" s="7" t="str">
        <f>IF(AND(ISBLANK(D3602),ISBLANK(C3602)),"",((VLOOKUP(D3602,Cardápio!$A$2:$C$16,3,0))*E3602)+IF(B3602="iFood",F3602*0.27,(VLOOKUP(VENDAS!C3602,Bairros!$A$2:$B$90,2,0))))</f>
        <v/>
      </c>
      <c r="J3602" s="7" t="str">
        <f t="shared" si="225"/>
        <v/>
      </c>
      <c r="K3602" s="9">
        <f t="shared" ca="1" si="226"/>
        <v>45404.878290162036</v>
      </c>
      <c r="L3602" s="10">
        <f t="shared" ca="1" si="227"/>
        <v>45404.878290046297</v>
      </c>
    </row>
    <row r="3603" spans="6:12" x14ac:dyDescent="0.25">
      <c r="F3603" s="11" t="str">
        <f>IF(ISBLANK(D3603),"",(VLOOKUP(D3603,Cardápio!$A$2:$B$16,2,0))*E3603)</f>
        <v/>
      </c>
      <c r="H3603" s="7" t="str">
        <f t="shared" si="224"/>
        <v/>
      </c>
      <c r="I3603" s="7" t="str">
        <f>IF(AND(ISBLANK(D3603),ISBLANK(C3603)),"",((VLOOKUP(D3603,Cardápio!$A$2:$C$16,3,0))*E3603)+IF(B3603="iFood",F3603*0.27,(VLOOKUP(VENDAS!C3603,Bairros!$A$2:$B$90,2,0))))</f>
        <v/>
      </c>
      <c r="J3603" s="7" t="str">
        <f t="shared" si="225"/>
        <v/>
      </c>
      <c r="K3603" s="9">
        <f t="shared" ca="1" si="226"/>
        <v>45404.878290162036</v>
      </c>
      <c r="L3603" s="10">
        <f t="shared" ca="1" si="227"/>
        <v>45404.878290162036</v>
      </c>
    </row>
    <row r="3604" spans="6:12" x14ac:dyDescent="0.25">
      <c r="F3604" s="11" t="str">
        <f>IF(ISBLANK(D3604),"",(VLOOKUP(D3604,Cardápio!$A$2:$B$16,2,0))*E3604)</f>
        <v/>
      </c>
      <c r="H3604" s="7" t="str">
        <f t="shared" si="224"/>
        <v/>
      </c>
      <c r="I3604" s="7" t="str">
        <f>IF(AND(ISBLANK(D3604),ISBLANK(C3604)),"",((VLOOKUP(D3604,Cardápio!$A$2:$C$16,3,0))*E3604)+IF(B3604="iFood",F3604*0.27,(VLOOKUP(VENDAS!C3604,Bairros!$A$2:$B$90,2,0))))</f>
        <v/>
      </c>
      <c r="J3604" s="7" t="str">
        <f t="shared" si="225"/>
        <v/>
      </c>
      <c r="K3604" s="9">
        <f t="shared" ca="1" si="226"/>
        <v>45404.878290162036</v>
      </c>
      <c r="L3604" s="10">
        <f t="shared" ca="1" si="227"/>
        <v>45404.878290046297</v>
      </c>
    </row>
    <row r="3605" spans="6:12" x14ac:dyDescent="0.25">
      <c r="F3605" s="11" t="str">
        <f>IF(ISBLANK(D3605),"",(VLOOKUP(D3605,Cardápio!$A$2:$B$16,2,0))*E3605)</f>
        <v/>
      </c>
      <c r="H3605" s="7" t="str">
        <f t="shared" si="224"/>
        <v/>
      </c>
      <c r="I3605" s="7" t="str">
        <f>IF(AND(ISBLANK(D3605),ISBLANK(C3605)),"",((VLOOKUP(D3605,Cardápio!$A$2:$C$16,3,0))*E3605)+IF(B3605="iFood",F3605*0.27,(VLOOKUP(VENDAS!C3605,Bairros!$A$2:$B$90,2,0))))</f>
        <v/>
      </c>
      <c r="J3605" s="7" t="str">
        <f t="shared" si="225"/>
        <v/>
      </c>
      <c r="K3605" s="9">
        <f t="shared" ca="1" si="226"/>
        <v>45404.878290277775</v>
      </c>
      <c r="L3605" s="10">
        <f t="shared" ca="1" si="227"/>
        <v>45404.878290046297</v>
      </c>
    </row>
    <row r="3606" spans="6:12" x14ac:dyDescent="0.25">
      <c r="F3606" s="11" t="str">
        <f>IF(ISBLANK(D3606),"",(VLOOKUP(D3606,Cardápio!$A$2:$B$16,2,0))*E3606)</f>
        <v/>
      </c>
      <c r="H3606" s="7" t="str">
        <f t="shared" si="224"/>
        <v/>
      </c>
      <c r="I3606" s="7" t="str">
        <f>IF(AND(ISBLANK(D3606),ISBLANK(C3606)),"",((VLOOKUP(D3606,Cardápio!$A$2:$C$16,3,0))*E3606)+IF(B3606="iFood",F3606*0.27,(VLOOKUP(VENDAS!C3606,Bairros!$A$2:$B$90,2,0))))</f>
        <v/>
      </c>
      <c r="J3606" s="7" t="str">
        <f t="shared" si="225"/>
        <v/>
      </c>
      <c r="K3606" s="9">
        <f t="shared" ca="1" si="226"/>
        <v>45404.878290162036</v>
      </c>
      <c r="L3606" s="10">
        <f t="shared" ca="1" si="227"/>
        <v>45404.878290046297</v>
      </c>
    </row>
    <row r="3607" spans="6:12" x14ac:dyDescent="0.25">
      <c r="F3607" s="11" t="str">
        <f>IF(ISBLANK(D3607),"",(VLOOKUP(D3607,Cardápio!$A$2:$B$16,2,0))*E3607)</f>
        <v/>
      </c>
      <c r="H3607" s="7" t="str">
        <f t="shared" si="224"/>
        <v/>
      </c>
      <c r="I3607" s="7" t="str">
        <f>IF(AND(ISBLANK(D3607),ISBLANK(C3607)),"",((VLOOKUP(D3607,Cardápio!$A$2:$C$16,3,0))*E3607)+IF(B3607="iFood",F3607*0.27,(VLOOKUP(VENDAS!C3607,Bairros!$A$2:$B$90,2,0))))</f>
        <v/>
      </c>
      <c r="J3607" s="7" t="str">
        <f t="shared" si="225"/>
        <v/>
      </c>
      <c r="K3607" s="9">
        <f t="shared" ca="1" si="226"/>
        <v>45404.878290162036</v>
      </c>
      <c r="L3607" s="10">
        <f t="shared" ca="1" si="227"/>
        <v>45404.878290162036</v>
      </c>
    </row>
    <row r="3608" spans="6:12" x14ac:dyDescent="0.25">
      <c r="F3608" s="11" t="str">
        <f>IF(ISBLANK(D3608),"",(VLOOKUP(D3608,Cardápio!$A$2:$B$16,2,0))*E3608)</f>
        <v/>
      </c>
      <c r="H3608" s="7" t="str">
        <f t="shared" si="224"/>
        <v/>
      </c>
      <c r="I3608" s="7" t="str">
        <f>IF(AND(ISBLANK(D3608),ISBLANK(C3608)),"",((VLOOKUP(D3608,Cardápio!$A$2:$C$16,3,0))*E3608)+IF(B3608="iFood",F3608*0.27,(VLOOKUP(VENDAS!C3608,Bairros!$A$2:$B$90,2,0))))</f>
        <v/>
      </c>
      <c r="J3608" s="7" t="str">
        <f t="shared" si="225"/>
        <v/>
      </c>
      <c r="K3608" s="9">
        <f t="shared" ca="1" si="226"/>
        <v>45404.878290162036</v>
      </c>
      <c r="L3608" s="10">
        <f t="shared" ca="1" si="227"/>
        <v>45404.878290046297</v>
      </c>
    </row>
    <row r="3609" spans="6:12" x14ac:dyDescent="0.25">
      <c r="F3609" s="11" t="str">
        <f>IF(ISBLANK(D3609),"",(VLOOKUP(D3609,Cardápio!$A$2:$B$16,2,0))*E3609)</f>
        <v/>
      </c>
      <c r="H3609" s="7" t="str">
        <f t="shared" si="224"/>
        <v/>
      </c>
      <c r="I3609" s="7" t="str">
        <f>IF(AND(ISBLANK(D3609),ISBLANK(C3609)),"",((VLOOKUP(D3609,Cardápio!$A$2:$C$16,3,0))*E3609)+IF(B3609="iFood",F3609*0.27,(VLOOKUP(VENDAS!C3609,Bairros!$A$2:$B$90,2,0))))</f>
        <v/>
      </c>
      <c r="J3609" s="7" t="str">
        <f t="shared" si="225"/>
        <v/>
      </c>
      <c r="K3609" s="9">
        <f t="shared" ca="1" si="226"/>
        <v>45404.878290277775</v>
      </c>
      <c r="L3609" s="10">
        <f t="shared" ca="1" si="227"/>
        <v>45404.878290046297</v>
      </c>
    </row>
    <row r="3610" spans="6:12" x14ac:dyDescent="0.25">
      <c r="F3610" s="11" t="str">
        <f>IF(ISBLANK(D3610),"",(VLOOKUP(D3610,Cardápio!$A$2:$B$16,2,0))*E3610)</f>
        <v/>
      </c>
      <c r="H3610" s="7" t="str">
        <f t="shared" si="224"/>
        <v/>
      </c>
      <c r="I3610" s="7" t="str">
        <f>IF(AND(ISBLANK(D3610),ISBLANK(C3610)),"",((VLOOKUP(D3610,Cardápio!$A$2:$C$16,3,0))*E3610)+IF(B3610="iFood",F3610*0.27,(VLOOKUP(VENDAS!C3610,Bairros!$A$2:$B$90,2,0))))</f>
        <v/>
      </c>
      <c r="J3610" s="7" t="str">
        <f t="shared" si="225"/>
        <v/>
      </c>
      <c r="K3610" s="9">
        <f t="shared" ca="1" si="226"/>
        <v>45404.878290162036</v>
      </c>
      <c r="L3610" s="10">
        <f t="shared" ca="1" si="227"/>
        <v>45404.878290046297</v>
      </c>
    </row>
    <row r="3611" spans="6:12" x14ac:dyDescent="0.25">
      <c r="F3611" s="11" t="str">
        <f>IF(ISBLANK(D3611),"",(VLOOKUP(D3611,Cardápio!$A$2:$B$16,2,0))*E3611)</f>
        <v/>
      </c>
      <c r="H3611" s="7" t="str">
        <f t="shared" si="224"/>
        <v/>
      </c>
      <c r="I3611" s="7" t="str">
        <f>IF(AND(ISBLANK(D3611),ISBLANK(C3611)),"",((VLOOKUP(D3611,Cardápio!$A$2:$C$16,3,0))*E3611)+IF(B3611="iFood",F3611*0.27,(VLOOKUP(VENDAS!C3611,Bairros!$A$2:$B$90,2,0))))</f>
        <v/>
      </c>
      <c r="J3611" s="7" t="str">
        <f t="shared" si="225"/>
        <v/>
      </c>
      <c r="K3611" s="9">
        <f t="shared" ca="1" si="226"/>
        <v>45404.878290162036</v>
      </c>
      <c r="L3611" s="10">
        <f t="shared" ca="1" si="227"/>
        <v>45404.878290162036</v>
      </c>
    </row>
    <row r="3612" spans="6:12" x14ac:dyDescent="0.25">
      <c r="F3612" s="11" t="str">
        <f>IF(ISBLANK(D3612),"",(VLOOKUP(D3612,Cardápio!$A$2:$B$16,2,0))*E3612)</f>
        <v/>
      </c>
      <c r="H3612" s="7" t="str">
        <f t="shared" si="224"/>
        <v/>
      </c>
      <c r="I3612" s="7" t="str">
        <f>IF(AND(ISBLANK(D3612),ISBLANK(C3612)),"",((VLOOKUP(D3612,Cardápio!$A$2:$C$16,3,0))*E3612)+IF(B3612="iFood",F3612*0.27,(VLOOKUP(VENDAS!C3612,Bairros!$A$2:$B$90,2,0))))</f>
        <v/>
      </c>
      <c r="J3612" s="7" t="str">
        <f t="shared" si="225"/>
        <v/>
      </c>
      <c r="K3612" s="9">
        <f t="shared" ca="1" si="226"/>
        <v>45404.878290162036</v>
      </c>
      <c r="L3612" s="10">
        <f t="shared" ca="1" si="227"/>
        <v>45404.878290046297</v>
      </c>
    </row>
    <row r="3613" spans="6:12" x14ac:dyDescent="0.25">
      <c r="F3613" s="11" t="str">
        <f>IF(ISBLANK(D3613),"",(VLOOKUP(D3613,Cardápio!$A$2:$B$16,2,0))*E3613)</f>
        <v/>
      </c>
      <c r="H3613" s="7" t="str">
        <f t="shared" si="224"/>
        <v/>
      </c>
      <c r="I3613" s="7" t="str">
        <f>IF(AND(ISBLANK(D3613),ISBLANK(C3613)),"",((VLOOKUP(D3613,Cardápio!$A$2:$C$16,3,0))*E3613)+IF(B3613="iFood",F3613*0.27,(VLOOKUP(VENDAS!C3613,Bairros!$A$2:$B$90,2,0))))</f>
        <v/>
      </c>
      <c r="J3613" s="7" t="str">
        <f t="shared" si="225"/>
        <v/>
      </c>
      <c r="K3613" s="9">
        <f t="shared" ca="1" si="226"/>
        <v>45404.878290277775</v>
      </c>
      <c r="L3613" s="10">
        <f t="shared" ca="1" si="227"/>
        <v>45404.878290046297</v>
      </c>
    </row>
    <row r="3614" spans="6:12" x14ac:dyDescent="0.25">
      <c r="F3614" s="11" t="str">
        <f>IF(ISBLANK(D3614),"",(VLOOKUP(D3614,Cardápio!$A$2:$B$16,2,0))*E3614)</f>
        <v/>
      </c>
      <c r="H3614" s="7" t="str">
        <f t="shared" si="224"/>
        <v/>
      </c>
      <c r="I3614" s="7" t="str">
        <f>IF(AND(ISBLANK(D3614),ISBLANK(C3614)),"",((VLOOKUP(D3614,Cardápio!$A$2:$C$16,3,0))*E3614)+IF(B3614="iFood",F3614*0.27,(VLOOKUP(VENDAS!C3614,Bairros!$A$2:$B$90,2,0))))</f>
        <v/>
      </c>
      <c r="J3614" s="7" t="str">
        <f t="shared" si="225"/>
        <v/>
      </c>
      <c r="K3614" s="9">
        <f t="shared" ca="1" si="226"/>
        <v>45404.878290162036</v>
      </c>
      <c r="L3614" s="10">
        <f t="shared" ca="1" si="227"/>
        <v>45404.878290046297</v>
      </c>
    </row>
    <row r="3615" spans="6:12" x14ac:dyDescent="0.25">
      <c r="F3615" s="11" t="str">
        <f>IF(ISBLANK(D3615),"",(VLOOKUP(D3615,Cardápio!$A$2:$B$16,2,0))*E3615)</f>
        <v/>
      </c>
      <c r="H3615" s="7" t="str">
        <f t="shared" si="224"/>
        <v/>
      </c>
      <c r="I3615" s="7" t="str">
        <f>IF(AND(ISBLANK(D3615),ISBLANK(C3615)),"",((VLOOKUP(D3615,Cardápio!$A$2:$C$16,3,0))*E3615)+IF(B3615="iFood",F3615*0.27,(VLOOKUP(VENDAS!C3615,Bairros!$A$2:$B$90,2,0))))</f>
        <v/>
      </c>
      <c r="J3615" s="7" t="str">
        <f t="shared" si="225"/>
        <v/>
      </c>
      <c r="K3615" s="9">
        <f t="shared" ca="1" si="226"/>
        <v>45404.878290162036</v>
      </c>
      <c r="L3615" s="10">
        <f t="shared" ca="1" si="227"/>
        <v>45404.878290162036</v>
      </c>
    </row>
    <row r="3616" spans="6:12" x14ac:dyDescent="0.25">
      <c r="F3616" s="11" t="str">
        <f>IF(ISBLANK(D3616),"",(VLOOKUP(D3616,Cardápio!$A$2:$B$16,2,0))*E3616)</f>
        <v/>
      </c>
      <c r="H3616" s="7" t="str">
        <f t="shared" si="224"/>
        <v/>
      </c>
      <c r="I3616" s="7" t="str">
        <f>IF(AND(ISBLANK(D3616),ISBLANK(C3616)),"",((VLOOKUP(D3616,Cardápio!$A$2:$C$16,3,0))*E3616)+IF(B3616="iFood",F3616*0.27,(VLOOKUP(VENDAS!C3616,Bairros!$A$2:$B$90,2,0))))</f>
        <v/>
      </c>
      <c r="J3616" s="7" t="str">
        <f t="shared" si="225"/>
        <v/>
      </c>
      <c r="K3616" s="9">
        <f t="shared" ca="1" si="226"/>
        <v>45404.878290162036</v>
      </c>
      <c r="L3616" s="10">
        <f t="shared" ca="1" si="227"/>
        <v>45404.878290046297</v>
      </c>
    </row>
    <row r="3617" spans="6:12" x14ac:dyDescent="0.25">
      <c r="F3617" s="11" t="str">
        <f>IF(ISBLANK(D3617),"",(VLOOKUP(D3617,Cardápio!$A$2:$B$16,2,0))*E3617)</f>
        <v/>
      </c>
      <c r="H3617" s="7" t="str">
        <f t="shared" si="224"/>
        <v/>
      </c>
      <c r="I3617" s="7" t="str">
        <f>IF(AND(ISBLANK(D3617),ISBLANK(C3617)),"",((VLOOKUP(D3617,Cardápio!$A$2:$C$16,3,0))*E3617)+IF(B3617="iFood",F3617*0.27,(VLOOKUP(VENDAS!C3617,Bairros!$A$2:$B$90,2,0))))</f>
        <v/>
      </c>
      <c r="J3617" s="7" t="str">
        <f t="shared" si="225"/>
        <v/>
      </c>
      <c r="K3617" s="9">
        <f t="shared" ca="1" si="226"/>
        <v>45404.878290277775</v>
      </c>
      <c r="L3617" s="10">
        <f t="shared" ca="1" si="227"/>
        <v>45404.878290046297</v>
      </c>
    </row>
    <row r="3618" spans="6:12" x14ac:dyDescent="0.25">
      <c r="F3618" s="11" t="str">
        <f>IF(ISBLANK(D3618),"",(VLOOKUP(D3618,Cardápio!$A$2:$B$16,2,0))*E3618)</f>
        <v/>
      </c>
      <c r="H3618" s="7" t="str">
        <f t="shared" si="224"/>
        <v/>
      </c>
      <c r="I3618" s="7" t="str">
        <f>IF(AND(ISBLANK(D3618),ISBLANK(C3618)),"",((VLOOKUP(D3618,Cardápio!$A$2:$C$16,3,0))*E3618)+IF(B3618="iFood",F3618*0.27,(VLOOKUP(VENDAS!C3618,Bairros!$A$2:$B$90,2,0))))</f>
        <v/>
      </c>
      <c r="J3618" s="7" t="str">
        <f t="shared" si="225"/>
        <v/>
      </c>
      <c r="K3618" s="9">
        <f t="shared" ca="1" si="226"/>
        <v>45404.878290162036</v>
      </c>
      <c r="L3618" s="10">
        <f t="shared" ca="1" si="227"/>
        <v>45404.878290046297</v>
      </c>
    </row>
    <row r="3619" spans="6:12" x14ac:dyDescent="0.25">
      <c r="F3619" s="11" t="str">
        <f>IF(ISBLANK(D3619),"",(VLOOKUP(D3619,Cardápio!$A$2:$B$16,2,0))*E3619)</f>
        <v/>
      </c>
      <c r="H3619" s="7" t="str">
        <f t="shared" si="224"/>
        <v/>
      </c>
      <c r="I3619" s="7" t="str">
        <f>IF(AND(ISBLANK(D3619),ISBLANK(C3619)),"",((VLOOKUP(D3619,Cardápio!$A$2:$C$16,3,0))*E3619)+IF(B3619="iFood",F3619*0.27,(VLOOKUP(VENDAS!C3619,Bairros!$A$2:$B$90,2,0))))</f>
        <v/>
      </c>
      <c r="J3619" s="7" t="str">
        <f t="shared" si="225"/>
        <v/>
      </c>
      <c r="K3619" s="9">
        <f t="shared" ca="1" si="226"/>
        <v>45404.878290162036</v>
      </c>
      <c r="L3619" s="10">
        <f t="shared" ca="1" si="227"/>
        <v>45404.878290162036</v>
      </c>
    </row>
    <row r="3620" spans="6:12" x14ac:dyDescent="0.25">
      <c r="F3620" s="11" t="str">
        <f>IF(ISBLANK(D3620),"",(VLOOKUP(D3620,Cardápio!$A$2:$B$16,2,0))*E3620)</f>
        <v/>
      </c>
      <c r="H3620" s="7" t="str">
        <f t="shared" si="224"/>
        <v/>
      </c>
      <c r="I3620" s="7" t="str">
        <f>IF(AND(ISBLANK(D3620),ISBLANK(C3620)),"",((VLOOKUP(D3620,Cardápio!$A$2:$C$16,3,0))*E3620)+IF(B3620="iFood",F3620*0.27,(VLOOKUP(VENDAS!C3620,Bairros!$A$2:$B$90,2,0))))</f>
        <v/>
      </c>
      <c r="J3620" s="7" t="str">
        <f t="shared" si="225"/>
        <v/>
      </c>
      <c r="K3620" s="9">
        <f t="shared" ca="1" si="226"/>
        <v>45404.878290162036</v>
      </c>
      <c r="L3620" s="10">
        <f t="shared" ca="1" si="227"/>
        <v>45404.878290046297</v>
      </c>
    </row>
    <row r="3621" spans="6:12" x14ac:dyDescent="0.25">
      <c r="F3621" s="11" t="str">
        <f>IF(ISBLANK(D3621),"",(VLOOKUP(D3621,Cardápio!$A$2:$B$16,2,0))*E3621)</f>
        <v/>
      </c>
      <c r="H3621" s="7" t="str">
        <f t="shared" si="224"/>
        <v/>
      </c>
      <c r="I3621" s="7" t="str">
        <f>IF(AND(ISBLANK(D3621),ISBLANK(C3621)),"",((VLOOKUP(D3621,Cardápio!$A$2:$C$16,3,0))*E3621)+IF(B3621="iFood",F3621*0.27,(VLOOKUP(VENDAS!C3621,Bairros!$A$2:$B$90,2,0))))</f>
        <v/>
      </c>
      <c r="J3621" s="7" t="str">
        <f t="shared" si="225"/>
        <v/>
      </c>
      <c r="K3621" s="9">
        <f t="shared" ca="1" si="226"/>
        <v>45404.878290277775</v>
      </c>
      <c r="L3621" s="10">
        <f t="shared" ca="1" si="227"/>
        <v>45404.878290046297</v>
      </c>
    </row>
    <row r="3622" spans="6:12" x14ac:dyDescent="0.25">
      <c r="F3622" s="11" t="str">
        <f>IF(ISBLANK(D3622),"",(VLOOKUP(D3622,Cardápio!$A$2:$B$16,2,0))*E3622)</f>
        <v/>
      </c>
      <c r="H3622" s="7" t="str">
        <f t="shared" si="224"/>
        <v/>
      </c>
      <c r="I3622" s="7" t="str">
        <f>IF(AND(ISBLANK(D3622),ISBLANK(C3622)),"",((VLOOKUP(D3622,Cardápio!$A$2:$C$16,3,0))*E3622)+IF(B3622="iFood",F3622*0.27,(VLOOKUP(VENDAS!C3622,Bairros!$A$2:$B$90,2,0))))</f>
        <v/>
      </c>
      <c r="J3622" s="7" t="str">
        <f t="shared" si="225"/>
        <v/>
      </c>
      <c r="K3622" s="9">
        <f t="shared" ca="1" si="226"/>
        <v>45404.878290162036</v>
      </c>
      <c r="L3622" s="10">
        <f t="shared" ca="1" si="227"/>
        <v>45404.878290046297</v>
      </c>
    </row>
    <row r="3623" spans="6:12" x14ac:dyDescent="0.25">
      <c r="F3623" s="11" t="str">
        <f>IF(ISBLANK(D3623),"",(VLOOKUP(D3623,Cardápio!$A$2:$B$16,2,0))*E3623)</f>
        <v/>
      </c>
      <c r="H3623" s="7" t="str">
        <f t="shared" si="224"/>
        <v/>
      </c>
      <c r="I3623" s="7" t="str">
        <f>IF(AND(ISBLANK(D3623),ISBLANK(C3623)),"",((VLOOKUP(D3623,Cardápio!$A$2:$C$16,3,0))*E3623)+IF(B3623="iFood",F3623*0.27,(VLOOKUP(VENDAS!C3623,Bairros!$A$2:$B$90,2,0))))</f>
        <v/>
      </c>
      <c r="J3623" s="7" t="str">
        <f t="shared" si="225"/>
        <v/>
      </c>
      <c r="K3623" s="9">
        <f t="shared" ca="1" si="226"/>
        <v>45404.878290162036</v>
      </c>
      <c r="L3623" s="10">
        <f t="shared" ca="1" si="227"/>
        <v>45404.878290162036</v>
      </c>
    </row>
    <row r="3624" spans="6:12" x14ac:dyDescent="0.25">
      <c r="F3624" s="11" t="str">
        <f>IF(ISBLANK(D3624),"",(VLOOKUP(D3624,Cardápio!$A$2:$B$16,2,0))*E3624)</f>
        <v/>
      </c>
      <c r="H3624" s="7" t="str">
        <f t="shared" si="224"/>
        <v/>
      </c>
      <c r="I3624" s="7" t="str">
        <f>IF(AND(ISBLANK(D3624),ISBLANK(C3624)),"",((VLOOKUP(D3624,Cardápio!$A$2:$C$16,3,0))*E3624)+IF(B3624="iFood",F3624*0.27,(VLOOKUP(VENDAS!C3624,Bairros!$A$2:$B$90,2,0))))</f>
        <v/>
      </c>
      <c r="J3624" s="7" t="str">
        <f t="shared" si="225"/>
        <v/>
      </c>
      <c r="K3624" s="9">
        <f t="shared" ca="1" si="226"/>
        <v>45404.878290162036</v>
      </c>
      <c r="L3624" s="10">
        <f t="shared" ca="1" si="227"/>
        <v>45404.878290046297</v>
      </c>
    </row>
    <row r="3625" spans="6:12" x14ac:dyDescent="0.25">
      <c r="F3625" s="11" t="str">
        <f>IF(ISBLANK(D3625),"",(VLOOKUP(D3625,Cardápio!$A$2:$B$16,2,0))*E3625)</f>
        <v/>
      </c>
      <c r="H3625" s="7" t="str">
        <f t="shared" si="224"/>
        <v/>
      </c>
      <c r="I3625" s="7" t="str">
        <f>IF(AND(ISBLANK(D3625),ISBLANK(C3625)),"",((VLOOKUP(D3625,Cardápio!$A$2:$C$16,3,0))*E3625)+IF(B3625="iFood",F3625*0.27,(VLOOKUP(VENDAS!C3625,Bairros!$A$2:$B$90,2,0))))</f>
        <v/>
      </c>
      <c r="J3625" s="7" t="str">
        <f t="shared" si="225"/>
        <v/>
      </c>
      <c r="K3625" s="9">
        <f t="shared" ca="1" si="226"/>
        <v>45404.878290277775</v>
      </c>
      <c r="L3625" s="10">
        <f t="shared" ca="1" si="227"/>
        <v>45404.878290046297</v>
      </c>
    </row>
    <row r="3626" spans="6:12" x14ac:dyDescent="0.25">
      <c r="F3626" s="11" t="str">
        <f>IF(ISBLANK(D3626),"",(VLOOKUP(D3626,Cardápio!$A$2:$B$16,2,0))*E3626)</f>
        <v/>
      </c>
      <c r="H3626" s="7" t="str">
        <f t="shared" si="224"/>
        <v/>
      </c>
      <c r="I3626" s="7" t="str">
        <f>IF(AND(ISBLANK(D3626),ISBLANK(C3626)),"",((VLOOKUP(D3626,Cardápio!$A$2:$C$16,3,0))*E3626)+IF(B3626="iFood",F3626*0.27,(VLOOKUP(VENDAS!C3626,Bairros!$A$2:$B$90,2,0))))</f>
        <v/>
      </c>
      <c r="J3626" s="7" t="str">
        <f t="shared" si="225"/>
        <v/>
      </c>
      <c r="K3626" s="9">
        <f t="shared" ca="1" si="226"/>
        <v>45404.878290162036</v>
      </c>
      <c r="L3626" s="10">
        <f t="shared" ca="1" si="227"/>
        <v>45404.878290046297</v>
      </c>
    </row>
    <row r="3627" spans="6:12" x14ac:dyDescent="0.25">
      <c r="F3627" s="11" t="str">
        <f>IF(ISBLANK(D3627),"",(VLOOKUP(D3627,Cardápio!$A$2:$B$16,2,0))*E3627)</f>
        <v/>
      </c>
      <c r="H3627" s="7" t="str">
        <f t="shared" si="224"/>
        <v/>
      </c>
      <c r="I3627" s="7" t="str">
        <f>IF(AND(ISBLANK(D3627),ISBLANK(C3627)),"",((VLOOKUP(D3627,Cardápio!$A$2:$C$16,3,0))*E3627)+IF(B3627="iFood",F3627*0.27,(VLOOKUP(VENDAS!C3627,Bairros!$A$2:$B$90,2,0))))</f>
        <v/>
      </c>
      <c r="J3627" s="7" t="str">
        <f t="shared" si="225"/>
        <v/>
      </c>
      <c r="K3627" s="9">
        <f t="shared" ca="1" si="226"/>
        <v>45404.878290162036</v>
      </c>
      <c r="L3627" s="10">
        <f t="shared" ca="1" si="227"/>
        <v>45404.878290162036</v>
      </c>
    </row>
    <row r="3628" spans="6:12" x14ac:dyDescent="0.25">
      <c r="F3628" s="11" t="str">
        <f>IF(ISBLANK(D3628),"",(VLOOKUP(D3628,Cardápio!$A$2:$B$16,2,0))*E3628)</f>
        <v/>
      </c>
      <c r="H3628" s="7" t="str">
        <f t="shared" si="224"/>
        <v/>
      </c>
      <c r="I3628" s="7" t="str">
        <f>IF(AND(ISBLANK(D3628),ISBLANK(C3628)),"",((VLOOKUP(D3628,Cardápio!$A$2:$C$16,3,0))*E3628)+IF(B3628="iFood",F3628*0.27,(VLOOKUP(VENDAS!C3628,Bairros!$A$2:$B$90,2,0))))</f>
        <v/>
      </c>
      <c r="J3628" s="7" t="str">
        <f t="shared" si="225"/>
        <v/>
      </c>
      <c r="K3628" s="9">
        <f t="shared" ca="1" si="226"/>
        <v>45404.878290162036</v>
      </c>
      <c r="L3628" s="10">
        <f t="shared" ca="1" si="227"/>
        <v>45404.878290046297</v>
      </c>
    </row>
    <row r="3629" spans="6:12" x14ac:dyDescent="0.25">
      <c r="F3629" s="11" t="str">
        <f>IF(ISBLANK(D3629),"",(VLOOKUP(D3629,Cardápio!$A$2:$B$16,2,0))*E3629)</f>
        <v/>
      </c>
      <c r="H3629" s="7" t="str">
        <f t="shared" si="224"/>
        <v/>
      </c>
      <c r="I3629" s="7" t="str">
        <f>IF(AND(ISBLANK(D3629),ISBLANK(C3629)),"",((VLOOKUP(D3629,Cardápio!$A$2:$C$16,3,0))*E3629)+IF(B3629="iFood",F3629*0.27,(VLOOKUP(VENDAS!C3629,Bairros!$A$2:$B$90,2,0))))</f>
        <v/>
      </c>
      <c r="J3629" s="7" t="str">
        <f t="shared" si="225"/>
        <v/>
      </c>
      <c r="K3629" s="9">
        <f t="shared" ca="1" si="226"/>
        <v>45404.878290277775</v>
      </c>
      <c r="L3629" s="10">
        <f t="shared" ca="1" si="227"/>
        <v>45404.878290046297</v>
      </c>
    </row>
    <row r="3630" spans="6:12" x14ac:dyDescent="0.25">
      <c r="F3630" s="11" t="str">
        <f>IF(ISBLANK(D3630),"",(VLOOKUP(D3630,Cardápio!$A$2:$B$16,2,0))*E3630)</f>
        <v/>
      </c>
      <c r="H3630" s="7" t="str">
        <f t="shared" si="224"/>
        <v/>
      </c>
      <c r="I3630" s="7" t="str">
        <f>IF(AND(ISBLANK(D3630),ISBLANK(C3630)),"",((VLOOKUP(D3630,Cardápio!$A$2:$C$16,3,0))*E3630)+IF(B3630="iFood",F3630*0.27,(VLOOKUP(VENDAS!C3630,Bairros!$A$2:$B$90,2,0))))</f>
        <v/>
      </c>
      <c r="J3630" s="7" t="str">
        <f t="shared" si="225"/>
        <v/>
      </c>
      <c r="K3630" s="9">
        <f t="shared" ca="1" si="226"/>
        <v>45404.878290162036</v>
      </c>
      <c r="L3630" s="10">
        <f t="shared" ca="1" si="227"/>
        <v>45404.878290046297</v>
      </c>
    </row>
    <row r="3631" spans="6:12" x14ac:dyDescent="0.25">
      <c r="F3631" s="11" t="str">
        <f>IF(ISBLANK(D3631),"",(VLOOKUP(D3631,Cardápio!$A$2:$B$16,2,0))*E3631)</f>
        <v/>
      </c>
      <c r="H3631" s="7" t="str">
        <f t="shared" si="224"/>
        <v/>
      </c>
      <c r="I3631" s="7" t="str">
        <f>IF(AND(ISBLANK(D3631),ISBLANK(C3631)),"",((VLOOKUP(D3631,Cardápio!$A$2:$C$16,3,0))*E3631)+IF(B3631="iFood",F3631*0.27,(VLOOKUP(VENDAS!C3631,Bairros!$A$2:$B$90,2,0))))</f>
        <v/>
      </c>
      <c r="J3631" s="7" t="str">
        <f t="shared" si="225"/>
        <v/>
      </c>
      <c r="K3631" s="9">
        <f t="shared" ca="1" si="226"/>
        <v>45404.878290162036</v>
      </c>
      <c r="L3631" s="10">
        <f t="shared" ca="1" si="227"/>
        <v>45404.878290162036</v>
      </c>
    </row>
    <row r="3632" spans="6:12" x14ac:dyDescent="0.25">
      <c r="F3632" s="11" t="str">
        <f>IF(ISBLANK(D3632),"",(VLOOKUP(D3632,Cardápio!$A$2:$B$16,2,0))*E3632)</f>
        <v/>
      </c>
      <c r="H3632" s="7" t="str">
        <f t="shared" si="224"/>
        <v/>
      </c>
      <c r="I3632" s="7" t="str">
        <f>IF(AND(ISBLANK(D3632),ISBLANK(C3632)),"",((VLOOKUP(D3632,Cardápio!$A$2:$C$16,3,0))*E3632)+IF(B3632="iFood",F3632*0.27,(VLOOKUP(VENDAS!C3632,Bairros!$A$2:$B$90,2,0))))</f>
        <v/>
      </c>
      <c r="J3632" s="7" t="str">
        <f t="shared" si="225"/>
        <v/>
      </c>
      <c r="K3632" s="9">
        <f t="shared" ca="1" si="226"/>
        <v>45404.878290162036</v>
      </c>
      <c r="L3632" s="10">
        <f t="shared" ca="1" si="227"/>
        <v>45404.878290046297</v>
      </c>
    </row>
    <row r="3633" spans="6:12" x14ac:dyDescent="0.25">
      <c r="F3633" s="11" t="str">
        <f>IF(ISBLANK(D3633),"",(VLOOKUP(D3633,Cardápio!$A$2:$B$16,2,0))*E3633)</f>
        <v/>
      </c>
      <c r="H3633" s="7" t="str">
        <f t="shared" si="224"/>
        <v/>
      </c>
      <c r="I3633" s="7" t="str">
        <f>IF(AND(ISBLANK(D3633),ISBLANK(C3633)),"",((VLOOKUP(D3633,Cardápio!$A$2:$C$16,3,0))*E3633)+IF(B3633="iFood",F3633*0.27,(VLOOKUP(VENDAS!C3633,Bairros!$A$2:$B$90,2,0))))</f>
        <v/>
      </c>
      <c r="J3633" s="7" t="str">
        <f t="shared" si="225"/>
        <v/>
      </c>
      <c r="K3633" s="9">
        <f t="shared" ca="1" si="226"/>
        <v>45404.878290277775</v>
      </c>
      <c r="L3633" s="10">
        <f t="shared" ca="1" si="227"/>
        <v>45404.878290046297</v>
      </c>
    </row>
    <row r="3634" spans="6:12" x14ac:dyDescent="0.25">
      <c r="F3634" s="11" t="str">
        <f>IF(ISBLANK(D3634),"",(VLOOKUP(D3634,Cardápio!$A$2:$B$16,2,0))*E3634)</f>
        <v/>
      </c>
      <c r="H3634" s="7" t="str">
        <f t="shared" si="224"/>
        <v/>
      </c>
      <c r="I3634" s="7" t="str">
        <f>IF(AND(ISBLANK(D3634),ISBLANK(C3634)),"",((VLOOKUP(D3634,Cardápio!$A$2:$C$16,3,0))*E3634)+IF(B3634="iFood",F3634*0.27,(VLOOKUP(VENDAS!C3634,Bairros!$A$2:$B$90,2,0))))</f>
        <v/>
      </c>
      <c r="J3634" s="7" t="str">
        <f t="shared" si="225"/>
        <v/>
      </c>
      <c r="K3634" s="9">
        <f t="shared" ca="1" si="226"/>
        <v>45404.878290162036</v>
      </c>
      <c r="L3634" s="10">
        <f t="shared" ca="1" si="227"/>
        <v>45404.878290046297</v>
      </c>
    </row>
    <row r="3635" spans="6:12" x14ac:dyDescent="0.25">
      <c r="F3635" s="11" t="str">
        <f>IF(ISBLANK(D3635),"",(VLOOKUP(D3635,Cardápio!$A$2:$B$16,2,0))*E3635)</f>
        <v/>
      </c>
      <c r="H3635" s="7" t="str">
        <f t="shared" si="224"/>
        <v/>
      </c>
      <c r="I3635" s="7" t="str">
        <f>IF(AND(ISBLANK(D3635),ISBLANK(C3635)),"",((VLOOKUP(D3635,Cardápio!$A$2:$C$16,3,0))*E3635)+IF(B3635="iFood",F3635*0.27,(VLOOKUP(VENDAS!C3635,Bairros!$A$2:$B$90,2,0))))</f>
        <v/>
      </c>
      <c r="J3635" s="7" t="str">
        <f t="shared" si="225"/>
        <v/>
      </c>
      <c r="K3635" s="9">
        <f t="shared" ca="1" si="226"/>
        <v>45404.878290162036</v>
      </c>
      <c r="L3635" s="10">
        <f t="shared" ca="1" si="227"/>
        <v>45404.878290162036</v>
      </c>
    </row>
    <row r="3636" spans="6:12" x14ac:dyDescent="0.25">
      <c r="F3636" s="11" t="str">
        <f>IF(ISBLANK(D3636),"",(VLOOKUP(D3636,Cardápio!$A$2:$B$16,2,0))*E3636)</f>
        <v/>
      </c>
      <c r="H3636" s="7" t="str">
        <f t="shared" si="224"/>
        <v/>
      </c>
      <c r="I3636" s="7" t="str">
        <f>IF(AND(ISBLANK(D3636),ISBLANK(C3636)),"",((VLOOKUP(D3636,Cardápio!$A$2:$C$16,3,0))*E3636)+IF(B3636="iFood",F3636*0.27,(VLOOKUP(VENDAS!C3636,Bairros!$A$2:$B$90,2,0))))</f>
        <v/>
      </c>
      <c r="J3636" s="7" t="str">
        <f t="shared" si="225"/>
        <v/>
      </c>
      <c r="K3636" s="9">
        <f t="shared" ca="1" si="226"/>
        <v>45404.878290162036</v>
      </c>
      <c r="L3636" s="10">
        <f t="shared" ca="1" si="227"/>
        <v>45404.878290046297</v>
      </c>
    </row>
    <row r="3637" spans="6:12" x14ac:dyDescent="0.25">
      <c r="F3637" s="11" t="str">
        <f>IF(ISBLANK(D3637),"",(VLOOKUP(D3637,Cardápio!$A$2:$B$16,2,0))*E3637)</f>
        <v/>
      </c>
      <c r="H3637" s="7" t="str">
        <f t="shared" ref="H3637:H3700" si="228">IF(ISBLANK(D3637),"",F3637-G3637)</f>
        <v/>
      </c>
      <c r="I3637" s="7" t="str">
        <f>IF(AND(ISBLANK(D3637),ISBLANK(C3637)),"",((VLOOKUP(D3637,Cardápio!$A$2:$C$16,3,0))*E3637)+IF(B3637="iFood",F3637*0.27,(VLOOKUP(VENDAS!C3637,Bairros!$A$2:$B$90,2,0))))</f>
        <v/>
      </c>
      <c r="J3637" s="7" t="str">
        <f t="shared" ref="J3637:J3700" si="229">IF(OR(AND(ISBLANK(H3637),ISBLANK(I3637)),(AND(H3637="",I3637=""))),"",H3637-I3637)</f>
        <v/>
      </c>
      <c r="K3637" s="9">
        <f t="shared" ref="K3637:K3700" ca="1" si="230">IF(D3637&lt;&gt;"",K3637,NOW())</f>
        <v>45404.878290277775</v>
      </c>
      <c r="L3637" s="10">
        <f t="shared" ref="L3637:L3700" ca="1" si="231">IF(D3637&lt;&gt;"",L3637,NOW())</f>
        <v>45404.878290046297</v>
      </c>
    </row>
    <row r="3638" spans="6:12" x14ac:dyDescent="0.25">
      <c r="F3638" s="11" t="str">
        <f>IF(ISBLANK(D3638),"",(VLOOKUP(D3638,Cardápio!$A$2:$B$16,2,0))*E3638)</f>
        <v/>
      </c>
      <c r="H3638" s="7" t="str">
        <f t="shared" si="228"/>
        <v/>
      </c>
      <c r="I3638" s="7" t="str">
        <f>IF(AND(ISBLANK(D3638),ISBLANK(C3638)),"",((VLOOKUP(D3638,Cardápio!$A$2:$C$16,3,0))*E3638)+IF(B3638="iFood",F3638*0.27,(VLOOKUP(VENDAS!C3638,Bairros!$A$2:$B$90,2,0))))</f>
        <v/>
      </c>
      <c r="J3638" s="7" t="str">
        <f t="shared" si="229"/>
        <v/>
      </c>
      <c r="K3638" s="9">
        <f t="shared" ca="1" si="230"/>
        <v>45404.878290162036</v>
      </c>
      <c r="L3638" s="10">
        <f t="shared" ca="1" si="231"/>
        <v>45404.878290046297</v>
      </c>
    </row>
    <row r="3639" spans="6:12" x14ac:dyDescent="0.25">
      <c r="F3639" s="11" t="str">
        <f>IF(ISBLANK(D3639),"",(VLOOKUP(D3639,Cardápio!$A$2:$B$16,2,0))*E3639)</f>
        <v/>
      </c>
      <c r="H3639" s="7" t="str">
        <f t="shared" si="228"/>
        <v/>
      </c>
      <c r="I3639" s="7" t="str">
        <f>IF(AND(ISBLANK(D3639),ISBLANK(C3639)),"",((VLOOKUP(D3639,Cardápio!$A$2:$C$16,3,0))*E3639)+IF(B3639="iFood",F3639*0.27,(VLOOKUP(VENDAS!C3639,Bairros!$A$2:$B$90,2,0))))</f>
        <v/>
      </c>
      <c r="J3639" s="7" t="str">
        <f t="shared" si="229"/>
        <v/>
      </c>
      <c r="K3639" s="9">
        <f t="shared" ca="1" si="230"/>
        <v>45404.878290162036</v>
      </c>
      <c r="L3639" s="10">
        <f t="shared" ca="1" si="231"/>
        <v>45404.878290162036</v>
      </c>
    </row>
    <row r="3640" spans="6:12" x14ac:dyDescent="0.25">
      <c r="F3640" s="11" t="str">
        <f>IF(ISBLANK(D3640),"",(VLOOKUP(D3640,Cardápio!$A$2:$B$16,2,0))*E3640)</f>
        <v/>
      </c>
      <c r="H3640" s="7" t="str">
        <f t="shared" si="228"/>
        <v/>
      </c>
      <c r="I3640" s="7" t="str">
        <f>IF(AND(ISBLANK(D3640),ISBLANK(C3640)),"",((VLOOKUP(D3640,Cardápio!$A$2:$C$16,3,0))*E3640)+IF(B3640="iFood",F3640*0.27,(VLOOKUP(VENDAS!C3640,Bairros!$A$2:$B$90,2,0))))</f>
        <v/>
      </c>
      <c r="J3640" s="7" t="str">
        <f t="shared" si="229"/>
        <v/>
      </c>
      <c r="K3640" s="9">
        <f t="shared" ca="1" si="230"/>
        <v>45404.878290162036</v>
      </c>
      <c r="L3640" s="10">
        <f t="shared" ca="1" si="231"/>
        <v>45404.878290046297</v>
      </c>
    </row>
    <row r="3641" spans="6:12" x14ac:dyDescent="0.25">
      <c r="F3641" s="11" t="str">
        <f>IF(ISBLANK(D3641),"",(VLOOKUP(D3641,Cardápio!$A$2:$B$16,2,0))*E3641)</f>
        <v/>
      </c>
      <c r="H3641" s="7" t="str">
        <f t="shared" si="228"/>
        <v/>
      </c>
      <c r="I3641" s="7" t="str">
        <f>IF(AND(ISBLANK(D3641),ISBLANK(C3641)),"",((VLOOKUP(D3641,Cardápio!$A$2:$C$16,3,0))*E3641)+IF(B3641="iFood",F3641*0.27,(VLOOKUP(VENDAS!C3641,Bairros!$A$2:$B$90,2,0))))</f>
        <v/>
      </c>
      <c r="J3641" s="7" t="str">
        <f t="shared" si="229"/>
        <v/>
      </c>
      <c r="K3641" s="9">
        <f t="shared" ca="1" si="230"/>
        <v>45404.878290277775</v>
      </c>
      <c r="L3641" s="10">
        <f t="shared" ca="1" si="231"/>
        <v>45404.878290046297</v>
      </c>
    </row>
    <row r="3642" spans="6:12" x14ac:dyDescent="0.25">
      <c r="F3642" s="11" t="str">
        <f>IF(ISBLANK(D3642),"",(VLOOKUP(D3642,Cardápio!$A$2:$B$16,2,0))*E3642)</f>
        <v/>
      </c>
      <c r="H3642" s="7" t="str">
        <f t="shared" si="228"/>
        <v/>
      </c>
      <c r="I3642" s="7" t="str">
        <f>IF(AND(ISBLANK(D3642),ISBLANK(C3642)),"",((VLOOKUP(D3642,Cardápio!$A$2:$C$16,3,0))*E3642)+IF(B3642="iFood",F3642*0.27,(VLOOKUP(VENDAS!C3642,Bairros!$A$2:$B$90,2,0))))</f>
        <v/>
      </c>
      <c r="J3642" s="7" t="str">
        <f t="shared" si="229"/>
        <v/>
      </c>
      <c r="K3642" s="9">
        <f t="shared" ca="1" si="230"/>
        <v>45404.878290162036</v>
      </c>
      <c r="L3642" s="10">
        <f t="shared" ca="1" si="231"/>
        <v>45404.878290046297</v>
      </c>
    </row>
    <row r="3643" spans="6:12" x14ac:dyDescent="0.25">
      <c r="F3643" s="11" t="str">
        <f>IF(ISBLANK(D3643),"",(VLOOKUP(D3643,Cardápio!$A$2:$B$16,2,0))*E3643)</f>
        <v/>
      </c>
      <c r="H3643" s="7" t="str">
        <f t="shared" si="228"/>
        <v/>
      </c>
      <c r="I3643" s="7" t="str">
        <f>IF(AND(ISBLANK(D3643),ISBLANK(C3643)),"",((VLOOKUP(D3643,Cardápio!$A$2:$C$16,3,0))*E3643)+IF(B3643="iFood",F3643*0.27,(VLOOKUP(VENDAS!C3643,Bairros!$A$2:$B$90,2,0))))</f>
        <v/>
      </c>
      <c r="J3643" s="7" t="str">
        <f t="shared" si="229"/>
        <v/>
      </c>
      <c r="K3643" s="9">
        <f t="shared" ca="1" si="230"/>
        <v>45404.878290162036</v>
      </c>
      <c r="L3643" s="10">
        <f t="shared" ca="1" si="231"/>
        <v>45404.878290162036</v>
      </c>
    </row>
    <row r="3644" spans="6:12" x14ac:dyDescent="0.25">
      <c r="F3644" s="11" t="str">
        <f>IF(ISBLANK(D3644),"",(VLOOKUP(D3644,Cardápio!$A$2:$B$16,2,0))*E3644)</f>
        <v/>
      </c>
      <c r="H3644" s="7" t="str">
        <f t="shared" si="228"/>
        <v/>
      </c>
      <c r="I3644" s="7" t="str">
        <f>IF(AND(ISBLANK(D3644),ISBLANK(C3644)),"",((VLOOKUP(D3644,Cardápio!$A$2:$C$16,3,0))*E3644)+IF(B3644="iFood",F3644*0.27,(VLOOKUP(VENDAS!C3644,Bairros!$A$2:$B$90,2,0))))</f>
        <v/>
      </c>
      <c r="J3644" s="7" t="str">
        <f t="shared" si="229"/>
        <v/>
      </c>
      <c r="K3644" s="9">
        <f t="shared" ca="1" si="230"/>
        <v>45404.878290162036</v>
      </c>
      <c r="L3644" s="10">
        <f t="shared" ca="1" si="231"/>
        <v>45404.878290046297</v>
      </c>
    </row>
    <row r="3645" spans="6:12" x14ac:dyDescent="0.25">
      <c r="F3645" s="11" t="str">
        <f>IF(ISBLANK(D3645),"",(VLOOKUP(D3645,Cardápio!$A$2:$B$16,2,0))*E3645)</f>
        <v/>
      </c>
      <c r="H3645" s="7" t="str">
        <f t="shared" si="228"/>
        <v/>
      </c>
      <c r="I3645" s="7" t="str">
        <f>IF(AND(ISBLANK(D3645),ISBLANK(C3645)),"",((VLOOKUP(D3645,Cardápio!$A$2:$C$16,3,0))*E3645)+IF(B3645="iFood",F3645*0.27,(VLOOKUP(VENDAS!C3645,Bairros!$A$2:$B$90,2,0))))</f>
        <v/>
      </c>
      <c r="J3645" s="7" t="str">
        <f t="shared" si="229"/>
        <v/>
      </c>
      <c r="K3645" s="9">
        <f t="shared" ca="1" si="230"/>
        <v>45404.878290277775</v>
      </c>
      <c r="L3645" s="10">
        <f t="shared" ca="1" si="231"/>
        <v>45404.878290046297</v>
      </c>
    </row>
    <row r="3646" spans="6:12" x14ac:dyDescent="0.25">
      <c r="F3646" s="11" t="str">
        <f>IF(ISBLANK(D3646),"",(VLOOKUP(D3646,Cardápio!$A$2:$B$16,2,0))*E3646)</f>
        <v/>
      </c>
      <c r="H3646" s="7" t="str">
        <f t="shared" si="228"/>
        <v/>
      </c>
      <c r="I3646" s="7" t="str">
        <f>IF(AND(ISBLANK(D3646),ISBLANK(C3646)),"",((VLOOKUP(D3646,Cardápio!$A$2:$C$16,3,0))*E3646)+IF(B3646="iFood",F3646*0.27,(VLOOKUP(VENDAS!C3646,Bairros!$A$2:$B$90,2,0))))</f>
        <v/>
      </c>
      <c r="J3646" s="7" t="str">
        <f t="shared" si="229"/>
        <v/>
      </c>
      <c r="K3646" s="9">
        <f t="shared" ca="1" si="230"/>
        <v>45404.878290162036</v>
      </c>
      <c r="L3646" s="10">
        <f t="shared" ca="1" si="231"/>
        <v>45404.878290046297</v>
      </c>
    </row>
    <row r="3647" spans="6:12" x14ac:dyDescent="0.25">
      <c r="F3647" s="11" t="str">
        <f>IF(ISBLANK(D3647),"",(VLOOKUP(D3647,Cardápio!$A$2:$B$16,2,0))*E3647)</f>
        <v/>
      </c>
      <c r="H3647" s="7" t="str">
        <f t="shared" si="228"/>
        <v/>
      </c>
      <c r="I3647" s="7" t="str">
        <f>IF(AND(ISBLANK(D3647),ISBLANK(C3647)),"",((VLOOKUP(D3647,Cardápio!$A$2:$C$16,3,0))*E3647)+IF(B3647="iFood",F3647*0.27,(VLOOKUP(VENDAS!C3647,Bairros!$A$2:$B$90,2,0))))</f>
        <v/>
      </c>
      <c r="J3647" s="7" t="str">
        <f t="shared" si="229"/>
        <v/>
      </c>
      <c r="K3647" s="9">
        <f t="shared" ca="1" si="230"/>
        <v>45404.878290162036</v>
      </c>
      <c r="L3647" s="10">
        <f t="shared" ca="1" si="231"/>
        <v>45404.878290162036</v>
      </c>
    </row>
    <row r="3648" spans="6:12" x14ac:dyDescent="0.25">
      <c r="F3648" s="11" t="str">
        <f>IF(ISBLANK(D3648),"",(VLOOKUP(D3648,Cardápio!$A$2:$B$16,2,0))*E3648)</f>
        <v/>
      </c>
      <c r="H3648" s="7" t="str">
        <f t="shared" si="228"/>
        <v/>
      </c>
      <c r="I3648" s="7" t="str">
        <f>IF(AND(ISBLANK(D3648),ISBLANK(C3648)),"",((VLOOKUP(D3648,Cardápio!$A$2:$C$16,3,0))*E3648)+IF(B3648="iFood",F3648*0.27,(VLOOKUP(VENDAS!C3648,Bairros!$A$2:$B$90,2,0))))</f>
        <v/>
      </c>
      <c r="J3648" s="7" t="str">
        <f t="shared" si="229"/>
        <v/>
      </c>
      <c r="K3648" s="9">
        <f t="shared" ca="1" si="230"/>
        <v>45404.878290162036</v>
      </c>
      <c r="L3648" s="10">
        <f t="shared" ca="1" si="231"/>
        <v>45404.878290046297</v>
      </c>
    </row>
    <row r="3649" spans="6:12" x14ac:dyDescent="0.25">
      <c r="F3649" s="11" t="str">
        <f>IF(ISBLANK(D3649),"",(VLOOKUP(D3649,Cardápio!$A$2:$B$16,2,0))*E3649)</f>
        <v/>
      </c>
      <c r="H3649" s="7" t="str">
        <f t="shared" si="228"/>
        <v/>
      </c>
      <c r="I3649" s="7" t="str">
        <f>IF(AND(ISBLANK(D3649),ISBLANK(C3649)),"",((VLOOKUP(D3649,Cardápio!$A$2:$C$16,3,0))*E3649)+IF(B3649="iFood",F3649*0.27,(VLOOKUP(VENDAS!C3649,Bairros!$A$2:$B$90,2,0))))</f>
        <v/>
      </c>
      <c r="J3649" s="7" t="str">
        <f t="shared" si="229"/>
        <v/>
      </c>
      <c r="K3649" s="9">
        <f t="shared" ca="1" si="230"/>
        <v>45404.878290277775</v>
      </c>
      <c r="L3649" s="10">
        <f t="shared" ca="1" si="231"/>
        <v>45404.878290046297</v>
      </c>
    </row>
    <row r="3650" spans="6:12" x14ac:dyDescent="0.25">
      <c r="F3650" s="11" t="str">
        <f>IF(ISBLANK(D3650),"",(VLOOKUP(D3650,Cardápio!$A$2:$B$16,2,0))*E3650)</f>
        <v/>
      </c>
      <c r="H3650" s="7" t="str">
        <f t="shared" si="228"/>
        <v/>
      </c>
      <c r="I3650" s="7" t="str">
        <f>IF(AND(ISBLANK(D3650),ISBLANK(C3650)),"",((VLOOKUP(D3650,Cardápio!$A$2:$C$16,3,0))*E3650)+IF(B3650="iFood",F3650*0.27,(VLOOKUP(VENDAS!C3650,Bairros!$A$2:$B$90,2,0))))</f>
        <v/>
      </c>
      <c r="J3650" s="7" t="str">
        <f t="shared" si="229"/>
        <v/>
      </c>
      <c r="K3650" s="9">
        <f t="shared" ca="1" si="230"/>
        <v>45404.878290162036</v>
      </c>
      <c r="L3650" s="10">
        <f t="shared" ca="1" si="231"/>
        <v>45404.878290046297</v>
      </c>
    </row>
    <row r="3651" spans="6:12" x14ac:dyDescent="0.25">
      <c r="F3651" s="11" t="str">
        <f>IF(ISBLANK(D3651),"",(VLOOKUP(D3651,Cardápio!$A$2:$B$16,2,0))*E3651)</f>
        <v/>
      </c>
      <c r="H3651" s="7" t="str">
        <f t="shared" si="228"/>
        <v/>
      </c>
      <c r="I3651" s="7" t="str">
        <f>IF(AND(ISBLANK(D3651),ISBLANK(C3651)),"",((VLOOKUP(D3651,Cardápio!$A$2:$C$16,3,0))*E3651)+IF(B3651="iFood",F3651*0.27,(VLOOKUP(VENDAS!C3651,Bairros!$A$2:$B$90,2,0))))</f>
        <v/>
      </c>
      <c r="J3651" s="7" t="str">
        <f t="shared" si="229"/>
        <v/>
      </c>
      <c r="K3651" s="9">
        <f t="shared" ca="1" si="230"/>
        <v>45404.878290162036</v>
      </c>
      <c r="L3651" s="10">
        <f t="shared" ca="1" si="231"/>
        <v>45404.878290162036</v>
      </c>
    </row>
    <row r="3652" spans="6:12" x14ac:dyDescent="0.25">
      <c r="F3652" s="11" t="str">
        <f>IF(ISBLANK(D3652),"",(VLOOKUP(D3652,Cardápio!$A$2:$B$16,2,0))*E3652)</f>
        <v/>
      </c>
      <c r="H3652" s="7" t="str">
        <f t="shared" si="228"/>
        <v/>
      </c>
      <c r="I3652" s="7" t="str">
        <f>IF(AND(ISBLANK(D3652),ISBLANK(C3652)),"",((VLOOKUP(D3652,Cardápio!$A$2:$C$16,3,0))*E3652)+IF(B3652="iFood",F3652*0.27,(VLOOKUP(VENDAS!C3652,Bairros!$A$2:$B$90,2,0))))</f>
        <v/>
      </c>
      <c r="J3652" s="7" t="str">
        <f t="shared" si="229"/>
        <v/>
      </c>
      <c r="K3652" s="9">
        <f t="shared" ca="1" si="230"/>
        <v>45404.878290162036</v>
      </c>
      <c r="L3652" s="10">
        <f t="shared" ca="1" si="231"/>
        <v>45404.878290046297</v>
      </c>
    </row>
    <row r="3653" spans="6:12" x14ac:dyDescent="0.25">
      <c r="F3653" s="11" t="str">
        <f>IF(ISBLANK(D3653),"",(VLOOKUP(D3653,Cardápio!$A$2:$B$16,2,0))*E3653)</f>
        <v/>
      </c>
      <c r="H3653" s="7" t="str">
        <f t="shared" si="228"/>
        <v/>
      </c>
      <c r="I3653" s="7" t="str">
        <f>IF(AND(ISBLANK(D3653),ISBLANK(C3653)),"",((VLOOKUP(D3653,Cardápio!$A$2:$C$16,3,0))*E3653)+IF(B3653="iFood",F3653*0.27,(VLOOKUP(VENDAS!C3653,Bairros!$A$2:$B$90,2,0))))</f>
        <v/>
      </c>
      <c r="J3653" s="7" t="str">
        <f t="shared" si="229"/>
        <v/>
      </c>
      <c r="K3653" s="9">
        <f t="shared" ca="1" si="230"/>
        <v>45404.878290277775</v>
      </c>
      <c r="L3653" s="10">
        <f t="shared" ca="1" si="231"/>
        <v>45404.878290046297</v>
      </c>
    </row>
    <row r="3654" spans="6:12" x14ac:dyDescent="0.25">
      <c r="F3654" s="11" t="str">
        <f>IF(ISBLANK(D3654),"",(VLOOKUP(D3654,Cardápio!$A$2:$B$16,2,0))*E3654)</f>
        <v/>
      </c>
      <c r="H3654" s="7" t="str">
        <f t="shared" si="228"/>
        <v/>
      </c>
      <c r="I3654" s="7" t="str">
        <f>IF(AND(ISBLANK(D3654),ISBLANK(C3654)),"",((VLOOKUP(D3654,Cardápio!$A$2:$C$16,3,0))*E3654)+IF(B3654="iFood",F3654*0.27,(VLOOKUP(VENDAS!C3654,Bairros!$A$2:$B$90,2,0))))</f>
        <v/>
      </c>
      <c r="J3654" s="7" t="str">
        <f t="shared" si="229"/>
        <v/>
      </c>
      <c r="K3654" s="9">
        <f t="shared" ca="1" si="230"/>
        <v>45404.878290162036</v>
      </c>
      <c r="L3654" s="10">
        <f t="shared" ca="1" si="231"/>
        <v>45404.878290046297</v>
      </c>
    </row>
    <row r="3655" spans="6:12" x14ac:dyDescent="0.25">
      <c r="F3655" s="11" t="str">
        <f>IF(ISBLANK(D3655),"",(VLOOKUP(D3655,Cardápio!$A$2:$B$16,2,0))*E3655)</f>
        <v/>
      </c>
      <c r="H3655" s="7" t="str">
        <f t="shared" si="228"/>
        <v/>
      </c>
      <c r="I3655" s="7" t="str">
        <f>IF(AND(ISBLANK(D3655),ISBLANK(C3655)),"",((VLOOKUP(D3655,Cardápio!$A$2:$C$16,3,0))*E3655)+IF(B3655="iFood",F3655*0.27,(VLOOKUP(VENDAS!C3655,Bairros!$A$2:$B$90,2,0))))</f>
        <v/>
      </c>
      <c r="J3655" s="7" t="str">
        <f t="shared" si="229"/>
        <v/>
      </c>
      <c r="K3655" s="9">
        <f t="shared" ca="1" si="230"/>
        <v>45404.878290162036</v>
      </c>
      <c r="L3655" s="10">
        <f t="shared" ca="1" si="231"/>
        <v>45404.878290162036</v>
      </c>
    </row>
    <row r="3656" spans="6:12" x14ac:dyDescent="0.25">
      <c r="F3656" s="11" t="str">
        <f>IF(ISBLANK(D3656),"",(VLOOKUP(D3656,Cardápio!$A$2:$B$16,2,0))*E3656)</f>
        <v/>
      </c>
      <c r="H3656" s="7" t="str">
        <f t="shared" si="228"/>
        <v/>
      </c>
      <c r="I3656" s="7" t="str">
        <f>IF(AND(ISBLANK(D3656),ISBLANK(C3656)),"",((VLOOKUP(D3656,Cardápio!$A$2:$C$16,3,0))*E3656)+IF(B3656="iFood",F3656*0.27,(VLOOKUP(VENDAS!C3656,Bairros!$A$2:$B$90,2,0))))</f>
        <v/>
      </c>
      <c r="J3656" s="7" t="str">
        <f t="shared" si="229"/>
        <v/>
      </c>
      <c r="K3656" s="9">
        <f t="shared" ca="1" si="230"/>
        <v>45404.878290162036</v>
      </c>
      <c r="L3656" s="10">
        <f t="shared" ca="1" si="231"/>
        <v>45404.878290046297</v>
      </c>
    </row>
    <row r="3657" spans="6:12" x14ac:dyDescent="0.25">
      <c r="F3657" s="11" t="str">
        <f>IF(ISBLANK(D3657),"",(VLOOKUP(D3657,Cardápio!$A$2:$B$16,2,0))*E3657)</f>
        <v/>
      </c>
      <c r="H3657" s="7" t="str">
        <f t="shared" si="228"/>
        <v/>
      </c>
      <c r="I3657" s="7" t="str">
        <f>IF(AND(ISBLANK(D3657),ISBLANK(C3657)),"",((VLOOKUP(D3657,Cardápio!$A$2:$C$16,3,0))*E3657)+IF(B3657="iFood",F3657*0.27,(VLOOKUP(VENDAS!C3657,Bairros!$A$2:$B$90,2,0))))</f>
        <v/>
      </c>
      <c r="J3657" s="7" t="str">
        <f t="shared" si="229"/>
        <v/>
      </c>
      <c r="K3657" s="9">
        <f t="shared" ca="1" si="230"/>
        <v>45404.878290277775</v>
      </c>
      <c r="L3657" s="10">
        <f t="shared" ca="1" si="231"/>
        <v>45404.878290046297</v>
      </c>
    </row>
    <row r="3658" spans="6:12" x14ac:dyDescent="0.25">
      <c r="F3658" s="11" t="str">
        <f>IF(ISBLANK(D3658),"",(VLOOKUP(D3658,Cardápio!$A$2:$B$16,2,0))*E3658)</f>
        <v/>
      </c>
      <c r="H3658" s="7" t="str">
        <f t="shared" si="228"/>
        <v/>
      </c>
      <c r="I3658" s="7" t="str">
        <f>IF(AND(ISBLANK(D3658),ISBLANK(C3658)),"",((VLOOKUP(D3658,Cardápio!$A$2:$C$16,3,0))*E3658)+IF(B3658="iFood",F3658*0.27,(VLOOKUP(VENDAS!C3658,Bairros!$A$2:$B$90,2,0))))</f>
        <v/>
      </c>
      <c r="J3658" s="7" t="str">
        <f t="shared" si="229"/>
        <v/>
      </c>
      <c r="K3658" s="9">
        <f t="shared" ca="1" si="230"/>
        <v>45404.878290162036</v>
      </c>
      <c r="L3658" s="10">
        <f t="shared" ca="1" si="231"/>
        <v>45404.878290046297</v>
      </c>
    </row>
    <row r="3659" spans="6:12" x14ac:dyDescent="0.25">
      <c r="F3659" s="11" t="str">
        <f>IF(ISBLANK(D3659),"",(VLOOKUP(D3659,Cardápio!$A$2:$B$16,2,0))*E3659)</f>
        <v/>
      </c>
      <c r="H3659" s="7" t="str">
        <f t="shared" si="228"/>
        <v/>
      </c>
      <c r="I3659" s="7" t="str">
        <f>IF(AND(ISBLANK(D3659),ISBLANK(C3659)),"",((VLOOKUP(D3659,Cardápio!$A$2:$C$16,3,0))*E3659)+IF(B3659="iFood",F3659*0.27,(VLOOKUP(VENDAS!C3659,Bairros!$A$2:$B$90,2,0))))</f>
        <v/>
      </c>
      <c r="J3659" s="7" t="str">
        <f t="shared" si="229"/>
        <v/>
      </c>
      <c r="K3659" s="9">
        <f t="shared" ca="1" si="230"/>
        <v>45404.878290162036</v>
      </c>
      <c r="L3659" s="10">
        <f t="shared" ca="1" si="231"/>
        <v>45404.878290162036</v>
      </c>
    </row>
    <row r="3660" spans="6:12" x14ac:dyDescent="0.25">
      <c r="F3660" s="11" t="str">
        <f>IF(ISBLANK(D3660),"",(VLOOKUP(D3660,Cardápio!$A$2:$B$16,2,0))*E3660)</f>
        <v/>
      </c>
      <c r="H3660" s="7" t="str">
        <f t="shared" si="228"/>
        <v/>
      </c>
      <c r="I3660" s="7" t="str">
        <f>IF(AND(ISBLANK(D3660),ISBLANK(C3660)),"",((VLOOKUP(D3660,Cardápio!$A$2:$C$16,3,0))*E3660)+IF(B3660="iFood",F3660*0.27,(VLOOKUP(VENDAS!C3660,Bairros!$A$2:$B$90,2,0))))</f>
        <v/>
      </c>
      <c r="J3660" s="7" t="str">
        <f t="shared" si="229"/>
        <v/>
      </c>
      <c r="K3660" s="9">
        <f t="shared" ca="1" si="230"/>
        <v>45404.878290162036</v>
      </c>
      <c r="L3660" s="10">
        <f t="shared" ca="1" si="231"/>
        <v>45404.878290046297</v>
      </c>
    </row>
    <row r="3661" spans="6:12" x14ac:dyDescent="0.25">
      <c r="F3661" s="11" t="str">
        <f>IF(ISBLANK(D3661),"",(VLOOKUP(D3661,Cardápio!$A$2:$B$16,2,0))*E3661)</f>
        <v/>
      </c>
      <c r="H3661" s="7" t="str">
        <f t="shared" si="228"/>
        <v/>
      </c>
      <c r="I3661" s="7" t="str">
        <f>IF(AND(ISBLANK(D3661),ISBLANK(C3661)),"",((VLOOKUP(D3661,Cardápio!$A$2:$C$16,3,0))*E3661)+IF(B3661="iFood",F3661*0.27,(VLOOKUP(VENDAS!C3661,Bairros!$A$2:$B$90,2,0))))</f>
        <v/>
      </c>
      <c r="J3661" s="7" t="str">
        <f t="shared" si="229"/>
        <v/>
      </c>
      <c r="K3661" s="9">
        <f t="shared" ca="1" si="230"/>
        <v>45404.878290277775</v>
      </c>
      <c r="L3661" s="10">
        <f t="shared" ca="1" si="231"/>
        <v>45404.878290046297</v>
      </c>
    </row>
    <row r="3662" spans="6:12" x14ac:dyDescent="0.25">
      <c r="F3662" s="11" t="str">
        <f>IF(ISBLANK(D3662),"",(VLOOKUP(D3662,Cardápio!$A$2:$B$16,2,0))*E3662)</f>
        <v/>
      </c>
      <c r="H3662" s="7" t="str">
        <f t="shared" si="228"/>
        <v/>
      </c>
      <c r="I3662" s="7" t="str">
        <f>IF(AND(ISBLANK(D3662),ISBLANK(C3662)),"",((VLOOKUP(D3662,Cardápio!$A$2:$C$16,3,0))*E3662)+IF(B3662="iFood",F3662*0.27,(VLOOKUP(VENDAS!C3662,Bairros!$A$2:$B$90,2,0))))</f>
        <v/>
      </c>
      <c r="J3662" s="7" t="str">
        <f t="shared" si="229"/>
        <v/>
      </c>
      <c r="K3662" s="9">
        <f t="shared" ca="1" si="230"/>
        <v>45404.878290162036</v>
      </c>
      <c r="L3662" s="10">
        <f t="shared" ca="1" si="231"/>
        <v>45404.878290046297</v>
      </c>
    </row>
    <row r="3663" spans="6:12" x14ac:dyDescent="0.25">
      <c r="F3663" s="11" t="str">
        <f>IF(ISBLANK(D3663),"",(VLOOKUP(D3663,Cardápio!$A$2:$B$16,2,0))*E3663)</f>
        <v/>
      </c>
      <c r="H3663" s="7" t="str">
        <f t="shared" si="228"/>
        <v/>
      </c>
      <c r="I3663" s="7" t="str">
        <f>IF(AND(ISBLANK(D3663),ISBLANK(C3663)),"",((VLOOKUP(D3663,Cardápio!$A$2:$C$16,3,0))*E3663)+IF(B3663="iFood",F3663*0.27,(VLOOKUP(VENDAS!C3663,Bairros!$A$2:$B$90,2,0))))</f>
        <v/>
      </c>
      <c r="J3663" s="7" t="str">
        <f t="shared" si="229"/>
        <v/>
      </c>
      <c r="K3663" s="9">
        <f t="shared" ca="1" si="230"/>
        <v>45404.878290162036</v>
      </c>
      <c r="L3663" s="10">
        <f t="shared" ca="1" si="231"/>
        <v>45404.878290162036</v>
      </c>
    </row>
    <row r="3664" spans="6:12" x14ac:dyDescent="0.25">
      <c r="F3664" s="11" t="str">
        <f>IF(ISBLANK(D3664),"",(VLOOKUP(D3664,Cardápio!$A$2:$B$16,2,0))*E3664)</f>
        <v/>
      </c>
      <c r="H3664" s="7" t="str">
        <f t="shared" si="228"/>
        <v/>
      </c>
      <c r="I3664" s="7" t="str">
        <f>IF(AND(ISBLANK(D3664),ISBLANK(C3664)),"",((VLOOKUP(D3664,Cardápio!$A$2:$C$16,3,0))*E3664)+IF(B3664="iFood",F3664*0.27,(VLOOKUP(VENDAS!C3664,Bairros!$A$2:$B$90,2,0))))</f>
        <v/>
      </c>
      <c r="J3664" s="7" t="str">
        <f t="shared" si="229"/>
        <v/>
      </c>
      <c r="K3664" s="9">
        <f t="shared" ca="1" si="230"/>
        <v>45404.878290162036</v>
      </c>
      <c r="L3664" s="10">
        <f t="shared" ca="1" si="231"/>
        <v>45404.878290046297</v>
      </c>
    </row>
    <row r="3665" spans="6:12" x14ac:dyDescent="0.25">
      <c r="F3665" s="11" t="str">
        <f>IF(ISBLANK(D3665),"",(VLOOKUP(D3665,Cardápio!$A$2:$B$16,2,0))*E3665)</f>
        <v/>
      </c>
      <c r="H3665" s="7" t="str">
        <f t="shared" si="228"/>
        <v/>
      </c>
      <c r="I3665" s="7" t="str">
        <f>IF(AND(ISBLANK(D3665),ISBLANK(C3665)),"",((VLOOKUP(D3665,Cardápio!$A$2:$C$16,3,0))*E3665)+IF(B3665="iFood",F3665*0.27,(VLOOKUP(VENDAS!C3665,Bairros!$A$2:$B$90,2,0))))</f>
        <v/>
      </c>
      <c r="J3665" s="7" t="str">
        <f t="shared" si="229"/>
        <v/>
      </c>
      <c r="K3665" s="9">
        <f t="shared" ca="1" si="230"/>
        <v>45404.878290277775</v>
      </c>
      <c r="L3665" s="10">
        <f t="shared" ca="1" si="231"/>
        <v>45404.878290046297</v>
      </c>
    </row>
    <row r="3666" spans="6:12" x14ac:dyDescent="0.25">
      <c r="F3666" s="11" t="str">
        <f>IF(ISBLANK(D3666),"",(VLOOKUP(D3666,Cardápio!$A$2:$B$16,2,0))*E3666)</f>
        <v/>
      </c>
      <c r="H3666" s="7" t="str">
        <f t="shared" si="228"/>
        <v/>
      </c>
      <c r="I3666" s="7" t="str">
        <f>IF(AND(ISBLANK(D3666),ISBLANK(C3666)),"",((VLOOKUP(D3666,Cardápio!$A$2:$C$16,3,0))*E3666)+IF(B3666="iFood",F3666*0.27,(VLOOKUP(VENDAS!C3666,Bairros!$A$2:$B$90,2,0))))</f>
        <v/>
      </c>
      <c r="J3666" s="7" t="str">
        <f t="shared" si="229"/>
        <v/>
      </c>
      <c r="K3666" s="9">
        <f t="shared" ca="1" si="230"/>
        <v>45404.878290162036</v>
      </c>
      <c r="L3666" s="10">
        <f t="shared" ca="1" si="231"/>
        <v>45404.878290046297</v>
      </c>
    </row>
    <row r="3667" spans="6:12" x14ac:dyDescent="0.25">
      <c r="F3667" s="11" t="str">
        <f>IF(ISBLANK(D3667),"",(VLOOKUP(D3667,Cardápio!$A$2:$B$16,2,0))*E3667)</f>
        <v/>
      </c>
      <c r="H3667" s="7" t="str">
        <f t="shared" si="228"/>
        <v/>
      </c>
      <c r="I3667" s="7" t="str">
        <f>IF(AND(ISBLANK(D3667),ISBLANK(C3667)),"",((VLOOKUP(D3667,Cardápio!$A$2:$C$16,3,0))*E3667)+IF(B3667="iFood",F3667*0.27,(VLOOKUP(VENDAS!C3667,Bairros!$A$2:$B$90,2,0))))</f>
        <v/>
      </c>
      <c r="J3667" s="7" t="str">
        <f t="shared" si="229"/>
        <v/>
      </c>
      <c r="K3667" s="9">
        <f t="shared" ca="1" si="230"/>
        <v>45404.878290162036</v>
      </c>
      <c r="L3667" s="10">
        <f t="shared" ca="1" si="231"/>
        <v>45404.878290162036</v>
      </c>
    </row>
    <row r="3668" spans="6:12" x14ac:dyDescent="0.25">
      <c r="F3668" s="11" t="str">
        <f>IF(ISBLANK(D3668),"",(VLOOKUP(D3668,Cardápio!$A$2:$B$16,2,0))*E3668)</f>
        <v/>
      </c>
      <c r="H3668" s="7" t="str">
        <f t="shared" si="228"/>
        <v/>
      </c>
      <c r="I3668" s="7" t="str">
        <f>IF(AND(ISBLANK(D3668),ISBLANK(C3668)),"",((VLOOKUP(D3668,Cardápio!$A$2:$C$16,3,0))*E3668)+IF(B3668="iFood",F3668*0.27,(VLOOKUP(VENDAS!C3668,Bairros!$A$2:$B$90,2,0))))</f>
        <v/>
      </c>
      <c r="J3668" s="7" t="str">
        <f t="shared" si="229"/>
        <v/>
      </c>
      <c r="K3668" s="9">
        <f t="shared" ca="1" si="230"/>
        <v>45404.878290162036</v>
      </c>
      <c r="L3668" s="10">
        <f t="shared" ca="1" si="231"/>
        <v>45404.878290046297</v>
      </c>
    </row>
    <row r="3669" spans="6:12" x14ac:dyDescent="0.25">
      <c r="F3669" s="11" t="str">
        <f>IF(ISBLANK(D3669),"",(VLOOKUP(D3669,Cardápio!$A$2:$B$16,2,0))*E3669)</f>
        <v/>
      </c>
      <c r="H3669" s="7" t="str">
        <f t="shared" si="228"/>
        <v/>
      </c>
      <c r="I3669" s="7" t="str">
        <f>IF(AND(ISBLANK(D3669),ISBLANK(C3669)),"",((VLOOKUP(D3669,Cardápio!$A$2:$C$16,3,0))*E3669)+IF(B3669="iFood",F3669*0.27,(VLOOKUP(VENDAS!C3669,Bairros!$A$2:$B$90,2,0))))</f>
        <v/>
      </c>
      <c r="J3669" s="7" t="str">
        <f t="shared" si="229"/>
        <v/>
      </c>
      <c r="K3669" s="9">
        <f t="shared" ca="1" si="230"/>
        <v>45404.878290277775</v>
      </c>
      <c r="L3669" s="10">
        <f t="shared" ca="1" si="231"/>
        <v>45404.878290046297</v>
      </c>
    </row>
    <row r="3670" spans="6:12" x14ac:dyDescent="0.25">
      <c r="F3670" s="11" t="str">
        <f>IF(ISBLANK(D3670),"",(VLOOKUP(D3670,Cardápio!$A$2:$B$16,2,0))*E3670)</f>
        <v/>
      </c>
      <c r="H3670" s="7" t="str">
        <f t="shared" si="228"/>
        <v/>
      </c>
      <c r="I3670" s="7" t="str">
        <f>IF(AND(ISBLANK(D3670),ISBLANK(C3670)),"",((VLOOKUP(D3670,Cardápio!$A$2:$C$16,3,0))*E3670)+IF(B3670="iFood",F3670*0.27,(VLOOKUP(VENDAS!C3670,Bairros!$A$2:$B$90,2,0))))</f>
        <v/>
      </c>
      <c r="J3670" s="7" t="str">
        <f t="shared" si="229"/>
        <v/>
      </c>
      <c r="K3670" s="9">
        <f t="shared" ca="1" si="230"/>
        <v>45404.878290162036</v>
      </c>
      <c r="L3670" s="10">
        <f t="shared" ca="1" si="231"/>
        <v>45404.878290046297</v>
      </c>
    </row>
    <row r="3671" spans="6:12" x14ac:dyDescent="0.25">
      <c r="F3671" s="11" t="str">
        <f>IF(ISBLANK(D3671),"",(VLOOKUP(D3671,Cardápio!$A$2:$B$16,2,0))*E3671)</f>
        <v/>
      </c>
      <c r="H3671" s="7" t="str">
        <f t="shared" si="228"/>
        <v/>
      </c>
      <c r="I3671" s="7" t="str">
        <f>IF(AND(ISBLANK(D3671),ISBLANK(C3671)),"",((VLOOKUP(D3671,Cardápio!$A$2:$C$16,3,0))*E3671)+IF(B3671="iFood",F3671*0.27,(VLOOKUP(VENDAS!C3671,Bairros!$A$2:$B$90,2,0))))</f>
        <v/>
      </c>
      <c r="J3671" s="7" t="str">
        <f t="shared" si="229"/>
        <v/>
      </c>
      <c r="K3671" s="9">
        <f t="shared" ca="1" si="230"/>
        <v>45404.878290162036</v>
      </c>
      <c r="L3671" s="10">
        <f t="shared" ca="1" si="231"/>
        <v>45404.878290162036</v>
      </c>
    </row>
    <row r="3672" spans="6:12" x14ac:dyDescent="0.25">
      <c r="F3672" s="11" t="str">
        <f>IF(ISBLANK(D3672),"",(VLOOKUP(D3672,Cardápio!$A$2:$B$16,2,0))*E3672)</f>
        <v/>
      </c>
      <c r="H3672" s="7" t="str">
        <f t="shared" si="228"/>
        <v/>
      </c>
      <c r="I3672" s="7" t="str">
        <f>IF(AND(ISBLANK(D3672),ISBLANK(C3672)),"",((VLOOKUP(D3672,Cardápio!$A$2:$C$16,3,0))*E3672)+IF(B3672="iFood",F3672*0.27,(VLOOKUP(VENDAS!C3672,Bairros!$A$2:$B$90,2,0))))</f>
        <v/>
      </c>
      <c r="J3672" s="7" t="str">
        <f t="shared" si="229"/>
        <v/>
      </c>
      <c r="K3672" s="9">
        <f t="shared" ca="1" si="230"/>
        <v>45404.878290162036</v>
      </c>
      <c r="L3672" s="10">
        <f t="shared" ca="1" si="231"/>
        <v>45404.878290046297</v>
      </c>
    </row>
    <row r="3673" spans="6:12" x14ac:dyDescent="0.25">
      <c r="F3673" s="11" t="str">
        <f>IF(ISBLANK(D3673),"",(VLOOKUP(D3673,Cardápio!$A$2:$B$16,2,0))*E3673)</f>
        <v/>
      </c>
      <c r="H3673" s="7" t="str">
        <f t="shared" si="228"/>
        <v/>
      </c>
      <c r="I3673" s="7" t="str">
        <f>IF(AND(ISBLANK(D3673),ISBLANK(C3673)),"",((VLOOKUP(D3673,Cardápio!$A$2:$C$16,3,0))*E3673)+IF(B3673="iFood",F3673*0.27,(VLOOKUP(VENDAS!C3673,Bairros!$A$2:$B$90,2,0))))</f>
        <v/>
      </c>
      <c r="J3673" s="7" t="str">
        <f t="shared" si="229"/>
        <v/>
      </c>
      <c r="K3673" s="9">
        <f t="shared" ca="1" si="230"/>
        <v>45404.878290277775</v>
      </c>
      <c r="L3673" s="10">
        <f t="shared" ca="1" si="231"/>
        <v>45404.878290046297</v>
      </c>
    </row>
    <row r="3674" spans="6:12" x14ac:dyDescent="0.25">
      <c r="F3674" s="11" t="str">
        <f>IF(ISBLANK(D3674),"",(VLOOKUP(D3674,Cardápio!$A$2:$B$16,2,0))*E3674)</f>
        <v/>
      </c>
      <c r="H3674" s="7" t="str">
        <f t="shared" si="228"/>
        <v/>
      </c>
      <c r="I3674" s="7" t="str">
        <f>IF(AND(ISBLANK(D3674),ISBLANK(C3674)),"",((VLOOKUP(D3674,Cardápio!$A$2:$C$16,3,0))*E3674)+IF(B3674="iFood",F3674*0.27,(VLOOKUP(VENDAS!C3674,Bairros!$A$2:$B$90,2,0))))</f>
        <v/>
      </c>
      <c r="J3674" s="7" t="str">
        <f t="shared" si="229"/>
        <v/>
      </c>
      <c r="K3674" s="9">
        <f t="shared" ca="1" si="230"/>
        <v>45404.878290162036</v>
      </c>
      <c r="L3674" s="10">
        <f t="shared" ca="1" si="231"/>
        <v>45404.878290046297</v>
      </c>
    </row>
    <row r="3675" spans="6:12" x14ac:dyDescent="0.25">
      <c r="F3675" s="11" t="str">
        <f>IF(ISBLANK(D3675),"",(VLOOKUP(D3675,Cardápio!$A$2:$B$16,2,0))*E3675)</f>
        <v/>
      </c>
      <c r="H3675" s="7" t="str">
        <f t="shared" si="228"/>
        <v/>
      </c>
      <c r="I3675" s="7" t="str">
        <f>IF(AND(ISBLANK(D3675),ISBLANK(C3675)),"",((VLOOKUP(D3675,Cardápio!$A$2:$C$16,3,0))*E3675)+IF(B3675="iFood",F3675*0.27,(VLOOKUP(VENDAS!C3675,Bairros!$A$2:$B$90,2,0))))</f>
        <v/>
      </c>
      <c r="J3675" s="7" t="str">
        <f t="shared" si="229"/>
        <v/>
      </c>
      <c r="K3675" s="9">
        <f t="shared" ca="1" si="230"/>
        <v>45404.878290162036</v>
      </c>
      <c r="L3675" s="10">
        <f t="shared" ca="1" si="231"/>
        <v>45404.878290162036</v>
      </c>
    </row>
    <row r="3676" spans="6:12" x14ac:dyDescent="0.25">
      <c r="F3676" s="11" t="str">
        <f>IF(ISBLANK(D3676),"",(VLOOKUP(D3676,Cardápio!$A$2:$B$16,2,0))*E3676)</f>
        <v/>
      </c>
      <c r="H3676" s="7" t="str">
        <f t="shared" si="228"/>
        <v/>
      </c>
      <c r="I3676" s="7" t="str">
        <f>IF(AND(ISBLANK(D3676),ISBLANK(C3676)),"",((VLOOKUP(D3676,Cardápio!$A$2:$C$16,3,0))*E3676)+IF(B3676="iFood",F3676*0.27,(VLOOKUP(VENDAS!C3676,Bairros!$A$2:$B$90,2,0))))</f>
        <v/>
      </c>
      <c r="J3676" s="7" t="str">
        <f t="shared" si="229"/>
        <v/>
      </c>
      <c r="K3676" s="9">
        <f t="shared" ca="1" si="230"/>
        <v>45404.878290162036</v>
      </c>
      <c r="L3676" s="10">
        <f t="shared" ca="1" si="231"/>
        <v>45404.878290046297</v>
      </c>
    </row>
    <row r="3677" spans="6:12" x14ac:dyDescent="0.25">
      <c r="F3677" s="11" t="str">
        <f>IF(ISBLANK(D3677),"",(VLOOKUP(D3677,Cardápio!$A$2:$B$16,2,0))*E3677)</f>
        <v/>
      </c>
      <c r="H3677" s="7" t="str">
        <f t="shared" si="228"/>
        <v/>
      </c>
      <c r="I3677" s="7" t="str">
        <f>IF(AND(ISBLANK(D3677),ISBLANK(C3677)),"",((VLOOKUP(D3677,Cardápio!$A$2:$C$16,3,0))*E3677)+IF(B3677="iFood",F3677*0.27,(VLOOKUP(VENDAS!C3677,Bairros!$A$2:$B$90,2,0))))</f>
        <v/>
      </c>
      <c r="J3677" s="7" t="str">
        <f t="shared" si="229"/>
        <v/>
      </c>
      <c r="K3677" s="9">
        <f t="shared" ca="1" si="230"/>
        <v>45404.878290277775</v>
      </c>
      <c r="L3677" s="10">
        <f t="shared" ca="1" si="231"/>
        <v>45404.878290046297</v>
      </c>
    </row>
    <row r="3678" spans="6:12" x14ac:dyDescent="0.25">
      <c r="F3678" s="11" t="str">
        <f>IF(ISBLANK(D3678),"",(VLOOKUP(D3678,Cardápio!$A$2:$B$16,2,0))*E3678)</f>
        <v/>
      </c>
      <c r="H3678" s="7" t="str">
        <f t="shared" si="228"/>
        <v/>
      </c>
      <c r="I3678" s="7" t="str">
        <f>IF(AND(ISBLANK(D3678),ISBLANK(C3678)),"",((VLOOKUP(D3678,Cardápio!$A$2:$C$16,3,0))*E3678)+IF(B3678="iFood",F3678*0.27,(VLOOKUP(VENDAS!C3678,Bairros!$A$2:$B$90,2,0))))</f>
        <v/>
      </c>
      <c r="J3678" s="7" t="str">
        <f t="shared" si="229"/>
        <v/>
      </c>
      <c r="K3678" s="9">
        <f t="shared" ca="1" si="230"/>
        <v>45404.878290162036</v>
      </c>
      <c r="L3678" s="10">
        <f t="shared" ca="1" si="231"/>
        <v>45404.878290046297</v>
      </c>
    </row>
    <row r="3679" spans="6:12" x14ac:dyDescent="0.25">
      <c r="F3679" s="11" t="str">
        <f>IF(ISBLANK(D3679),"",(VLOOKUP(D3679,Cardápio!$A$2:$B$16,2,0))*E3679)</f>
        <v/>
      </c>
      <c r="H3679" s="7" t="str">
        <f t="shared" si="228"/>
        <v/>
      </c>
      <c r="I3679" s="7" t="str">
        <f>IF(AND(ISBLANK(D3679),ISBLANK(C3679)),"",((VLOOKUP(D3679,Cardápio!$A$2:$C$16,3,0))*E3679)+IF(B3679="iFood",F3679*0.27,(VLOOKUP(VENDAS!C3679,Bairros!$A$2:$B$90,2,0))))</f>
        <v/>
      </c>
      <c r="J3679" s="7" t="str">
        <f t="shared" si="229"/>
        <v/>
      </c>
      <c r="K3679" s="9">
        <f t="shared" ca="1" si="230"/>
        <v>45404.878290162036</v>
      </c>
      <c r="L3679" s="10">
        <f t="shared" ca="1" si="231"/>
        <v>45404.878290162036</v>
      </c>
    </row>
    <row r="3680" spans="6:12" x14ac:dyDescent="0.25">
      <c r="F3680" s="11" t="str">
        <f>IF(ISBLANK(D3680),"",(VLOOKUP(D3680,Cardápio!$A$2:$B$16,2,0))*E3680)</f>
        <v/>
      </c>
      <c r="H3680" s="7" t="str">
        <f t="shared" si="228"/>
        <v/>
      </c>
      <c r="I3680" s="7" t="str">
        <f>IF(AND(ISBLANK(D3680),ISBLANK(C3680)),"",((VLOOKUP(D3680,Cardápio!$A$2:$C$16,3,0))*E3680)+IF(B3680="iFood",F3680*0.27,(VLOOKUP(VENDAS!C3680,Bairros!$A$2:$B$90,2,0))))</f>
        <v/>
      </c>
      <c r="J3680" s="7" t="str">
        <f t="shared" si="229"/>
        <v/>
      </c>
      <c r="K3680" s="9">
        <f t="shared" ca="1" si="230"/>
        <v>45404.878290162036</v>
      </c>
      <c r="L3680" s="10">
        <f t="shared" ca="1" si="231"/>
        <v>45404.878290046297</v>
      </c>
    </row>
    <row r="3681" spans="6:12" x14ac:dyDescent="0.25">
      <c r="F3681" s="11" t="str">
        <f>IF(ISBLANK(D3681),"",(VLOOKUP(D3681,Cardápio!$A$2:$B$16,2,0))*E3681)</f>
        <v/>
      </c>
      <c r="H3681" s="7" t="str">
        <f t="shared" si="228"/>
        <v/>
      </c>
      <c r="I3681" s="7" t="str">
        <f>IF(AND(ISBLANK(D3681),ISBLANK(C3681)),"",((VLOOKUP(D3681,Cardápio!$A$2:$C$16,3,0))*E3681)+IF(B3681="iFood",F3681*0.27,(VLOOKUP(VENDAS!C3681,Bairros!$A$2:$B$90,2,0))))</f>
        <v/>
      </c>
      <c r="J3681" s="7" t="str">
        <f t="shared" si="229"/>
        <v/>
      </c>
      <c r="K3681" s="9">
        <f t="shared" ca="1" si="230"/>
        <v>45404.878290277775</v>
      </c>
      <c r="L3681" s="10">
        <f t="shared" ca="1" si="231"/>
        <v>45404.878290046297</v>
      </c>
    </row>
    <row r="3682" spans="6:12" x14ac:dyDescent="0.25">
      <c r="F3682" s="11" t="str">
        <f>IF(ISBLANK(D3682),"",(VLOOKUP(D3682,Cardápio!$A$2:$B$16,2,0))*E3682)</f>
        <v/>
      </c>
      <c r="H3682" s="7" t="str">
        <f t="shared" si="228"/>
        <v/>
      </c>
      <c r="I3682" s="7" t="str">
        <f>IF(AND(ISBLANK(D3682),ISBLANK(C3682)),"",((VLOOKUP(D3682,Cardápio!$A$2:$C$16,3,0))*E3682)+IF(B3682="iFood",F3682*0.27,(VLOOKUP(VENDAS!C3682,Bairros!$A$2:$B$90,2,0))))</f>
        <v/>
      </c>
      <c r="J3682" s="7" t="str">
        <f t="shared" si="229"/>
        <v/>
      </c>
      <c r="K3682" s="9">
        <f t="shared" ca="1" si="230"/>
        <v>45404.878290162036</v>
      </c>
      <c r="L3682" s="10">
        <f t="shared" ca="1" si="231"/>
        <v>45404.878290046297</v>
      </c>
    </row>
    <row r="3683" spans="6:12" x14ac:dyDescent="0.25">
      <c r="F3683" s="11" t="str">
        <f>IF(ISBLANK(D3683),"",(VLOOKUP(D3683,Cardápio!$A$2:$B$16,2,0))*E3683)</f>
        <v/>
      </c>
      <c r="H3683" s="7" t="str">
        <f t="shared" si="228"/>
        <v/>
      </c>
      <c r="I3683" s="7" t="str">
        <f>IF(AND(ISBLANK(D3683),ISBLANK(C3683)),"",((VLOOKUP(D3683,Cardápio!$A$2:$C$16,3,0))*E3683)+IF(B3683="iFood",F3683*0.27,(VLOOKUP(VENDAS!C3683,Bairros!$A$2:$B$90,2,0))))</f>
        <v/>
      </c>
      <c r="J3683" s="7" t="str">
        <f t="shared" si="229"/>
        <v/>
      </c>
      <c r="K3683" s="9">
        <f t="shared" ca="1" si="230"/>
        <v>45404.878290162036</v>
      </c>
      <c r="L3683" s="10">
        <f t="shared" ca="1" si="231"/>
        <v>45404.878290162036</v>
      </c>
    </row>
    <row r="3684" spans="6:12" x14ac:dyDescent="0.25">
      <c r="F3684" s="11" t="str">
        <f>IF(ISBLANK(D3684),"",(VLOOKUP(D3684,Cardápio!$A$2:$B$16,2,0))*E3684)</f>
        <v/>
      </c>
      <c r="H3684" s="7" t="str">
        <f t="shared" si="228"/>
        <v/>
      </c>
      <c r="I3684" s="7" t="str">
        <f>IF(AND(ISBLANK(D3684),ISBLANK(C3684)),"",((VLOOKUP(D3684,Cardápio!$A$2:$C$16,3,0))*E3684)+IF(B3684="iFood",F3684*0.27,(VLOOKUP(VENDAS!C3684,Bairros!$A$2:$B$90,2,0))))</f>
        <v/>
      </c>
      <c r="J3684" s="7" t="str">
        <f t="shared" si="229"/>
        <v/>
      </c>
      <c r="K3684" s="9">
        <f t="shared" ca="1" si="230"/>
        <v>45404.878290162036</v>
      </c>
      <c r="L3684" s="10">
        <f t="shared" ca="1" si="231"/>
        <v>45404.878290046297</v>
      </c>
    </row>
    <row r="3685" spans="6:12" x14ac:dyDescent="0.25">
      <c r="F3685" s="11" t="str">
        <f>IF(ISBLANK(D3685),"",(VLOOKUP(D3685,Cardápio!$A$2:$B$16,2,0))*E3685)</f>
        <v/>
      </c>
      <c r="H3685" s="7" t="str">
        <f t="shared" si="228"/>
        <v/>
      </c>
      <c r="I3685" s="7" t="str">
        <f>IF(AND(ISBLANK(D3685),ISBLANK(C3685)),"",((VLOOKUP(D3685,Cardápio!$A$2:$C$16,3,0))*E3685)+IF(B3685="iFood",F3685*0.27,(VLOOKUP(VENDAS!C3685,Bairros!$A$2:$B$90,2,0))))</f>
        <v/>
      </c>
      <c r="J3685" s="7" t="str">
        <f t="shared" si="229"/>
        <v/>
      </c>
      <c r="K3685" s="9">
        <f t="shared" ca="1" si="230"/>
        <v>45404.878290277775</v>
      </c>
      <c r="L3685" s="10">
        <f t="shared" ca="1" si="231"/>
        <v>45404.878290046297</v>
      </c>
    </row>
    <row r="3686" spans="6:12" x14ac:dyDescent="0.25">
      <c r="F3686" s="11" t="str">
        <f>IF(ISBLANK(D3686),"",(VLOOKUP(D3686,Cardápio!$A$2:$B$16,2,0))*E3686)</f>
        <v/>
      </c>
      <c r="H3686" s="7" t="str">
        <f t="shared" si="228"/>
        <v/>
      </c>
      <c r="I3686" s="7" t="str">
        <f>IF(AND(ISBLANK(D3686),ISBLANK(C3686)),"",((VLOOKUP(D3686,Cardápio!$A$2:$C$16,3,0))*E3686)+IF(B3686="iFood",F3686*0.27,(VLOOKUP(VENDAS!C3686,Bairros!$A$2:$B$90,2,0))))</f>
        <v/>
      </c>
      <c r="J3686" s="7" t="str">
        <f t="shared" si="229"/>
        <v/>
      </c>
      <c r="K3686" s="9">
        <f t="shared" ca="1" si="230"/>
        <v>45404.878290162036</v>
      </c>
      <c r="L3686" s="10">
        <f t="shared" ca="1" si="231"/>
        <v>45404.878290046297</v>
      </c>
    </row>
    <row r="3687" spans="6:12" x14ac:dyDescent="0.25">
      <c r="F3687" s="11" t="str">
        <f>IF(ISBLANK(D3687),"",(VLOOKUP(D3687,Cardápio!$A$2:$B$16,2,0))*E3687)</f>
        <v/>
      </c>
      <c r="H3687" s="7" t="str">
        <f t="shared" si="228"/>
        <v/>
      </c>
      <c r="I3687" s="7" t="str">
        <f>IF(AND(ISBLANK(D3687),ISBLANK(C3687)),"",((VLOOKUP(D3687,Cardápio!$A$2:$C$16,3,0))*E3687)+IF(B3687="iFood",F3687*0.27,(VLOOKUP(VENDAS!C3687,Bairros!$A$2:$B$90,2,0))))</f>
        <v/>
      </c>
      <c r="J3687" s="7" t="str">
        <f t="shared" si="229"/>
        <v/>
      </c>
      <c r="K3687" s="9">
        <f t="shared" ca="1" si="230"/>
        <v>45404.878290162036</v>
      </c>
      <c r="L3687" s="10">
        <f t="shared" ca="1" si="231"/>
        <v>45404.878290162036</v>
      </c>
    </row>
    <row r="3688" spans="6:12" x14ac:dyDescent="0.25">
      <c r="F3688" s="11" t="str">
        <f>IF(ISBLANK(D3688),"",(VLOOKUP(D3688,Cardápio!$A$2:$B$16,2,0))*E3688)</f>
        <v/>
      </c>
      <c r="H3688" s="7" t="str">
        <f t="shared" si="228"/>
        <v/>
      </c>
      <c r="I3688" s="7" t="str">
        <f>IF(AND(ISBLANK(D3688),ISBLANK(C3688)),"",((VLOOKUP(D3688,Cardápio!$A$2:$C$16,3,0))*E3688)+IF(B3688="iFood",F3688*0.27,(VLOOKUP(VENDAS!C3688,Bairros!$A$2:$B$90,2,0))))</f>
        <v/>
      </c>
      <c r="J3688" s="7" t="str">
        <f t="shared" si="229"/>
        <v/>
      </c>
      <c r="K3688" s="9">
        <f t="shared" ca="1" si="230"/>
        <v>45404.878290162036</v>
      </c>
      <c r="L3688" s="10">
        <f t="shared" ca="1" si="231"/>
        <v>45404.878290046297</v>
      </c>
    </row>
    <row r="3689" spans="6:12" x14ac:dyDescent="0.25">
      <c r="F3689" s="11" t="str">
        <f>IF(ISBLANK(D3689),"",(VLOOKUP(D3689,Cardápio!$A$2:$B$16,2,0))*E3689)</f>
        <v/>
      </c>
      <c r="H3689" s="7" t="str">
        <f t="shared" si="228"/>
        <v/>
      </c>
      <c r="I3689" s="7" t="str">
        <f>IF(AND(ISBLANK(D3689),ISBLANK(C3689)),"",((VLOOKUP(D3689,Cardápio!$A$2:$C$16,3,0))*E3689)+IF(B3689="iFood",F3689*0.27,(VLOOKUP(VENDAS!C3689,Bairros!$A$2:$B$90,2,0))))</f>
        <v/>
      </c>
      <c r="J3689" s="7" t="str">
        <f t="shared" si="229"/>
        <v/>
      </c>
      <c r="K3689" s="9">
        <f t="shared" ca="1" si="230"/>
        <v>45404.878290277775</v>
      </c>
      <c r="L3689" s="10">
        <f t="shared" ca="1" si="231"/>
        <v>45404.878290046297</v>
      </c>
    </row>
    <row r="3690" spans="6:12" x14ac:dyDescent="0.25">
      <c r="F3690" s="11" t="str">
        <f>IF(ISBLANK(D3690),"",(VLOOKUP(D3690,Cardápio!$A$2:$B$16,2,0))*E3690)</f>
        <v/>
      </c>
      <c r="H3690" s="7" t="str">
        <f t="shared" si="228"/>
        <v/>
      </c>
      <c r="I3690" s="7" t="str">
        <f>IF(AND(ISBLANK(D3690),ISBLANK(C3690)),"",((VLOOKUP(D3690,Cardápio!$A$2:$C$16,3,0))*E3690)+IF(B3690="iFood",F3690*0.27,(VLOOKUP(VENDAS!C3690,Bairros!$A$2:$B$90,2,0))))</f>
        <v/>
      </c>
      <c r="J3690" s="7" t="str">
        <f t="shared" si="229"/>
        <v/>
      </c>
      <c r="K3690" s="9">
        <f t="shared" ca="1" si="230"/>
        <v>45404.878290162036</v>
      </c>
      <c r="L3690" s="10">
        <f t="shared" ca="1" si="231"/>
        <v>45404.878290046297</v>
      </c>
    </row>
    <row r="3691" spans="6:12" x14ac:dyDescent="0.25">
      <c r="F3691" s="11" t="str">
        <f>IF(ISBLANK(D3691),"",(VLOOKUP(D3691,Cardápio!$A$2:$B$16,2,0))*E3691)</f>
        <v/>
      </c>
      <c r="H3691" s="7" t="str">
        <f t="shared" si="228"/>
        <v/>
      </c>
      <c r="I3691" s="7" t="str">
        <f>IF(AND(ISBLANK(D3691),ISBLANK(C3691)),"",((VLOOKUP(D3691,Cardápio!$A$2:$C$16,3,0))*E3691)+IF(B3691="iFood",F3691*0.27,(VLOOKUP(VENDAS!C3691,Bairros!$A$2:$B$90,2,0))))</f>
        <v/>
      </c>
      <c r="J3691" s="7" t="str">
        <f t="shared" si="229"/>
        <v/>
      </c>
      <c r="K3691" s="9">
        <f t="shared" ca="1" si="230"/>
        <v>45404.878290162036</v>
      </c>
      <c r="L3691" s="10">
        <f t="shared" ca="1" si="231"/>
        <v>45404.878290162036</v>
      </c>
    </row>
    <row r="3692" spans="6:12" x14ac:dyDescent="0.25">
      <c r="F3692" s="11" t="str">
        <f>IF(ISBLANK(D3692),"",(VLOOKUP(D3692,Cardápio!$A$2:$B$16,2,0))*E3692)</f>
        <v/>
      </c>
      <c r="H3692" s="7" t="str">
        <f t="shared" si="228"/>
        <v/>
      </c>
      <c r="I3692" s="7" t="str">
        <f>IF(AND(ISBLANK(D3692),ISBLANK(C3692)),"",((VLOOKUP(D3692,Cardápio!$A$2:$C$16,3,0))*E3692)+IF(B3692="iFood",F3692*0.27,(VLOOKUP(VENDAS!C3692,Bairros!$A$2:$B$90,2,0))))</f>
        <v/>
      </c>
      <c r="J3692" s="7" t="str">
        <f t="shared" si="229"/>
        <v/>
      </c>
      <c r="K3692" s="9">
        <f t="shared" ca="1" si="230"/>
        <v>45404.878290162036</v>
      </c>
      <c r="L3692" s="10">
        <f t="shared" ca="1" si="231"/>
        <v>45404.878290046297</v>
      </c>
    </row>
    <row r="3693" spans="6:12" x14ac:dyDescent="0.25">
      <c r="F3693" s="11" t="str">
        <f>IF(ISBLANK(D3693),"",(VLOOKUP(D3693,Cardápio!$A$2:$B$16,2,0))*E3693)</f>
        <v/>
      </c>
      <c r="H3693" s="7" t="str">
        <f t="shared" si="228"/>
        <v/>
      </c>
      <c r="I3693" s="7" t="str">
        <f>IF(AND(ISBLANK(D3693),ISBLANK(C3693)),"",((VLOOKUP(D3693,Cardápio!$A$2:$C$16,3,0))*E3693)+IF(B3693="iFood",F3693*0.27,(VLOOKUP(VENDAS!C3693,Bairros!$A$2:$B$90,2,0))))</f>
        <v/>
      </c>
      <c r="J3693" s="7" t="str">
        <f t="shared" si="229"/>
        <v/>
      </c>
      <c r="K3693" s="9">
        <f t="shared" ca="1" si="230"/>
        <v>45404.878290277775</v>
      </c>
      <c r="L3693" s="10">
        <f t="shared" ca="1" si="231"/>
        <v>45404.878290046297</v>
      </c>
    </row>
    <row r="3694" spans="6:12" x14ac:dyDescent="0.25">
      <c r="F3694" s="11" t="str">
        <f>IF(ISBLANK(D3694),"",(VLOOKUP(D3694,Cardápio!$A$2:$B$16,2,0))*E3694)</f>
        <v/>
      </c>
      <c r="H3694" s="7" t="str">
        <f t="shared" si="228"/>
        <v/>
      </c>
      <c r="I3694" s="7" t="str">
        <f>IF(AND(ISBLANK(D3694),ISBLANK(C3694)),"",((VLOOKUP(D3694,Cardápio!$A$2:$C$16,3,0))*E3694)+IF(B3694="iFood",F3694*0.27,(VLOOKUP(VENDAS!C3694,Bairros!$A$2:$B$90,2,0))))</f>
        <v/>
      </c>
      <c r="J3694" s="7" t="str">
        <f t="shared" si="229"/>
        <v/>
      </c>
      <c r="K3694" s="9">
        <f t="shared" ca="1" si="230"/>
        <v>45404.878290162036</v>
      </c>
      <c r="L3694" s="10">
        <f t="shared" ca="1" si="231"/>
        <v>45404.878290046297</v>
      </c>
    </row>
    <row r="3695" spans="6:12" x14ac:dyDescent="0.25">
      <c r="F3695" s="11" t="str">
        <f>IF(ISBLANK(D3695),"",(VLOOKUP(D3695,Cardápio!$A$2:$B$16,2,0))*E3695)</f>
        <v/>
      </c>
      <c r="H3695" s="7" t="str">
        <f t="shared" si="228"/>
        <v/>
      </c>
      <c r="I3695" s="7" t="str">
        <f>IF(AND(ISBLANK(D3695),ISBLANK(C3695)),"",((VLOOKUP(D3695,Cardápio!$A$2:$C$16,3,0))*E3695)+IF(B3695="iFood",F3695*0.27,(VLOOKUP(VENDAS!C3695,Bairros!$A$2:$B$90,2,0))))</f>
        <v/>
      </c>
      <c r="J3695" s="7" t="str">
        <f t="shared" si="229"/>
        <v/>
      </c>
      <c r="K3695" s="9">
        <f t="shared" ca="1" si="230"/>
        <v>45404.878290162036</v>
      </c>
      <c r="L3695" s="10">
        <f t="shared" ca="1" si="231"/>
        <v>45404.878290162036</v>
      </c>
    </row>
    <row r="3696" spans="6:12" x14ac:dyDescent="0.25">
      <c r="F3696" s="11" t="str">
        <f>IF(ISBLANK(D3696),"",(VLOOKUP(D3696,Cardápio!$A$2:$B$16,2,0))*E3696)</f>
        <v/>
      </c>
      <c r="H3696" s="7" t="str">
        <f t="shared" si="228"/>
        <v/>
      </c>
      <c r="I3696" s="7" t="str">
        <f>IF(AND(ISBLANK(D3696),ISBLANK(C3696)),"",((VLOOKUP(D3696,Cardápio!$A$2:$C$16,3,0))*E3696)+IF(B3696="iFood",F3696*0.27,(VLOOKUP(VENDAS!C3696,Bairros!$A$2:$B$90,2,0))))</f>
        <v/>
      </c>
      <c r="J3696" s="7" t="str">
        <f t="shared" si="229"/>
        <v/>
      </c>
      <c r="K3696" s="9">
        <f t="shared" ca="1" si="230"/>
        <v>45404.878290162036</v>
      </c>
      <c r="L3696" s="10">
        <f t="shared" ca="1" si="231"/>
        <v>45404.878290046297</v>
      </c>
    </row>
    <row r="3697" spans="6:12" x14ac:dyDescent="0.25">
      <c r="F3697" s="11" t="str">
        <f>IF(ISBLANK(D3697),"",(VLOOKUP(D3697,Cardápio!$A$2:$B$16,2,0))*E3697)</f>
        <v/>
      </c>
      <c r="H3697" s="7" t="str">
        <f t="shared" si="228"/>
        <v/>
      </c>
      <c r="I3697" s="7" t="str">
        <f>IF(AND(ISBLANK(D3697),ISBLANK(C3697)),"",((VLOOKUP(D3697,Cardápio!$A$2:$C$16,3,0))*E3697)+IF(B3697="iFood",F3697*0.27,(VLOOKUP(VENDAS!C3697,Bairros!$A$2:$B$90,2,0))))</f>
        <v/>
      </c>
      <c r="J3697" s="7" t="str">
        <f t="shared" si="229"/>
        <v/>
      </c>
      <c r="K3697" s="9">
        <f t="shared" ca="1" si="230"/>
        <v>45404.878290277775</v>
      </c>
      <c r="L3697" s="10">
        <f t="shared" ca="1" si="231"/>
        <v>45404.878290046297</v>
      </c>
    </row>
    <row r="3698" spans="6:12" x14ac:dyDescent="0.25">
      <c r="F3698" s="11" t="str">
        <f>IF(ISBLANK(D3698),"",(VLOOKUP(D3698,Cardápio!$A$2:$B$16,2,0))*E3698)</f>
        <v/>
      </c>
      <c r="H3698" s="7" t="str">
        <f t="shared" si="228"/>
        <v/>
      </c>
      <c r="I3698" s="7" t="str">
        <f>IF(AND(ISBLANK(D3698),ISBLANK(C3698)),"",((VLOOKUP(D3698,Cardápio!$A$2:$C$16,3,0))*E3698)+IF(B3698="iFood",F3698*0.27,(VLOOKUP(VENDAS!C3698,Bairros!$A$2:$B$90,2,0))))</f>
        <v/>
      </c>
      <c r="J3698" s="7" t="str">
        <f t="shared" si="229"/>
        <v/>
      </c>
      <c r="K3698" s="9">
        <f t="shared" ca="1" si="230"/>
        <v>45404.878290162036</v>
      </c>
      <c r="L3698" s="10">
        <f t="shared" ca="1" si="231"/>
        <v>45404.878290046297</v>
      </c>
    </row>
    <row r="3699" spans="6:12" x14ac:dyDescent="0.25">
      <c r="F3699" s="11" t="str">
        <f>IF(ISBLANK(D3699),"",(VLOOKUP(D3699,Cardápio!$A$2:$B$16,2,0))*E3699)</f>
        <v/>
      </c>
      <c r="H3699" s="7" t="str">
        <f t="shared" si="228"/>
        <v/>
      </c>
      <c r="I3699" s="7" t="str">
        <f>IF(AND(ISBLANK(D3699),ISBLANK(C3699)),"",((VLOOKUP(D3699,Cardápio!$A$2:$C$16,3,0))*E3699)+IF(B3699="iFood",F3699*0.27,(VLOOKUP(VENDAS!C3699,Bairros!$A$2:$B$90,2,0))))</f>
        <v/>
      </c>
      <c r="J3699" s="7" t="str">
        <f t="shared" si="229"/>
        <v/>
      </c>
      <c r="K3699" s="9">
        <f t="shared" ca="1" si="230"/>
        <v>45404.878290162036</v>
      </c>
      <c r="L3699" s="10">
        <f t="shared" ca="1" si="231"/>
        <v>45404.878290162036</v>
      </c>
    </row>
    <row r="3700" spans="6:12" x14ac:dyDescent="0.25">
      <c r="F3700" s="11" t="str">
        <f>IF(ISBLANK(D3700),"",(VLOOKUP(D3700,Cardápio!$A$2:$B$16,2,0))*E3700)</f>
        <v/>
      </c>
      <c r="H3700" s="7" t="str">
        <f t="shared" si="228"/>
        <v/>
      </c>
      <c r="I3700" s="7" t="str">
        <f>IF(AND(ISBLANK(D3700),ISBLANK(C3700)),"",((VLOOKUP(D3700,Cardápio!$A$2:$C$16,3,0))*E3700)+IF(B3700="iFood",F3700*0.27,(VLOOKUP(VENDAS!C3700,Bairros!$A$2:$B$90,2,0))))</f>
        <v/>
      </c>
      <c r="J3700" s="7" t="str">
        <f t="shared" si="229"/>
        <v/>
      </c>
      <c r="K3700" s="9">
        <f t="shared" ca="1" si="230"/>
        <v>45404.878290162036</v>
      </c>
      <c r="L3700" s="10">
        <f t="shared" ca="1" si="231"/>
        <v>45404.878290046297</v>
      </c>
    </row>
    <row r="3701" spans="6:12" x14ac:dyDescent="0.25">
      <c r="F3701" s="11" t="str">
        <f>IF(ISBLANK(D3701),"",(VLOOKUP(D3701,Cardápio!$A$2:$B$16,2,0))*E3701)</f>
        <v/>
      </c>
      <c r="H3701" s="7" t="str">
        <f t="shared" ref="H3701:H3764" si="232">IF(ISBLANK(D3701),"",F3701-G3701)</f>
        <v/>
      </c>
      <c r="I3701" s="7" t="str">
        <f>IF(AND(ISBLANK(D3701),ISBLANK(C3701)),"",((VLOOKUP(D3701,Cardápio!$A$2:$C$16,3,0))*E3701)+IF(B3701="iFood",F3701*0.27,(VLOOKUP(VENDAS!C3701,Bairros!$A$2:$B$90,2,0))))</f>
        <v/>
      </c>
      <c r="J3701" s="7" t="str">
        <f t="shared" ref="J3701:J3764" si="233">IF(OR(AND(ISBLANK(H3701),ISBLANK(I3701)),(AND(H3701="",I3701=""))),"",H3701-I3701)</f>
        <v/>
      </c>
      <c r="K3701" s="9">
        <f t="shared" ref="K3701:K3764" ca="1" si="234">IF(D3701&lt;&gt;"",K3701,NOW())</f>
        <v>45404.878290277775</v>
      </c>
      <c r="L3701" s="10">
        <f t="shared" ref="L3701:L3764" ca="1" si="235">IF(D3701&lt;&gt;"",L3701,NOW())</f>
        <v>45404.878290046297</v>
      </c>
    </row>
    <row r="3702" spans="6:12" x14ac:dyDescent="0.25">
      <c r="F3702" s="11" t="str">
        <f>IF(ISBLANK(D3702),"",(VLOOKUP(D3702,Cardápio!$A$2:$B$16,2,0))*E3702)</f>
        <v/>
      </c>
      <c r="H3702" s="7" t="str">
        <f t="shared" si="232"/>
        <v/>
      </c>
      <c r="I3702" s="7" t="str">
        <f>IF(AND(ISBLANK(D3702),ISBLANK(C3702)),"",((VLOOKUP(D3702,Cardápio!$A$2:$C$16,3,0))*E3702)+IF(B3702="iFood",F3702*0.27,(VLOOKUP(VENDAS!C3702,Bairros!$A$2:$B$90,2,0))))</f>
        <v/>
      </c>
      <c r="J3702" s="7" t="str">
        <f t="shared" si="233"/>
        <v/>
      </c>
      <c r="K3702" s="9">
        <f t="shared" ca="1" si="234"/>
        <v>45404.878290162036</v>
      </c>
      <c r="L3702" s="10">
        <f t="shared" ca="1" si="235"/>
        <v>45404.878290046297</v>
      </c>
    </row>
    <row r="3703" spans="6:12" x14ac:dyDescent="0.25">
      <c r="F3703" s="11" t="str">
        <f>IF(ISBLANK(D3703),"",(VLOOKUP(D3703,Cardápio!$A$2:$B$16,2,0))*E3703)</f>
        <v/>
      </c>
      <c r="H3703" s="7" t="str">
        <f t="shared" si="232"/>
        <v/>
      </c>
      <c r="I3703" s="7" t="str">
        <f>IF(AND(ISBLANK(D3703),ISBLANK(C3703)),"",((VLOOKUP(D3703,Cardápio!$A$2:$C$16,3,0))*E3703)+IF(B3703="iFood",F3703*0.27,(VLOOKUP(VENDAS!C3703,Bairros!$A$2:$B$90,2,0))))</f>
        <v/>
      </c>
      <c r="J3703" s="7" t="str">
        <f t="shared" si="233"/>
        <v/>
      </c>
      <c r="K3703" s="9">
        <f t="shared" ca="1" si="234"/>
        <v>45404.878290162036</v>
      </c>
      <c r="L3703" s="10">
        <f t="shared" ca="1" si="235"/>
        <v>45404.878290162036</v>
      </c>
    </row>
    <row r="3704" spans="6:12" x14ac:dyDescent="0.25">
      <c r="F3704" s="11" t="str">
        <f>IF(ISBLANK(D3704),"",(VLOOKUP(D3704,Cardápio!$A$2:$B$16,2,0))*E3704)</f>
        <v/>
      </c>
      <c r="H3704" s="7" t="str">
        <f t="shared" si="232"/>
        <v/>
      </c>
      <c r="I3704" s="7" t="str">
        <f>IF(AND(ISBLANK(D3704),ISBLANK(C3704)),"",((VLOOKUP(D3704,Cardápio!$A$2:$C$16,3,0))*E3704)+IF(B3704="iFood",F3704*0.27,(VLOOKUP(VENDAS!C3704,Bairros!$A$2:$B$90,2,0))))</f>
        <v/>
      </c>
      <c r="J3704" s="7" t="str">
        <f t="shared" si="233"/>
        <v/>
      </c>
      <c r="K3704" s="9">
        <f t="shared" ca="1" si="234"/>
        <v>45404.878290162036</v>
      </c>
      <c r="L3704" s="10">
        <f t="shared" ca="1" si="235"/>
        <v>45404.878290046297</v>
      </c>
    </row>
    <row r="3705" spans="6:12" x14ac:dyDescent="0.25">
      <c r="F3705" s="11" t="str">
        <f>IF(ISBLANK(D3705),"",(VLOOKUP(D3705,Cardápio!$A$2:$B$16,2,0))*E3705)</f>
        <v/>
      </c>
      <c r="H3705" s="7" t="str">
        <f t="shared" si="232"/>
        <v/>
      </c>
      <c r="I3705" s="7" t="str">
        <f>IF(AND(ISBLANK(D3705),ISBLANK(C3705)),"",((VLOOKUP(D3705,Cardápio!$A$2:$C$16,3,0))*E3705)+IF(B3705="iFood",F3705*0.27,(VLOOKUP(VENDAS!C3705,Bairros!$A$2:$B$90,2,0))))</f>
        <v/>
      </c>
      <c r="J3705" s="7" t="str">
        <f t="shared" si="233"/>
        <v/>
      </c>
      <c r="K3705" s="9">
        <f t="shared" ca="1" si="234"/>
        <v>45404.878290277775</v>
      </c>
      <c r="L3705" s="10">
        <f t="shared" ca="1" si="235"/>
        <v>45404.878290046297</v>
      </c>
    </row>
    <row r="3706" spans="6:12" x14ac:dyDescent="0.25">
      <c r="F3706" s="11" t="str">
        <f>IF(ISBLANK(D3706),"",(VLOOKUP(D3706,Cardápio!$A$2:$B$16,2,0))*E3706)</f>
        <v/>
      </c>
      <c r="H3706" s="7" t="str">
        <f t="shared" si="232"/>
        <v/>
      </c>
      <c r="I3706" s="7" t="str">
        <f>IF(AND(ISBLANK(D3706),ISBLANK(C3706)),"",((VLOOKUP(D3706,Cardápio!$A$2:$C$16,3,0))*E3706)+IF(B3706="iFood",F3706*0.27,(VLOOKUP(VENDAS!C3706,Bairros!$A$2:$B$90,2,0))))</f>
        <v/>
      </c>
      <c r="J3706" s="7" t="str">
        <f t="shared" si="233"/>
        <v/>
      </c>
      <c r="K3706" s="9">
        <f t="shared" ca="1" si="234"/>
        <v>45404.878290162036</v>
      </c>
      <c r="L3706" s="10">
        <f t="shared" ca="1" si="235"/>
        <v>45404.878290046297</v>
      </c>
    </row>
    <row r="3707" spans="6:12" x14ac:dyDescent="0.25">
      <c r="F3707" s="11" t="str">
        <f>IF(ISBLANK(D3707),"",(VLOOKUP(D3707,Cardápio!$A$2:$B$16,2,0))*E3707)</f>
        <v/>
      </c>
      <c r="H3707" s="7" t="str">
        <f t="shared" si="232"/>
        <v/>
      </c>
      <c r="I3707" s="7" t="str">
        <f>IF(AND(ISBLANK(D3707),ISBLANK(C3707)),"",((VLOOKUP(D3707,Cardápio!$A$2:$C$16,3,0))*E3707)+IF(B3707="iFood",F3707*0.27,(VLOOKUP(VENDAS!C3707,Bairros!$A$2:$B$90,2,0))))</f>
        <v/>
      </c>
      <c r="J3707" s="7" t="str">
        <f t="shared" si="233"/>
        <v/>
      </c>
      <c r="K3707" s="9">
        <f t="shared" ca="1" si="234"/>
        <v>45404.878290162036</v>
      </c>
      <c r="L3707" s="10">
        <f t="shared" ca="1" si="235"/>
        <v>45404.878290162036</v>
      </c>
    </row>
    <row r="3708" spans="6:12" x14ac:dyDescent="0.25">
      <c r="F3708" s="11" t="str">
        <f>IF(ISBLANK(D3708),"",(VLOOKUP(D3708,Cardápio!$A$2:$B$16,2,0))*E3708)</f>
        <v/>
      </c>
      <c r="H3708" s="7" t="str">
        <f t="shared" si="232"/>
        <v/>
      </c>
      <c r="I3708" s="7" t="str">
        <f>IF(AND(ISBLANK(D3708),ISBLANK(C3708)),"",((VLOOKUP(D3708,Cardápio!$A$2:$C$16,3,0))*E3708)+IF(B3708="iFood",F3708*0.27,(VLOOKUP(VENDAS!C3708,Bairros!$A$2:$B$90,2,0))))</f>
        <v/>
      </c>
      <c r="J3708" s="7" t="str">
        <f t="shared" si="233"/>
        <v/>
      </c>
      <c r="K3708" s="9">
        <f t="shared" ca="1" si="234"/>
        <v>45404.878290162036</v>
      </c>
      <c r="L3708" s="10">
        <f t="shared" ca="1" si="235"/>
        <v>45404.878290046297</v>
      </c>
    </row>
    <row r="3709" spans="6:12" x14ac:dyDescent="0.25">
      <c r="F3709" s="11" t="str">
        <f>IF(ISBLANK(D3709),"",(VLOOKUP(D3709,Cardápio!$A$2:$B$16,2,0))*E3709)</f>
        <v/>
      </c>
      <c r="H3709" s="7" t="str">
        <f t="shared" si="232"/>
        <v/>
      </c>
      <c r="I3709" s="7" t="str">
        <f>IF(AND(ISBLANK(D3709),ISBLANK(C3709)),"",((VLOOKUP(D3709,Cardápio!$A$2:$C$16,3,0))*E3709)+IF(B3709="iFood",F3709*0.27,(VLOOKUP(VENDAS!C3709,Bairros!$A$2:$B$90,2,0))))</f>
        <v/>
      </c>
      <c r="J3709" s="7" t="str">
        <f t="shared" si="233"/>
        <v/>
      </c>
      <c r="K3709" s="9">
        <f t="shared" ca="1" si="234"/>
        <v>45404.878290277775</v>
      </c>
      <c r="L3709" s="10">
        <f t="shared" ca="1" si="235"/>
        <v>45404.878290046297</v>
      </c>
    </row>
    <row r="3710" spans="6:12" x14ac:dyDescent="0.25">
      <c r="F3710" s="11" t="str">
        <f>IF(ISBLANK(D3710),"",(VLOOKUP(D3710,Cardápio!$A$2:$B$16,2,0))*E3710)</f>
        <v/>
      </c>
      <c r="H3710" s="7" t="str">
        <f t="shared" si="232"/>
        <v/>
      </c>
      <c r="I3710" s="7" t="str">
        <f>IF(AND(ISBLANK(D3710),ISBLANK(C3710)),"",((VLOOKUP(D3710,Cardápio!$A$2:$C$16,3,0))*E3710)+IF(B3710="iFood",F3710*0.27,(VLOOKUP(VENDAS!C3710,Bairros!$A$2:$B$90,2,0))))</f>
        <v/>
      </c>
      <c r="J3710" s="7" t="str">
        <f t="shared" si="233"/>
        <v/>
      </c>
      <c r="K3710" s="9">
        <f t="shared" ca="1" si="234"/>
        <v>45404.878290162036</v>
      </c>
      <c r="L3710" s="10">
        <f t="shared" ca="1" si="235"/>
        <v>45404.878290046297</v>
      </c>
    </row>
    <row r="3711" spans="6:12" x14ac:dyDescent="0.25">
      <c r="F3711" s="11" t="str">
        <f>IF(ISBLANK(D3711),"",(VLOOKUP(D3711,Cardápio!$A$2:$B$16,2,0))*E3711)</f>
        <v/>
      </c>
      <c r="H3711" s="7" t="str">
        <f t="shared" si="232"/>
        <v/>
      </c>
      <c r="I3711" s="7" t="str">
        <f>IF(AND(ISBLANK(D3711),ISBLANK(C3711)),"",((VLOOKUP(D3711,Cardápio!$A$2:$C$16,3,0))*E3711)+IF(B3711="iFood",F3711*0.27,(VLOOKUP(VENDAS!C3711,Bairros!$A$2:$B$90,2,0))))</f>
        <v/>
      </c>
      <c r="J3711" s="7" t="str">
        <f t="shared" si="233"/>
        <v/>
      </c>
      <c r="K3711" s="9">
        <f t="shared" ca="1" si="234"/>
        <v>45404.878290162036</v>
      </c>
      <c r="L3711" s="10">
        <f t="shared" ca="1" si="235"/>
        <v>45404.878290162036</v>
      </c>
    </row>
    <row r="3712" spans="6:12" x14ac:dyDescent="0.25">
      <c r="F3712" s="11" t="str">
        <f>IF(ISBLANK(D3712),"",(VLOOKUP(D3712,Cardápio!$A$2:$B$16,2,0))*E3712)</f>
        <v/>
      </c>
      <c r="H3712" s="7" t="str">
        <f t="shared" si="232"/>
        <v/>
      </c>
      <c r="I3712" s="7" t="str">
        <f>IF(AND(ISBLANK(D3712),ISBLANK(C3712)),"",((VLOOKUP(D3712,Cardápio!$A$2:$C$16,3,0))*E3712)+IF(B3712="iFood",F3712*0.27,(VLOOKUP(VENDAS!C3712,Bairros!$A$2:$B$90,2,0))))</f>
        <v/>
      </c>
      <c r="J3712" s="7" t="str">
        <f t="shared" si="233"/>
        <v/>
      </c>
      <c r="K3712" s="9">
        <f t="shared" ca="1" si="234"/>
        <v>45404.878290162036</v>
      </c>
      <c r="L3712" s="10">
        <f t="shared" ca="1" si="235"/>
        <v>45404.878290046297</v>
      </c>
    </row>
    <row r="3713" spans="6:12" x14ac:dyDescent="0.25">
      <c r="F3713" s="11" t="str">
        <f>IF(ISBLANK(D3713),"",(VLOOKUP(D3713,Cardápio!$A$2:$B$16,2,0))*E3713)</f>
        <v/>
      </c>
      <c r="H3713" s="7" t="str">
        <f t="shared" si="232"/>
        <v/>
      </c>
      <c r="I3713" s="7" t="str">
        <f>IF(AND(ISBLANK(D3713),ISBLANK(C3713)),"",((VLOOKUP(D3713,Cardápio!$A$2:$C$16,3,0))*E3713)+IF(B3713="iFood",F3713*0.27,(VLOOKUP(VENDAS!C3713,Bairros!$A$2:$B$90,2,0))))</f>
        <v/>
      </c>
      <c r="J3713" s="7" t="str">
        <f t="shared" si="233"/>
        <v/>
      </c>
      <c r="K3713" s="9">
        <f t="shared" ca="1" si="234"/>
        <v>45404.878290277775</v>
      </c>
      <c r="L3713" s="10">
        <f t="shared" ca="1" si="235"/>
        <v>45404.878290046297</v>
      </c>
    </row>
    <row r="3714" spans="6:12" x14ac:dyDescent="0.25">
      <c r="F3714" s="11" t="str">
        <f>IF(ISBLANK(D3714),"",(VLOOKUP(D3714,Cardápio!$A$2:$B$16,2,0))*E3714)</f>
        <v/>
      </c>
      <c r="H3714" s="7" t="str">
        <f t="shared" si="232"/>
        <v/>
      </c>
      <c r="I3714" s="7" t="str">
        <f>IF(AND(ISBLANK(D3714),ISBLANK(C3714)),"",((VLOOKUP(D3714,Cardápio!$A$2:$C$16,3,0))*E3714)+IF(B3714="iFood",F3714*0.27,(VLOOKUP(VENDAS!C3714,Bairros!$A$2:$B$90,2,0))))</f>
        <v/>
      </c>
      <c r="J3714" s="7" t="str">
        <f t="shared" si="233"/>
        <v/>
      </c>
      <c r="K3714" s="9">
        <f t="shared" ca="1" si="234"/>
        <v>45404.878290162036</v>
      </c>
      <c r="L3714" s="10">
        <f t="shared" ca="1" si="235"/>
        <v>45404.878290046297</v>
      </c>
    </row>
    <row r="3715" spans="6:12" x14ac:dyDescent="0.25">
      <c r="F3715" s="11" t="str">
        <f>IF(ISBLANK(D3715),"",(VLOOKUP(D3715,Cardápio!$A$2:$B$16,2,0))*E3715)</f>
        <v/>
      </c>
      <c r="H3715" s="7" t="str">
        <f t="shared" si="232"/>
        <v/>
      </c>
      <c r="I3715" s="7" t="str">
        <f>IF(AND(ISBLANK(D3715),ISBLANK(C3715)),"",((VLOOKUP(D3715,Cardápio!$A$2:$C$16,3,0))*E3715)+IF(B3715="iFood",F3715*0.27,(VLOOKUP(VENDAS!C3715,Bairros!$A$2:$B$90,2,0))))</f>
        <v/>
      </c>
      <c r="J3715" s="7" t="str">
        <f t="shared" si="233"/>
        <v/>
      </c>
      <c r="K3715" s="9">
        <f t="shared" ca="1" si="234"/>
        <v>45404.878290162036</v>
      </c>
      <c r="L3715" s="10">
        <f t="shared" ca="1" si="235"/>
        <v>45404.878290162036</v>
      </c>
    </row>
    <row r="3716" spans="6:12" x14ac:dyDescent="0.25">
      <c r="F3716" s="11" t="str">
        <f>IF(ISBLANK(D3716),"",(VLOOKUP(D3716,Cardápio!$A$2:$B$16,2,0))*E3716)</f>
        <v/>
      </c>
      <c r="H3716" s="7" t="str">
        <f t="shared" si="232"/>
        <v/>
      </c>
      <c r="I3716" s="7" t="str">
        <f>IF(AND(ISBLANK(D3716),ISBLANK(C3716)),"",((VLOOKUP(D3716,Cardápio!$A$2:$C$16,3,0))*E3716)+IF(B3716="iFood",F3716*0.27,(VLOOKUP(VENDAS!C3716,Bairros!$A$2:$B$90,2,0))))</f>
        <v/>
      </c>
      <c r="J3716" s="7" t="str">
        <f t="shared" si="233"/>
        <v/>
      </c>
      <c r="K3716" s="9">
        <f t="shared" ca="1" si="234"/>
        <v>45404.878290162036</v>
      </c>
      <c r="L3716" s="10">
        <f t="shared" ca="1" si="235"/>
        <v>45404.878290046297</v>
      </c>
    </row>
    <row r="3717" spans="6:12" x14ac:dyDescent="0.25">
      <c r="F3717" s="11" t="str">
        <f>IF(ISBLANK(D3717),"",(VLOOKUP(D3717,Cardápio!$A$2:$B$16,2,0))*E3717)</f>
        <v/>
      </c>
      <c r="H3717" s="7" t="str">
        <f t="shared" si="232"/>
        <v/>
      </c>
      <c r="I3717" s="7" t="str">
        <f>IF(AND(ISBLANK(D3717),ISBLANK(C3717)),"",((VLOOKUP(D3717,Cardápio!$A$2:$C$16,3,0))*E3717)+IF(B3717="iFood",F3717*0.27,(VLOOKUP(VENDAS!C3717,Bairros!$A$2:$B$90,2,0))))</f>
        <v/>
      </c>
      <c r="J3717" s="7" t="str">
        <f t="shared" si="233"/>
        <v/>
      </c>
      <c r="K3717" s="9">
        <f t="shared" ca="1" si="234"/>
        <v>45404.878290277775</v>
      </c>
      <c r="L3717" s="10">
        <f t="shared" ca="1" si="235"/>
        <v>45404.878290046297</v>
      </c>
    </row>
    <row r="3718" spans="6:12" x14ac:dyDescent="0.25">
      <c r="F3718" s="11" t="str">
        <f>IF(ISBLANK(D3718),"",(VLOOKUP(D3718,Cardápio!$A$2:$B$16,2,0))*E3718)</f>
        <v/>
      </c>
      <c r="H3718" s="7" t="str">
        <f t="shared" si="232"/>
        <v/>
      </c>
      <c r="I3718" s="7" t="str">
        <f>IF(AND(ISBLANK(D3718),ISBLANK(C3718)),"",((VLOOKUP(D3718,Cardápio!$A$2:$C$16,3,0))*E3718)+IF(B3718="iFood",F3718*0.27,(VLOOKUP(VENDAS!C3718,Bairros!$A$2:$B$90,2,0))))</f>
        <v/>
      </c>
      <c r="J3718" s="7" t="str">
        <f t="shared" si="233"/>
        <v/>
      </c>
      <c r="K3718" s="9">
        <f t="shared" ca="1" si="234"/>
        <v>45404.878290162036</v>
      </c>
      <c r="L3718" s="10">
        <f t="shared" ca="1" si="235"/>
        <v>45404.878290046297</v>
      </c>
    </row>
    <row r="3719" spans="6:12" x14ac:dyDescent="0.25">
      <c r="F3719" s="11" t="str">
        <f>IF(ISBLANK(D3719),"",(VLOOKUP(D3719,Cardápio!$A$2:$B$16,2,0))*E3719)</f>
        <v/>
      </c>
      <c r="H3719" s="7" t="str">
        <f t="shared" si="232"/>
        <v/>
      </c>
      <c r="I3719" s="7" t="str">
        <f>IF(AND(ISBLANK(D3719),ISBLANK(C3719)),"",((VLOOKUP(D3719,Cardápio!$A$2:$C$16,3,0))*E3719)+IF(B3719="iFood",F3719*0.27,(VLOOKUP(VENDAS!C3719,Bairros!$A$2:$B$90,2,0))))</f>
        <v/>
      </c>
      <c r="J3719" s="7" t="str">
        <f t="shared" si="233"/>
        <v/>
      </c>
      <c r="K3719" s="9">
        <f t="shared" ca="1" si="234"/>
        <v>45404.878290162036</v>
      </c>
      <c r="L3719" s="10">
        <f t="shared" ca="1" si="235"/>
        <v>45404.878290162036</v>
      </c>
    </row>
    <row r="3720" spans="6:12" x14ac:dyDescent="0.25">
      <c r="F3720" s="11" t="str">
        <f>IF(ISBLANK(D3720),"",(VLOOKUP(D3720,Cardápio!$A$2:$B$16,2,0))*E3720)</f>
        <v/>
      </c>
      <c r="H3720" s="7" t="str">
        <f t="shared" si="232"/>
        <v/>
      </c>
      <c r="I3720" s="7" t="str">
        <f>IF(AND(ISBLANK(D3720),ISBLANK(C3720)),"",((VLOOKUP(D3720,Cardápio!$A$2:$C$16,3,0))*E3720)+IF(B3720="iFood",F3720*0.27,(VLOOKUP(VENDAS!C3720,Bairros!$A$2:$B$90,2,0))))</f>
        <v/>
      </c>
      <c r="J3720" s="7" t="str">
        <f t="shared" si="233"/>
        <v/>
      </c>
      <c r="K3720" s="9">
        <f t="shared" ca="1" si="234"/>
        <v>45404.878290162036</v>
      </c>
      <c r="L3720" s="10">
        <f t="shared" ca="1" si="235"/>
        <v>45404.878290046297</v>
      </c>
    </row>
    <row r="3721" spans="6:12" x14ac:dyDescent="0.25">
      <c r="F3721" s="11" t="str">
        <f>IF(ISBLANK(D3721),"",(VLOOKUP(D3721,Cardápio!$A$2:$B$16,2,0))*E3721)</f>
        <v/>
      </c>
      <c r="H3721" s="7" t="str">
        <f t="shared" si="232"/>
        <v/>
      </c>
      <c r="I3721" s="7" t="str">
        <f>IF(AND(ISBLANK(D3721),ISBLANK(C3721)),"",((VLOOKUP(D3721,Cardápio!$A$2:$C$16,3,0))*E3721)+IF(B3721="iFood",F3721*0.27,(VLOOKUP(VENDAS!C3721,Bairros!$A$2:$B$90,2,0))))</f>
        <v/>
      </c>
      <c r="J3721" s="7" t="str">
        <f t="shared" si="233"/>
        <v/>
      </c>
      <c r="K3721" s="9">
        <f t="shared" ca="1" si="234"/>
        <v>45404.878290277775</v>
      </c>
      <c r="L3721" s="10">
        <f t="shared" ca="1" si="235"/>
        <v>45404.878290046297</v>
      </c>
    </row>
    <row r="3722" spans="6:12" x14ac:dyDescent="0.25">
      <c r="F3722" s="11" t="str">
        <f>IF(ISBLANK(D3722),"",(VLOOKUP(D3722,Cardápio!$A$2:$B$16,2,0))*E3722)</f>
        <v/>
      </c>
      <c r="H3722" s="7" t="str">
        <f t="shared" si="232"/>
        <v/>
      </c>
      <c r="I3722" s="7" t="str">
        <f>IF(AND(ISBLANK(D3722),ISBLANK(C3722)),"",((VLOOKUP(D3722,Cardápio!$A$2:$C$16,3,0))*E3722)+IF(B3722="iFood",F3722*0.27,(VLOOKUP(VENDAS!C3722,Bairros!$A$2:$B$90,2,0))))</f>
        <v/>
      </c>
      <c r="J3722" s="7" t="str">
        <f t="shared" si="233"/>
        <v/>
      </c>
      <c r="K3722" s="9">
        <f t="shared" ca="1" si="234"/>
        <v>45404.878290162036</v>
      </c>
      <c r="L3722" s="10">
        <f t="shared" ca="1" si="235"/>
        <v>45404.878290046297</v>
      </c>
    </row>
    <row r="3723" spans="6:12" x14ac:dyDescent="0.25">
      <c r="F3723" s="11" t="str">
        <f>IF(ISBLANK(D3723),"",(VLOOKUP(D3723,Cardápio!$A$2:$B$16,2,0))*E3723)</f>
        <v/>
      </c>
      <c r="H3723" s="7" t="str">
        <f t="shared" si="232"/>
        <v/>
      </c>
      <c r="I3723" s="7" t="str">
        <f>IF(AND(ISBLANK(D3723),ISBLANK(C3723)),"",((VLOOKUP(D3723,Cardápio!$A$2:$C$16,3,0))*E3723)+IF(B3723="iFood",F3723*0.27,(VLOOKUP(VENDAS!C3723,Bairros!$A$2:$B$90,2,0))))</f>
        <v/>
      </c>
      <c r="J3723" s="7" t="str">
        <f t="shared" si="233"/>
        <v/>
      </c>
      <c r="K3723" s="9">
        <f t="shared" ca="1" si="234"/>
        <v>45404.878290162036</v>
      </c>
      <c r="L3723" s="10">
        <f t="shared" ca="1" si="235"/>
        <v>45404.878290162036</v>
      </c>
    </row>
    <row r="3724" spans="6:12" x14ac:dyDescent="0.25">
      <c r="F3724" s="11" t="str">
        <f>IF(ISBLANK(D3724),"",(VLOOKUP(D3724,Cardápio!$A$2:$B$16,2,0))*E3724)</f>
        <v/>
      </c>
      <c r="H3724" s="7" t="str">
        <f t="shared" si="232"/>
        <v/>
      </c>
      <c r="I3724" s="7" t="str">
        <f>IF(AND(ISBLANK(D3724),ISBLANK(C3724)),"",((VLOOKUP(D3724,Cardápio!$A$2:$C$16,3,0))*E3724)+IF(B3724="iFood",F3724*0.27,(VLOOKUP(VENDAS!C3724,Bairros!$A$2:$B$90,2,0))))</f>
        <v/>
      </c>
      <c r="J3724" s="7" t="str">
        <f t="shared" si="233"/>
        <v/>
      </c>
      <c r="K3724" s="9">
        <f t="shared" ca="1" si="234"/>
        <v>45404.878290162036</v>
      </c>
      <c r="L3724" s="10">
        <f t="shared" ca="1" si="235"/>
        <v>45404.878290046297</v>
      </c>
    </row>
    <row r="3725" spans="6:12" x14ac:dyDescent="0.25">
      <c r="F3725" s="11" t="str">
        <f>IF(ISBLANK(D3725),"",(VLOOKUP(D3725,Cardápio!$A$2:$B$16,2,0))*E3725)</f>
        <v/>
      </c>
      <c r="H3725" s="7" t="str">
        <f t="shared" si="232"/>
        <v/>
      </c>
      <c r="I3725" s="7" t="str">
        <f>IF(AND(ISBLANK(D3725),ISBLANK(C3725)),"",((VLOOKUP(D3725,Cardápio!$A$2:$C$16,3,0))*E3725)+IF(B3725="iFood",F3725*0.27,(VLOOKUP(VENDAS!C3725,Bairros!$A$2:$B$90,2,0))))</f>
        <v/>
      </c>
      <c r="J3725" s="7" t="str">
        <f t="shared" si="233"/>
        <v/>
      </c>
      <c r="K3725" s="9">
        <f t="shared" ca="1" si="234"/>
        <v>45404.878290277775</v>
      </c>
      <c r="L3725" s="10">
        <f t="shared" ca="1" si="235"/>
        <v>45404.878290046297</v>
      </c>
    </row>
    <row r="3726" spans="6:12" x14ac:dyDescent="0.25">
      <c r="F3726" s="11" t="str">
        <f>IF(ISBLANK(D3726),"",(VLOOKUP(D3726,Cardápio!$A$2:$B$16,2,0))*E3726)</f>
        <v/>
      </c>
      <c r="H3726" s="7" t="str">
        <f t="shared" si="232"/>
        <v/>
      </c>
      <c r="I3726" s="7" t="str">
        <f>IF(AND(ISBLANK(D3726),ISBLANK(C3726)),"",((VLOOKUP(D3726,Cardápio!$A$2:$C$16,3,0))*E3726)+IF(B3726="iFood",F3726*0.27,(VLOOKUP(VENDAS!C3726,Bairros!$A$2:$B$90,2,0))))</f>
        <v/>
      </c>
      <c r="J3726" s="7" t="str">
        <f t="shared" si="233"/>
        <v/>
      </c>
      <c r="K3726" s="9">
        <f t="shared" ca="1" si="234"/>
        <v>45404.878290162036</v>
      </c>
      <c r="L3726" s="10">
        <f t="shared" ca="1" si="235"/>
        <v>45404.878290046297</v>
      </c>
    </row>
    <row r="3727" spans="6:12" x14ac:dyDescent="0.25">
      <c r="F3727" s="11" t="str">
        <f>IF(ISBLANK(D3727),"",(VLOOKUP(D3727,Cardápio!$A$2:$B$16,2,0))*E3727)</f>
        <v/>
      </c>
      <c r="H3727" s="7" t="str">
        <f t="shared" si="232"/>
        <v/>
      </c>
      <c r="I3727" s="7" t="str">
        <f>IF(AND(ISBLANK(D3727),ISBLANK(C3727)),"",((VLOOKUP(D3727,Cardápio!$A$2:$C$16,3,0))*E3727)+IF(B3727="iFood",F3727*0.27,(VLOOKUP(VENDAS!C3727,Bairros!$A$2:$B$90,2,0))))</f>
        <v/>
      </c>
      <c r="J3727" s="7" t="str">
        <f t="shared" si="233"/>
        <v/>
      </c>
      <c r="K3727" s="9">
        <f t="shared" ca="1" si="234"/>
        <v>45404.878290162036</v>
      </c>
      <c r="L3727" s="10">
        <f t="shared" ca="1" si="235"/>
        <v>45404.878290162036</v>
      </c>
    </row>
    <row r="3728" spans="6:12" x14ac:dyDescent="0.25">
      <c r="F3728" s="11" t="str">
        <f>IF(ISBLANK(D3728),"",(VLOOKUP(D3728,Cardápio!$A$2:$B$16,2,0))*E3728)</f>
        <v/>
      </c>
      <c r="H3728" s="7" t="str">
        <f t="shared" si="232"/>
        <v/>
      </c>
      <c r="I3728" s="7" t="str">
        <f>IF(AND(ISBLANK(D3728),ISBLANK(C3728)),"",((VLOOKUP(D3728,Cardápio!$A$2:$C$16,3,0))*E3728)+IF(B3728="iFood",F3728*0.27,(VLOOKUP(VENDAS!C3728,Bairros!$A$2:$B$90,2,0))))</f>
        <v/>
      </c>
      <c r="J3728" s="7" t="str">
        <f t="shared" si="233"/>
        <v/>
      </c>
      <c r="K3728" s="9">
        <f t="shared" ca="1" si="234"/>
        <v>45404.878290162036</v>
      </c>
      <c r="L3728" s="10">
        <f t="shared" ca="1" si="235"/>
        <v>45404.878290046297</v>
      </c>
    </row>
    <row r="3729" spans="6:12" x14ac:dyDescent="0.25">
      <c r="F3729" s="11" t="str">
        <f>IF(ISBLANK(D3729),"",(VLOOKUP(D3729,Cardápio!$A$2:$B$16,2,0))*E3729)</f>
        <v/>
      </c>
      <c r="H3729" s="7" t="str">
        <f t="shared" si="232"/>
        <v/>
      </c>
      <c r="I3729" s="7" t="str">
        <f>IF(AND(ISBLANK(D3729),ISBLANK(C3729)),"",((VLOOKUP(D3729,Cardápio!$A$2:$C$16,3,0))*E3729)+IF(B3729="iFood",F3729*0.27,(VLOOKUP(VENDAS!C3729,Bairros!$A$2:$B$90,2,0))))</f>
        <v/>
      </c>
      <c r="J3729" s="7" t="str">
        <f t="shared" si="233"/>
        <v/>
      </c>
      <c r="K3729" s="9">
        <f t="shared" ca="1" si="234"/>
        <v>45404.878290277775</v>
      </c>
      <c r="L3729" s="10">
        <f t="shared" ca="1" si="235"/>
        <v>45404.878290046297</v>
      </c>
    </row>
    <row r="3730" spans="6:12" x14ac:dyDescent="0.25">
      <c r="F3730" s="11" t="str">
        <f>IF(ISBLANK(D3730),"",(VLOOKUP(D3730,Cardápio!$A$2:$B$16,2,0))*E3730)</f>
        <v/>
      </c>
      <c r="H3730" s="7" t="str">
        <f t="shared" si="232"/>
        <v/>
      </c>
      <c r="I3730" s="7" t="str">
        <f>IF(AND(ISBLANK(D3730),ISBLANK(C3730)),"",((VLOOKUP(D3730,Cardápio!$A$2:$C$16,3,0))*E3730)+IF(B3730="iFood",F3730*0.27,(VLOOKUP(VENDAS!C3730,Bairros!$A$2:$B$90,2,0))))</f>
        <v/>
      </c>
      <c r="J3730" s="7" t="str">
        <f t="shared" si="233"/>
        <v/>
      </c>
      <c r="K3730" s="9">
        <f t="shared" ca="1" si="234"/>
        <v>45404.878290162036</v>
      </c>
      <c r="L3730" s="10">
        <f t="shared" ca="1" si="235"/>
        <v>45404.878290046297</v>
      </c>
    </row>
    <row r="3731" spans="6:12" x14ac:dyDescent="0.25">
      <c r="F3731" s="11" t="str">
        <f>IF(ISBLANK(D3731),"",(VLOOKUP(D3731,Cardápio!$A$2:$B$16,2,0))*E3731)</f>
        <v/>
      </c>
      <c r="H3731" s="7" t="str">
        <f t="shared" si="232"/>
        <v/>
      </c>
      <c r="I3731" s="7" t="str">
        <f>IF(AND(ISBLANK(D3731),ISBLANK(C3731)),"",((VLOOKUP(D3731,Cardápio!$A$2:$C$16,3,0))*E3731)+IF(B3731="iFood",F3731*0.27,(VLOOKUP(VENDAS!C3731,Bairros!$A$2:$B$90,2,0))))</f>
        <v/>
      </c>
      <c r="J3731" s="7" t="str">
        <f t="shared" si="233"/>
        <v/>
      </c>
      <c r="K3731" s="9">
        <f t="shared" ca="1" si="234"/>
        <v>45404.878290162036</v>
      </c>
      <c r="L3731" s="10">
        <f t="shared" ca="1" si="235"/>
        <v>45404.878290162036</v>
      </c>
    </row>
    <row r="3732" spans="6:12" x14ac:dyDescent="0.25">
      <c r="F3732" s="11" t="str">
        <f>IF(ISBLANK(D3732),"",(VLOOKUP(D3732,Cardápio!$A$2:$B$16,2,0))*E3732)</f>
        <v/>
      </c>
      <c r="H3732" s="7" t="str">
        <f t="shared" si="232"/>
        <v/>
      </c>
      <c r="I3732" s="7" t="str">
        <f>IF(AND(ISBLANK(D3732),ISBLANK(C3732)),"",((VLOOKUP(D3732,Cardápio!$A$2:$C$16,3,0))*E3732)+IF(B3732="iFood",F3732*0.27,(VLOOKUP(VENDAS!C3732,Bairros!$A$2:$B$90,2,0))))</f>
        <v/>
      </c>
      <c r="J3732" s="7" t="str">
        <f t="shared" si="233"/>
        <v/>
      </c>
      <c r="K3732" s="9">
        <f t="shared" ca="1" si="234"/>
        <v>45404.878290162036</v>
      </c>
      <c r="L3732" s="10">
        <f t="shared" ca="1" si="235"/>
        <v>45404.878290046297</v>
      </c>
    </row>
    <row r="3733" spans="6:12" x14ac:dyDescent="0.25">
      <c r="F3733" s="11" t="str">
        <f>IF(ISBLANK(D3733),"",(VLOOKUP(D3733,Cardápio!$A$2:$B$16,2,0))*E3733)</f>
        <v/>
      </c>
      <c r="H3733" s="7" t="str">
        <f t="shared" si="232"/>
        <v/>
      </c>
      <c r="I3733" s="7" t="str">
        <f>IF(AND(ISBLANK(D3733),ISBLANK(C3733)),"",((VLOOKUP(D3733,Cardápio!$A$2:$C$16,3,0))*E3733)+IF(B3733="iFood",F3733*0.27,(VLOOKUP(VENDAS!C3733,Bairros!$A$2:$B$90,2,0))))</f>
        <v/>
      </c>
      <c r="J3733" s="7" t="str">
        <f t="shared" si="233"/>
        <v/>
      </c>
      <c r="K3733" s="9">
        <f t="shared" ca="1" si="234"/>
        <v>45404.878290277775</v>
      </c>
      <c r="L3733" s="10">
        <f t="shared" ca="1" si="235"/>
        <v>45404.878290046297</v>
      </c>
    </row>
    <row r="3734" spans="6:12" x14ac:dyDescent="0.25">
      <c r="F3734" s="11" t="str">
        <f>IF(ISBLANK(D3734),"",(VLOOKUP(D3734,Cardápio!$A$2:$B$16,2,0))*E3734)</f>
        <v/>
      </c>
      <c r="H3734" s="7" t="str">
        <f t="shared" si="232"/>
        <v/>
      </c>
      <c r="I3734" s="7" t="str">
        <f>IF(AND(ISBLANK(D3734),ISBLANK(C3734)),"",((VLOOKUP(D3734,Cardápio!$A$2:$C$16,3,0))*E3734)+IF(B3734="iFood",F3734*0.27,(VLOOKUP(VENDAS!C3734,Bairros!$A$2:$B$90,2,0))))</f>
        <v/>
      </c>
      <c r="J3734" s="7" t="str">
        <f t="shared" si="233"/>
        <v/>
      </c>
      <c r="K3734" s="9">
        <f t="shared" ca="1" si="234"/>
        <v>45404.878290162036</v>
      </c>
      <c r="L3734" s="10">
        <f t="shared" ca="1" si="235"/>
        <v>45404.878290046297</v>
      </c>
    </row>
    <row r="3735" spans="6:12" x14ac:dyDescent="0.25">
      <c r="F3735" s="11" t="str">
        <f>IF(ISBLANK(D3735),"",(VLOOKUP(D3735,Cardápio!$A$2:$B$16,2,0))*E3735)</f>
        <v/>
      </c>
      <c r="H3735" s="7" t="str">
        <f t="shared" si="232"/>
        <v/>
      </c>
      <c r="I3735" s="7" t="str">
        <f>IF(AND(ISBLANK(D3735),ISBLANK(C3735)),"",((VLOOKUP(D3735,Cardápio!$A$2:$C$16,3,0))*E3735)+IF(B3735="iFood",F3735*0.27,(VLOOKUP(VENDAS!C3735,Bairros!$A$2:$B$90,2,0))))</f>
        <v/>
      </c>
      <c r="J3735" s="7" t="str">
        <f t="shared" si="233"/>
        <v/>
      </c>
      <c r="K3735" s="9">
        <f t="shared" ca="1" si="234"/>
        <v>45404.878290162036</v>
      </c>
      <c r="L3735" s="10">
        <f t="shared" ca="1" si="235"/>
        <v>45404.878290162036</v>
      </c>
    </row>
    <row r="3736" spans="6:12" x14ac:dyDescent="0.25">
      <c r="F3736" s="11" t="str">
        <f>IF(ISBLANK(D3736),"",(VLOOKUP(D3736,Cardápio!$A$2:$B$16,2,0))*E3736)</f>
        <v/>
      </c>
      <c r="H3736" s="7" t="str">
        <f t="shared" si="232"/>
        <v/>
      </c>
      <c r="I3736" s="7" t="str">
        <f>IF(AND(ISBLANK(D3736),ISBLANK(C3736)),"",((VLOOKUP(D3736,Cardápio!$A$2:$C$16,3,0))*E3736)+IF(B3736="iFood",F3736*0.27,(VLOOKUP(VENDAS!C3736,Bairros!$A$2:$B$90,2,0))))</f>
        <v/>
      </c>
      <c r="J3736" s="7" t="str">
        <f t="shared" si="233"/>
        <v/>
      </c>
      <c r="K3736" s="9">
        <f t="shared" ca="1" si="234"/>
        <v>45404.878290162036</v>
      </c>
      <c r="L3736" s="10">
        <f t="shared" ca="1" si="235"/>
        <v>45404.878290046297</v>
      </c>
    </row>
    <row r="3737" spans="6:12" x14ac:dyDescent="0.25">
      <c r="F3737" s="11" t="str">
        <f>IF(ISBLANK(D3737),"",(VLOOKUP(D3737,Cardápio!$A$2:$B$16,2,0))*E3737)</f>
        <v/>
      </c>
      <c r="H3737" s="7" t="str">
        <f t="shared" si="232"/>
        <v/>
      </c>
      <c r="I3737" s="7" t="str">
        <f>IF(AND(ISBLANK(D3737),ISBLANK(C3737)),"",((VLOOKUP(D3737,Cardápio!$A$2:$C$16,3,0))*E3737)+IF(B3737="iFood",F3737*0.27,(VLOOKUP(VENDAS!C3737,Bairros!$A$2:$B$90,2,0))))</f>
        <v/>
      </c>
      <c r="J3737" s="7" t="str">
        <f t="shared" si="233"/>
        <v/>
      </c>
      <c r="K3737" s="9">
        <f t="shared" ca="1" si="234"/>
        <v>45404.878290277775</v>
      </c>
      <c r="L3737" s="10">
        <f t="shared" ca="1" si="235"/>
        <v>45404.878290046297</v>
      </c>
    </row>
    <row r="3738" spans="6:12" x14ac:dyDescent="0.25">
      <c r="F3738" s="11" t="str">
        <f>IF(ISBLANK(D3738),"",(VLOOKUP(D3738,Cardápio!$A$2:$B$16,2,0))*E3738)</f>
        <v/>
      </c>
      <c r="H3738" s="7" t="str">
        <f t="shared" si="232"/>
        <v/>
      </c>
      <c r="I3738" s="7" t="str">
        <f>IF(AND(ISBLANK(D3738),ISBLANK(C3738)),"",((VLOOKUP(D3738,Cardápio!$A$2:$C$16,3,0))*E3738)+IF(B3738="iFood",F3738*0.27,(VLOOKUP(VENDAS!C3738,Bairros!$A$2:$B$90,2,0))))</f>
        <v/>
      </c>
      <c r="J3738" s="7" t="str">
        <f t="shared" si="233"/>
        <v/>
      </c>
      <c r="K3738" s="9">
        <f t="shared" ca="1" si="234"/>
        <v>45404.878290162036</v>
      </c>
      <c r="L3738" s="10">
        <f t="shared" ca="1" si="235"/>
        <v>45404.878290046297</v>
      </c>
    </row>
    <row r="3739" spans="6:12" x14ac:dyDescent="0.25">
      <c r="F3739" s="11" t="str">
        <f>IF(ISBLANK(D3739),"",(VLOOKUP(D3739,Cardápio!$A$2:$B$16,2,0))*E3739)</f>
        <v/>
      </c>
      <c r="H3739" s="7" t="str">
        <f t="shared" si="232"/>
        <v/>
      </c>
      <c r="I3739" s="7" t="str">
        <f>IF(AND(ISBLANK(D3739),ISBLANK(C3739)),"",((VLOOKUP(D3739,Cardápio!$A$2:$C$16,3,0))*E3739)+IF(B3739="iFood",F3739*0.27,(VLOOKUP(VENDAS!C3739,Bairros!$A$2:$B$90,2,0))))</f>
        <v/>
      </c>
      <c r="J3739" s="7" t="str">
        <f t="shared" si="233"/>
        <v/>
      </c>
      <c r="K3739" s="9">
        <f t="shared" ca="1" si="234"/>
        <v>45404.878290162036</v>
      </c>
      <c r="L3739" s="10">
        <f t="shared" ca="1" si="235"/>
        <v>45404.878290162036</v>
      </c>
    </row>
    <row r="3740" spans="6:12" x14ac:dyDescent="0.25">
      <c r="F3740" s="11" t="str">
        <f>IF(ISBLANK(D3740),"",(VLOOKUP(D3740,Cardápio!$A$2:$B$16,2,0))*E3740)</f>
        <v/>
      </c>
      <c r="H3740" s="7" t="str">
        <f t="shared" si="232"/>
        <v/>
      </c>
      <c r="I3740" s="7" t="str">
        <f>IF(AND(ISBLANK(D3740),ISBLANK(C3740)),"",((VLOOKUP(D3740,Cardápio!$A$2:$C$16,3,0))*E3740)+IF(B3740="iFood",F3740*0.27,(VLOOKUP(VENDAS!C3740,Bairros!$A$2:$B$90,2,0))))</f>
        <v/>
      </c>
      <c r="J3740" s="7" t="str">
        <f t="shared" si="233"/>
        <v/>
      </c>
      <c r="K3740" s="9">
        <f t="shared" ca="1" si="234"/>
        <v>45404.878290162036</v>
      </c>
      <c r="L3740" s="10">
        <f t="shared" ca="1" si="235"/>
        <v>45404.878290046297</v>
      </c>
    </row>
    <row r="3741" spans="6:12" x14ac:dyDescent="0.25">
      <c r="F3741" s="11" t="str">
        <f>IF(ISBLANK(D3741),"",(VLOOKUP(D3741,Cardápio!$A$2:$B$16,2,0))*E3741)</f>
        <v/>
      </c>
      <c r="H3741" s="7" t="str">
        <f t="shared" si="232"/>
        <v/>
      </c>
      <c r="I3741" s="7" t="str">
        <f>IF(AND(ISBLANK(D3741),ISBLANK(C3741)),"",((VLOOKUP(D3741,Cardápio!$A$2:$C$16,3,0))*E3741)+IF(B3741="iFood",F3741*0.27,(VLOOKUP(VENDAS!C3741,Bairros!$A$2:$B$90,2,0))))</f>
        <v/>
      </c>
      <c r="J3741" s="7" t="str">
        <f t="shared" si="233"/>
        <v/>
      </c>
      <c r="K3741" s="9">
        <f t="shared" ca="1" si="234"/>
        <v>45404.878290277775</v>
      </c>
      <c r="L3741" s="10">
        <f t="shared" ca="1" si="235"/>
        <v>45404.878290046297</v>
      </c>
    </row>
    <row r="3742" spans="6:12" x14ac:dyDescent="0.25">
      <c r="F3742" s="11" t="str">
        <f>IF(ISBLANK(D3742),"",(VLOOKUP(D3742,Cardápio!$A$2:$B$16,2,0))*E3742)</f>
        <v/>
      </c>
      <c r="H3742" s="7" t="str">
        <f t="shared" si="232"/>
        <v/>
      </c>
      <c r="I3742" s="7" t="str">
        <f>IF(AND(ISBLANK(D3742),ISBLANK(C3742)),"",((VLOOKUP(D3742,Cardápio!$A$2:$C$16,3,0))*E3742)+IF(B3742="iFood",F3742*0.27,(VLOOKUP(VENDAS!C3742,Bairros!$A$2:$B$90,2,0))))</f>
        <v/>
      </c>
      <c r="J3742" s="7" t="str">
        <f t="shared" si="233"/>
        <v/>
      </c>
      <c r="K3742" s="9">
        <f t="shared" ca="1" si="234"/>
        <v>45404.878290162036</v>
      </c>
      <c r="L3742" s="10">
        <f t="shared" ca="1" si="235"/>
        <v>45404.878290046297</v>
      </c>
    </row>
    <row r="3743" spans="6:12" x14ac:dyDescent="0.25">
      <c r="F3743" s="11" t="str">
        <f>IF(ISBLANK(D3743),"",(VLOOKUP(D3743,Cardápio!$A$2:$B$16,2,0))*E3743)</f>
        <v/>
      </c>
      <c r="H3743" s="7" t="str">
        <f t="shared" si="232"/>
        <v/>
      </c>
      <c r="I3743" s="7" t="str">
        <f>IF(AND(ISBLANK(D3743),ISBLANK(C3743)),"",((VLOOKUP(D3743,Cardápio!$A$2:$C$16,3,0))*E3743)+IF(B3743="iFood",F3743*0.27,(VLOOKUP(VENDAS!C3743,Bairros!$A$2:$B$90,2,0))))</f>
        <v/>
      </c>
      <c r="J3743" s="7" t="str">
        <f t="shared" si="233"/>
        <v/>
      </c>
      <c r="K3743" s="9">
        <f t="shared" ca="1" si="234"/>
        <v>45404.878290162036</v>
      </c>
      <c r="L3743" s="10">
        <f t="shared" ca="1" si="235"/>
        <v>45404.878290162036</v>
      </c>
    </row>
    <row r="3744" spans="6:12" x14ac:dyDescent="0.25">
      <c r="F3744" s="11" t="str">
        <f>IF(ISBLANK(D3744),"",(VLOOKUP(D3744,Cardápio!$A$2:$B$16,2,0))*E3744)</f>
        <v/>
      </c>
      <c r="H3744" s="7" t="str">
        <f t="shared" si="232"/>
        <v/>
      </c>
      <c r="I3744" s="7" t="str">
        <f>IF(AND(ISBLANK(D3744),ISBLANK(C3744)),"",((VLOOKUP(D3744,Cardápio!$A$2:$C$16,3,0))*E3744)+IF(B3744="iFood",F3744*0.27,(VLOOKUP(VENDAS!C3744,Bairros!$A$2:$B$90,2,0))))</f>
        <v/>
      </c>
      <c r="J3744" s="7" t="str">
        <f t="shared" si="233"/>
        <v/>
      </c>
      <c r="K3744" s="9">
        <f t="shared" ca="1" si="234"/>
        <v>45404.878290162036</v>
      </c>
      <c r="L3744" s="10">
        <f t="shared" ca="1" si="235"/>
        <v>45404.878290046297</v>
      </c>
    </row>
    <row r="3745" spans="6:12" x14ac:dyDescent="0.25">
      <c r="F3745" s="11" t="str">
        <f>IF(ISBLANK(D3745),"",(VLOOKUP(D3745,Cardápio!$A$2:$B$16,2,0))*E3745)</f>
        <v/>
      </c>
      <c r="H3745" s="7" t="str">
        <f t="shared" si="232"/>
        <v/>
      </c>
      <c r="I3745" s="7" t="str">
        <f>IF(AND(ISBLANK(D3745),ISBLANK(C3745)),"",((VLOOKUP(D3745,Cardápio!$A$2:$C$16,3,0))*E3745)+IF(B3745="iFood",F3745*0.27,(VLOOKUP(VENDAS!C3745,Bairros!$A$2:$B$90,2,0))))</f>
        <v/>
      </c>
      <c r="J3745" s="7" t="str">
        <f t="shared" si="233"/>
        <v/>
      </c>
      <c r="K3745" s="9">
        <f t="shared" ca="1" si="234"/>
        <v>45404.878290277775</v>
      </c>
      <c r="L3745" s="10">
        <f t="shared" ca="1" si="235"/>
        <v>45404.878290046297</v>
      </c>
    </row>
    <row r="3746" spans="6:12" x14ac:dyDescent="0.25">
      <c r="F3746" s="11" t="str">
        <f>IF(ISBLANK(D3746),"",(VLOOKUP(D3746,Cardápio!$A$2:$B$16,2,0))*E3746)</f>
        <v/>
      </c>
      <c r="H3746" s="7" t="str">
        <f t="shared" si="232"/>
        <v/>
      </c>
      <c r="I3746" s="7" t="str">
        <f>IF(AND(ISBLANK(D3746),ISBLANK(C3746)),"",((VLOOKUP(D3746,Cardápio!$A$2:$C$16,3,0))*E3746)+IF(B3746="iFood",F3746*0.27,(VLOOKUP(VENDAS!C3746,Bairros!$A$2:$B$90,2,0))))</f>
        <v/>
      </c>
      <c r="J3746" s="7" t="str">
        <f t="shared" si="233"/>
        <v/>
      </c>
      <c r="K3746" s="9">
        <f t="shared" ca="1" si="234"/>
        <v>45404.878290162036</v>
      </c>
      <c r="L3746" s="10">
        <f t="shared" ca="1" si="235"/>
        <v>45404.878290046297</v>
      </c>
    </row>
    <row r="3747" spans="6:12" x14ac:dyDescent="0.25">
      <c r="F3747" s="11" t="str">
        <f>IF(ISBLANK(D3747),"",(VLOOKUP(D3747,Cardápio!$A$2:$B$16,2,0))*E3747)</f>
        <v/>
      </c>
      <c r="H3747" s="7" t="str">
        <f t="shared" si="232"/>
        <v/>
      </c>
      <c r="I3747" s="7" t="str">
        <f>IF(AND(ISBLANK(D3747),ISBLANK(C3747)),"",((VLOOKUP(D3747,Cardápio!$A$2:$C$16,3,0))*E3747)+IF(B3747="iFood",F3747*0.27,(VLOOKUP(VENDAS!C3747,Bairros!$A$2:$B$90,2,0))))</f>
        <v/>
      </c>
      <c r="J3747" s="7" t="str">
        <f t="shared" si="233"/>
        <v/>
      </c>
      <c r="K3747" s="9">
        <f t="shared" ca="1" si="234"/>
        <v>45404.878290162036</v>
      </c>
      <c r="L3747" s="10">
        <f t="shared" ca="1" si="235"/>
        <v>45404.878290162036</v>
      </c>
    </row>
    <row r="3748" spans="6:12" x14ac:dyDescent="0.25">
      <c r="F3748" s="11" t="str">
        <f>IF(ISBLANK(D3748),"",(VLOOKUP(D3748,Cardápio!$A$2:$B$16,2,0))*E3748)</f>
        <v/>
      </c>
      <c r="H3748" s="7" t="str">
        <f t="shared" si="232"/>
        <v/>
      </c>
      <c r="I3748" s="7" t="str">
        <f>IF(AND(ISBLANK(D3748),ISBLANK(C3748)),"",((VLOOKUP(D3748,Cardápio!$A$2:$C$16,3,0))*E3748)+IF(B3748="iFood",F3748*0.27,(VLOOKUP(VENDAS!C3748,Bairros!$A$2:$B$90,2,0))))</f>
        <v/>
      </c>
      <c r="J3748" s="7" t="str">
        <f t="shared" si="233"/>
        <v/>
      </c>
      <c r="K3748" s="9">
        <f t="shared" ca="1" si="234"/>
        <v>45404.878290162036</v>
      </c>
      <c r="L3748" s="10">
        <f t="shared" ca="1" si="235"/>
        <v>45404.878290046297</v>
      </c>
    </row>
    <row r="3749" spans="6:12" x14ac:dyDescent="0.25">
      <c r="F3749" s="11" t="str">
        <f>IF(ISBLANK(D3749),"",(VLOOKUP(D3749,Cardápio!$A$2:$B$16,2,0))*E3749)</f>
        <v/>
      </c>
      <c r="H3749" s="7" t="str">
        <f t="shared" si="232"/>
        <v/>
      </c>
      <c r="I3749" s="7" t="str">
        <f>IF(AND(ISBLANK(D3749),ISBLANK(C3749)),"",((VLOOKUP(D3749,Cardápio!$A$2:$C$16,3,0))*E3749)+IF(B3749="iFood",F3749*0.27,(VLOOKUP(VENDAS!C3749,Bairros!$A$2:$B$90,2,0))))</f>
        <v/>
      </c>
      <c r="J3749" s="7" t="str">
        <f t="shared" si="233"/>
        <v/>
      </c>
      <c r="K3749" s="9">
        <f t="shared" ca="1" si="234"/>
        <v>45404.878290277775</v>
      </c>
      <c r="L3749" s="10">
        <f t="shared" ca="1" si="235"/>
        <v>45404.878290046297</v>
      </c>
    </row>
    <row r="3750" spans="6:12" x14ac:dyDescent="0.25">
      <c r="F3750" s="11" t="str">
        <f>IF(ISBLANK(D3750),"",(VLOOKUP(D3750,Cardápio!$A$2:$B$16,2,0))*E3750)</f>
        <v/>
      </c>
      <c r="H3750" s="7" t="str">
        <f t="shared" si="232"/>
        <v/>
      </c>
      <c r="I3750" s="7" t="str">
        <f>IF(AND(ISBLANK(D3750),ISBLANK(C3750)),"",((VLOOKUP(D3750,Cardápio!$A$2:$C$16,3,0))*E3750)+IF(B3750="iFood",F3750*0.27,(VLOOKUP(VENDAS!C3750,Bairros!$A$2:$B$90,2,0))))</f>
        <v/>
      </c>
      <c r="J3750" s="7" t="str">
        <f t="shared" si="233"/>
        <v/>
      </c>
      <c r="K3750" s="9">
        <f t="shared" ca="1" si="234"/>
        <v>45404.878290162036</v>
      </c>
      <c r="L3750" s="10">
        <f t="shared" ca="1" si="235"/>
        <v>45404.878290046297</v>
      </c>
    </row>
    <row r="3751" spans="6:12" x14ac:dyDescent="0.25">
      <c r="F3751" s="11" t="str">
        <f>IF(ISBLANK(D3751),"",(VLOOKUP(D3751,Cardápio!$A$2:$B$16,2,0))*E3751)</f>
        <v/>
      </c>
      <c r="H3751" s="7" t="str">
        <f t="shared" si="232"/>
        <v/>
      </c>
      <c r="I3751" s="7" t="str">
        <f>IF(AND(ISBLANK(D3751),ISBLANK(C3751)),"",((VLOOKUP(D3751,Cardápio!$A$2:$C$16,3,0))*E3751)+IF(B3751="iFood",F3751*0.27,(VLOOKUP(VENDAS!C3751,Bairros!$A$2:$B$90,2,0))))</f>
        <v/>
      </c>
      <c r="J3751" s="7" t="str">
        <f t="shared" si="233"/>
        <v/>
      </c>
      <c r="K3751" s="9">
        <f t="shared" ca="1" si="234"/>
        <v>45404.878290162036</v>
      </c>
      <c r="L3751" s="10">
        <f t="shared" ca="1" si="235"/>
        <v>45404.878290162036</v>
      </c>
    </row>
    <row r="3752" spans="6:12" x14ac:dyDescent="0.25">
      <c r="F3752" s="11" t="str">
        <f>IF(ISBLANK(D3752),"",(VLOOKUP(D3752,Cardápio!$A$2:$B$16,2,0))*E3752)</f>
        <v/>
      </c>
      <c r="H3752" s="7" t="str">
        <f t="shared" si="232"/>
        <v/>
      </c>
      <c r="I3752" s="7" t="str">
        <f>IF(AND(ISBLANK(D3752),ISBLANK(C3752)),"",((VLOOKUP(D3752,Cardápio!$A$2:$C$16,3,0))*E3752)+IF(B3752="iFood",F3752*0.27,(VLOOKUP(VENDAS!C3752,Bairros!$A$2:$B$90,2,0))))</f>
        <v/>
      </c>
      <c r="J3752" s="7" t="str">
        <f t="shared" si="233"/>
        <v/>
      </c>
      <c r="K3752" s="9">
        <f t="shared" ca="1" si="234"/>
        <v>45404.878290162036</v>
      </c>
      <c r="L3752" s="10">
        <f t="shared" ca="1" si="235"/>
        <v>45404.878290046297</v>
      </c>
    </row>
    <row r="3753" spans="6:12" x14ac:dyDescent="0.25">
      <c r="F3753" s="11" t="str">
        <f>IF(ISBLANK(D3753),"",(VLOOKUP(D3753,Cardápio!$A$2:$B$16,2,0))*E3753)</f>
        <v/>
      </c>
      <c r="H3753" s="7" t="str">
        <f t="shared" si="232"/>
        <v/>
      </c>
      <c r="I3753" s="7" t="str">
        <f>IF(AND(ISBLANK(D3753),ISBLANK(C3753)),"",((VLOOKUP(D3753,Cardápio!$A$2:$C$16,3,0))*E3753)+IF(B3753="iFood",F3753*0.27,(VLOOKUP(VENDAS!C3753,Bairros!$A$2:$B$90,2,0))))</f>
        <v/>
      </c>
      <c r="J3753" s="7" t="str">
        <f t="shared" si="233"/>
        <v/>
      </c>
      <c r="K3753" s="9">
        <f t="shared" ca="1" si="234"/>
        <v>45404.878290277775</v>
      </c>
      <c r="L3753" s="10">
        <f t="shared" ca="1" si="235"/>
        <v>45404.878290046297</v>
      </c>
    </row>
    <row r="3754" spans="6:12" x14ac:dyDescent="0.25">
      <c r="F3754" s="11" t="str">
        <f>IF(ISBLANK(D3754),"",(VLOOKUP(D3754,Cardápio!$A$2:$B$16,2,0))*E3754)</f>
        <v/>
      </c>
      <c r="H3754" s="7" t="str">
        <f t="shared" si="232"/>
        <v/>
      </c>
      <c r="I3754" s="7" t="str">
        <f>IF(AND(ISBLANK(D3754),ISBLANK(C3754)),"",((VLOOKUP(D3754,Cardápio!$A$2:$C$16,3,0))*E3754)+IF(B3754="iFood",F3754*0.27,(VLOOKUP(VENDAS!C3754,Bairros!$A$2:$B$90,2,0))))</f>
        <v/>
      </c>
      <c r="J3754" s="7" t="str">
        <f t="shared" si="233"/>
        <v/>
      </c>
      <c r="K3754" s="9">
        <f t="shared" ca="1" si="234"/>
        <v>45404.878290162036</v>
      </c>
      <c r="L3754" s="10">
        <f t="shared" ca="1" si="235"/>
        <v>45404.878290046297</v>
      </c>
    </row>
    <row r="3755" spans="6:12" x14ac:dyDescent="0.25">
      <c r="F3755" s="11" t="str">
        <f>IF(ISBLANK(D3755),"",(VLOOKUP(D3755,Cardápio!$A$2:$B$16,2,0))*E3755)</f>
        <v/>
      </c>
      <c r="H3755" s="7" t="str">
        <f t="shared" si="232"/>
        <v/>
      </c>
      <c r="I3755" s="7" t="str">
        <f>IF(AND(ISBLANK(D3755),ISBLANK(C3755)),"",((VLOOKUP(D3755,Cardápio!$A$2:$C$16,3,0))*E3755)+IF(B3755="iFood",F3755*0.27,(VLOOKUP(VENDAS!C3755,Bairros!$A$2:$B$90,2,0))))</f>
        <v/>
      </c>
      <c r="J3755" s="7" t="str">
        <f t="shared" si="233"/>
        <v/>
      </c>
      <c r="K3755" s="9">
        <f t="shared" ca="1" si="234"/>
        <v>45404.878290162036</v>
      </c>
      <c r="L3755" s="10">
        <f t="shared" ca="1" si="235"/>
        <v>45404.878290162036</v>
      </c>
    </row>
    <row r="3756" spans="6:12" x14ac:dyDescent="0.25">
      <c r="F3756" s="11" t="str">
        <f>IF(ISBLANK(D3756),"",(VLOOKUP(D3756,Cardápio!$A$2:$B$16,2,0))*E3756)</f>
        <v/>
      </c>
      <c r="H3756" s="7" t="str">
        <f t="shared" si="232"/>
        <v/>
      </c>
      <c r="I3756" s="7" t="str">
        <f>IF(AND(ISBLANK(D3756),ISBLANK(C3756)),"",((VLOOKUP(D3756,Cardápio!$A$2:$C$16,3,0))*E3756)+IF(B3756="iFood",F3756*0.27,(VLOOKUP(VENDAS!C3756,Bairros!$A$2:$B$90,2,0))))</f>
        <v/>
      </c>
      <c r="J3756" s="7" t="str">
        <f t="shared" si="233"/>
        <v/>
      </c>
      <c r="K3756" s="9">
        <f t="shared" ca="1" si="234"/>
        <v>45404.878290162036</v>
      </c>
      <c r="L3756" s="10">
        <f t="shared" ca="1" si="235"/>
        <v>45404.878290046297</v>
      </c>
    </row>
    <row r="3757" spans="6:12" x14ac:dyDescent="0.25">
      <c r="F3757" s="11" t="str">
        <f>IF(ISBLANK(D3757),"",(VLOOKUP(D3757,Cardápio!$A$2:$B$16,2,0))*E3757)</f>
        <v/>
      </c>
      <c r="H3757" s="7" t="str">
        <f t="shared" si="232"/>
        <v/>
      </c>
      <c r="I3757" s="7" t="str">
        <f>IF(AND(ISBLANK(D3757),ISBLANK(C3757)),"",((VLOOKUP(D3757,Cardápio!$A$2:$C$16,3,0))*E3757)+IF(B3757="iFood",F3757*0.27,(VLOOKUP(VENDAS!C3757,Bairros!$A$2:$B$90,2,0))))</f>
        <v/>
      </c>
      <c r="J3757" s="7" t="str">
        <f t="shared" si="233"/>
        <v/>
      </c>
      <c r="K3757" s="9">
        <f t="shared" ca="1" si="234"/>
        <v>45404.878290277775</v>
      </c>
      <c r="L3757" s="10">
        <f t="shared" ca="1" si="235"/>
        <v>45404.878290046297</v>
      </c>
    </row>
    <row r="3758" spans="6:12" x14ac:dyDescent="0.25">
      <c r="F3758" s="11" t="str">
        <f>IF(ISBLANK(D3758),"",(VLOOKUP(D3758,Cardápio!$A$2:$B$16,2,0))*E3758)</f>
        <v/>
      </c>
      <c r="H3758" s="7" t="str">
        <f t="shared" si="232"/>
        <v/>
      </c>
      <c r="I3758" s="7" t="str">
        <f>IF(AND(ISBLANK(D3758),ISBLANK(C3758)),"",((VLOOKUP(D3758,Cardápio!$A$2:$C$16,3,0))*E3758)+IF(B3758="iFood",F3758*0.27,(VLOOKUP(VENDAS!C3758,Bairros!$A$2:$B$90,2,0))))</f>
        <v/>
      </c>
      <c r="J3758" s="7" t="str">
        <f t="shared" si="233"/>
        <v/>
      </c>
      <c r="K3758" s="9">
        <f t="shared" ca="1" si="234"/>
        <v>45404.878290162036</v>
      </c>
      <c r="L3758" s="10">
        <f t="shared" ca="1" si="235"/>
        <v>45404.878290046297</v>
      </c>
    </row>
    <row r="3759" spans="6:12" x14ac:dyDescent="0.25">
      <c r="F3759" s="11" t="str">
        <f>IF(ISBLANK(D3759),"",(VLOOKUP(D3759,Cardápio!$A$2:$B$16,2,0))*E3759)</f>
        <v/>
      </c>
      <c r="H3759" s="7" t="str">
        <f t="shared" si="232"/>
        <v/>
      </c>
      <c r="I3759" s="7" t="str">
        <f>IF(AND(ISBLANK(D3759),ISBLANK(C3759)),"",((VLOOKUP(D3759,Cardápio!$A$2:$C$16,3,0))*E3759)+IF(B3759="iFood",F3759*0.27,(VLOOKUP(VENDAS!C3759,Bairros!$A$2:$B$90,2,0))))</f>
        <v/>
      </c>
      <c r="J3759" s="7" t="str">
        <f t="shared" si="233"/>
        <v/>
      </c>
      <c r="K3759" s="9">
        <f t="shared" ca="1" si="234"/>
        <v>45404.878290162036</v>
      </c>
      <c r="L3759" s="10">
        <f t="shared" ca="1" si="235"/>
        <v>45404.878290162036</v>
      </c>
    </row>
    <row r="3760" spans="6:12" x14ac:dyDescent="0.25">
      <c r="F3760" s="11" t="str">
        <f>IF(ISBLANK(D3760),"",(VLOOKUP(D3760,Cardápio!$A$2:$B$16,2,0))*E3760)</f>
        <v/>
      </c>
      <c r="H3760" s="7" t="str">
        <f t="shared" si="232"/>
        <v/>
      </c>
      <c r="I3760" s="7" t="str">
        <f>IF(AND(ISBLANK(D3760),ISBLANK(C3760)),"",((VLOOKUP(D3760,Cardápio!$A$2:$C$16,3,0))*E3760)+IF(B3760="iFood",F3760*0.27,(VLOOKUP(VENDAS!C3760,Bairros!$A$2:$B$90,2,0))))</f>
        <v/>
      </c>
      <c r="J3760" s="7" t="str">
        <f t="shared" si="233"/>
        <v/>
      </c>
      <c r="K3760" s="9">
        <f t="shared" ca="1" si="234"/>
        <v>45404.878290162036</v>
      </c>
      <c r="L3760" s="10">
        <f t="shared" ca="1" si="235"/>
        <v>45404.878290046297</v>
      </c>
    </row>
    <row r="3761" spans="6:12" x14ac:dyDescent="0.25">
      <c r="F3761" s="11" t="str">
        <f>IF(ISBLANK(D3761),"",(VLOOKUP(D3761,Cardápio!$A$2:$B$16,2,0))*E3761)</f>
        <v/>
      </c>
      <c r="H3761" s="7" t="str">
        <f t="shared" si="232"/>
        <v/>
      </c>
      <c r="I3761" s="7" t="str">
        <f>IF(AND(ISBLANK(D3761),ISBLANK(C3761)),"",((VLOOKUP(D3761,Cardápio!$A$2:$C$16,3,0))*E3761)+IF(B3761="iFood",F3761*0.27,(VLOOKUP(VENDAS!C3761,Bairros!$A$2:$B$90,2,0))))</f>
        <v/>
      </c>
      <c r="J3761" s="7" t="str">
        <f t="shared" si="233"/>
        <v/>
      </c>
      <c r="K3761" s="9">
        <f t="shared" ca="1" si="234"/>
        <v>45404.878290277775</v>
      </c>
      <c r="L3761" s="10">
        <f t="shared" ca="1" si="235"/>
        <v>45404.878290046297</v>
      </c>
    </row>
    <row r="3762" spans="6:12" x14ac:dyDescent="0.25">
      <c r="F3762" s="11" t="str">
        <f>IF(ISBLANK(D3762),"",(VLOOKUP(D3762,Cardápio!$A$2:$B$16,2,0))*E3762)</f>
        <v/>
      </c>
      <c r="H3762" s="7" t="str">
        <f t="shared" si="232"/>
        <v/>
      </c>
      <c r="I3762" s="7" t="str">
        <f>IF(AND(ISBLANK(D3762),ISBLANK(C3762)),"",((VLOOKUP(D3762,Cardápio!$A$2:$C$16,3,0))*E3762)+IF(B3762="iFood",F3762*0.27,(VLOOKUP(VENDAS!C3762,Bairros!$A$2:$B$90,2,0))))</f>
        <v/>
      </c>
      <c r="J3762" s="7" t="str">
        <f t="shared" si="233"/>
        <v/>
      </c>
      <c r="K3762" s="9">
        <f t="shared" ca="1" si="234"/>
        <v>45404.878290162036</v>
      </c>
      <c r="L3762" s="10">
        <f t="shared" ca="1" si="235"/>
        <v>45404.878290046297</v>
      </c>
    </row>
    <row r="3763" spans="6:12" x14ac:dyDescent="0.25">
      <c r="F3763" s="11" t="str">
        <f>IF(ISBLANK(D3763),"",(VLOOKUP(D3763,Cardápio!$A$2:$B$16,2,0))*E3763)</f>
        <v/>
      </c>
      <c r="H3763" s="7" t="str">
        <f t="shared" si="232"/>
        <v/>
      </c>
      <c r="I3763" s="7" t="str">
        <f>IF(AND(ISBLANK(D3763),ISBLANK(C3763)),"",((VLOOKUP(D3763,Cardápio!$A$2:$C$16,3,0))*E3763)+IF(B3763="iFood",F3763*0.27,(VLOOKUP(VENDAS!C3763,Bairros!$A$2:$B$90,2,0))))</f>
        <v/>
      </c>
      <c r="J3763" s="7" t="str">
        <f t="shared" si="233"/>
        <v/>
      </c>
      <c r="K3763" s="9">
        <f t="shared" ca="1" si="234"/>
        <v>45404.878290162036</v>
      </c>
      <c r="L3763" s="10">
        <f t="shared" ca="1" si="235"/>
        <v>45404.878290162036</v>
      </c>
    </row>
    <row r="3764" spans="6:12" x14ac:dyDescent="0.25">
      <c r="F3764" s="11" t="str">
        <f>IF(ISBLANK(D3764),"",(VLOOKUP(D3764,Cardápio!$A$2:$B$16,2,0))*E3764)</f>
        <v/>
      </c>
      <c r="H3764" s="7" t="str">
        <f t="shared" si="232"/>
        <v/>
      </c>
      <c r="I3764" s="7" t="str">
        <f>IF(AND(ISBLANK(D3764),ISBLANK(C3764)),"",((VLOOKUP(D3764,Cardápio!$A$2:$C$16,3,0))*E3764)+IF(B3764="iFood",F3764*0.27,(VLOOKUP(VENDAS!C3764,Bairros!$A$2:$B$90,2,0))))</f>
        <v/>
      </c>
      <c r="J3764" s="7" t="str">
        <f t="shared" si="233"/>
        <v/>
      </c>
      <c r="K3764" s="9">
        <f t="shared" ca="1" si="234"/>
        <v>45404.878290162036</v>
      </c>
      <c r="L3764" s="10">
        <f t="shared" ca="1" si="235"/>
        <v>45404.878290046297</v>
      </c>
    </row>
    <row r="3765" spans="6:12" x14ac:dyDescent="0.25">
      <c r="F3765" s="11" t="str">
        <f>IF(ISBLANK(D3765),"",(VLOOKUP(D3765,Cardápio!$A$2:$B$16,2,0))*E3765)</f>
        <v/>
      </c>
      <c r="H3765" s="7" t="str">
        <f t="shared" ref="H3765:H3828" si="236">IF(ISBLANK(D3765),"",F3765-G3765)</f>
        <v/>
      </c>
      <c r="I3765" s="7" t="str">
        <f>IF(AND(ISBLANK(D3765),ISBLANK(C3765)),"",((VLOOKUP(D3765,Cardápio!$A$2:$C$16,3,0))*E3765)+IF(B3765="iFood",F3765*0.27,(VLOOKUP(VENDAS!C3765,Bairros!$A$2:$B$90,2,0))))</f>
        <v/>
      </c>
      <c r="J3765" s="7" t="str">
        <f t="shared" ref="J3765:J3828" si="237">IF(OR(AND(ISBLANK(H3765),ISBLANK(I3765)),(AND(H3765="",I3765=""))),"",H3765-I3765)</f>
        <v/>
      </c>
      <c r="K3765" s="9">
        <f t="shared" ref="K3765:K3828" ca="1" si="238">IF(D3765&lt;&gt;"",K3765,NOW())</f>
        <v>45404.878290277775</v>
      </c>
      <c r="L3765" s="10">
        <f t="shared" ref="L3765:L3828" ca="1" si="239">IF(D3765&lt;&gt;"",L3765,NOW())</f>
        <v>45404.878290046297</v>
      </c>
    </row>
    <row r="3766" spans="6:12" x14ac:dyDescent="0.25">
      <c r="F3766" s="11" t="str">
        <f>IF(ISBLANK(D3766),"",(VLOOKUP(D3766,Cardápio!$A$2:$B$16,2,0))*E3766)</f>
        <v/>
      </c>
      <c r="H3766" s="7" t="str">
        <f t="shared" si="236"/>
        <v/>
      </c>
      <c r="I3766" s="7" t="str">
        <f>IF(AND(ISBLANK(D3766),ISBLANK(C3766)),"",((VLOOKUP(D3766,Cardápio!$A$2:$C$16,3,0))*E3766)+IF(B3766="iFood",F3766*0.27,(VLOOKUP(VENDAS!C3766,Bairros!$A$2:$B$90,2,0))))</f>
        <v/>
      </c>
      <c r="J3766" s="7" t="str">
        <f t="shared" si="237"/>
        <v/>
      </c>
      <c r="K3766" s="9">
        <f t="shared" ca="1" si="238"/>
        <v>45404.878290162036</v>
      </c>
      <c r="L3766" s="10">
        <f t="shared" ca="1" si="239"/>
        <v>45404.878290046297</v>
      </c>
    </row>
    <row r="3767" spans="6:12" x14ac:dyDescent="0.25">
      <c r="F3767" s="11" t="str">
        <f>IF(ISBLANK(D3767),"",(VLOOKUP(D3767,Cardápio!$A$2:$B$16,2,0))*E3767)</f>
        <v/>
      </c>
      <c r="H3767" s="7" t="str">
        <f t="shared" si="236"/>
        <v/>
      </c>
      <c r="I3767" s="7" t="str">
        <f>IF(AND(ISBLANK(D3767),ISBLANK(C3767)),"",((VLOOKUP(D3767,Cardápio!$A$2:$C$16,3,0))*E3767)+IF(B3767="iFood",F3767*0.27,(VLOOKUP(VENDAS!C3767,Bairros!$A$2:$B$90,2,0))))</f>
        <v/>
      </c>
      <c r="J3767" s="7" t="str">
        <f t="shared" si="237"/>
        <v/>
      </c>
      <c r="K3767" s="9">
        <f t="shared" ca="1" si="238"/>
        <v>45404.878290162036</v>
      </c>
      <c r="L3767" s="10">
        <f t="shared" ca="1" si="239"/>
        <v>45404.878290162036</v>
      </c>
    </row>
    <row r="3768" spans="6:12" x14ac:dyDescent="0.25">
      <c r="F3768" s="11" t="str">
        <f>IF(ISBLANK(D3768),"",(VLOOKUP(D3768,Cardápio!$A$2:$B$16,2,0))*E3768)</f>
        <v/>
      </c>
      <c r="H3768" s="7" t="str">
        <f t="shared" si="236"/>
        <v/>
      </c>
      <c r="I3768" s="7" t="str">
        <f>IF(AND(ISBLANK(D3768),ISBLANK(C3768)),"",((VLOOKUP(D3768,Cardápio!$A$2:$C$16,3,0))*E3768)+IF(B3768="iFood",F3768*0.27,(VLOOKUP(VENDAS!C3768,Bairros!$A$2:$B$90,2,0))))</f>
        <v/>
      </c>
      <c r="J3768" s="7" t="str">
        <f t="shared" si="237"/>
        <v/>
      </c>
      <c r="K3768" s="9">
        <f t="shared" ca="1" si="238"/>
        <v>45404.878290162036</v>
      </c>
      <c r="L3768" s="10">
        <f t="shared" ca="1" si="239"/>
        <v>45404.878290046297</v>
      </c>
    </row>
    <row r="3769" spans="6:12" x14ac:dyDescent="0.25">
      <c r="F3769" s="11" t="str">
        <f>IF(ISBLANK(D3769),"",(VLOOKUP(D3769,Cardápio!$A$2:$B$16,2,0))*E3769)</f>
        <v/>
      </c>
      <c r="H3769" s="7" t="str">
        <f t="shared" si="236"/>
        <v/>
      </c>
      <c r="I3769" s="7" t="str">
        <f>IF(AND(ISBLANK(D3769),ISBLANK(C3769)),"",((VLOOKUP(D3769,Cardápio!$A$2:$C$16,3,0))*E3769)+IF(B3769="iFood",F3769*0.27,(VLOOKUP(VENDAS!C3769,Bairros!$A$2:$B$90,2,0))))</f>
        <v/>
      </c>
      <c r="J3769" s="7" t="str">
        <f t="shared" si="237"/>
        <v/>
      </c>
      <c r="K3769" s="9">
        <f t="shared" ca="1" si="238"/>
        <v>45404.878290277775</v>
      </c>
      <c r="L3769" s="10">
        <f t="shared" ca="1" si="239"/>
        <v>45404.878290046297</v>
      </c>
    </row>
    <row r="3770" spans="6:12" x14ac:dyDescent="0.25">
      <c r="F3770" s="11" t="str">
        <f>IF(ISBLANK(D3770),"",(VLOOKUP(D3770,Cardápio!$A$2:$B$16,2,0))*E3770)</f>
        <v/>
      </c>
      <c r="H3770" s="7" t="str">
        <f t="shared" si="236"/>
        <v/>
      </c>
      <c r="I3770" s="7" t="str">
        <f>IF(AND(ISBLANK(D3770),ISBLANK(C3770)),"",((VLOOKUP(D3770,Cardápio!$A$2:$C$16,3,0))*E3770)+IF(B3770="iFood",F3770*0.27,(VLOOKUP(VENDAS!C3770,Bairros!$A$2:$B$90,2,0))))</f>
        <v/>
      </c>
      <c r="J3770" s="7" t="str">
        <f t="shared" si="237"/>
        <v/>
      </c>
      <c r="K3770" s="9">
        <f t="shared" ca="1" si="238"/>
        <v>45404.878290162036</v>
      </c>
      <c r="L3770" s="10">
        <f t="shared" ca="1" si="239"/>
        <v>45404.878290046297</v>
      </c>
    </row>
    <row r="3771" spans="6:12" x14ac:dyDescent="0.25">
      <c r="F3771" s="11" t="str">
        <f>IF(ISBLANK(D3771),"",(VLOOKUP(D3771,Cardápio!$A$2:$B$16,2,0))*E3771)</f>
        <v/>
      </c>
      <c r="H3771" s="7" t="str">
        <f t="shared" si="236"/>
        <v/>
      </c>
      <c r="I3771" s="7" t="str">
        <f>IF(AND(ISBLANK(D3771),ISBLANK(C3771)),"",((VLOOKUP(D3771,Cardápio!$A$2:$C$16,3,0))*E3771)+IF(B3771="iFood",F3771*0.27,(VLOOKUP(VENDAS!C3771,Bairros!$A$2:$B$90,2,0))))</f>
        <v/>
      </c>
      <c r="J3771" s="7" t="str">
        <f t="shared" si="237"/>
        <v/>
      </c>
      <c r="K3771" s="9">
        <f t="shared" ca="1" si="238"/>
        <v>45404.878290162036</v>
      </c>
      <c r="L3771" s="10">
        <f t="shared" ca="1" si="239"/>
        <v>45404.878290162036</v>
      </c>
    </row>
    <row r="3772" spans="6:12" x14ac:dyDescent="0.25">
      <c r="F3772" s="11" t="str">
        <f>IF(ISBLANK(D3772),"",(VLOOKUP(D3772,Cardápio!$A$2:$B$16,2,0))*E3772)</f>
        <v/>
      </c>
      <c r="H3772" s="7" t="str">
        <f t="shared" si="236"/>
        <v/>
      </c>
      <c r="I3772" s="7" t="str">
        <f>IF(AND(ISBLANK(D3772),ISBLANK(C3772)),"",((VLOOKUP(D3772,Cardápio!$A$2:$C$16,3,0))*E3772)+IF(B3772="iFood",F3772*0.27,(VLOOKUP(VENDAS!C3772,Bairros!$A$2:$B$90,2,0))))</f>
        <v/>
      </c>
      <c r="J3772" s="7" t="str">
        <f t="shared" si="237"/>
        <v/>
      </c>
      <c r="K3772" s="9">
        <f t="shared" ca="1" si="238"/>
        <v>45404.878290162036</v>
      </c>
      <c r="L3772" s="10">
        <f t="shared" ca="1" si="239"/>
        <v>45404.878290046297</v>
      </c>
    </row>
    <row r="3773" spans="6:12" x14ac:dyDescent="0.25">
      <c r="F3773" s="11" t="str">
        <f>IF(ISBLANK(D3773),"",(VLOOKUP(D3773,Cardápio!$A$2:$B$16,2,0))*E3773)</f>
        <v/>
      </c>
      <c r="H3773" s="7" t="str">
        <f t="shared" si="236"/>
        <v/>
      </c>
      <c r="I3773" s="7" t="str">
        <f>IF(AND(ISBLANK(D3773),ISBLANK(C3773)),"",((VLOOKUP(D3773,Cardápio!$A$2:$C$16,3,0))*E3773)+IF(B3773="iFood",F3773*0.27,(VLOOKUP(VENDAS!C3773,Bairros!$A$2:$B$90,2,0))))</f>
        <v/>
      </c>
      <c r="J3773" s="7" t="str">
        <f t="shared" si="237"/>
        <v/>
      </c>
      <c r="K3773" s="9">
        <f t="shared" ca="1" si="238"/>
        <v>45404.878290277775</v>
      </c>
      <c r="L3773" s="10">
        <f t="shared" ca="1" si="239"/>
        <v>45404.878290046297</v>
      </c>
    </row>
    <row r="3774" spans="6:12" x14ac:dyDescent="0.25">
      <c r="F3774" s="11" t="str">
        <f>IF(ISBLANK(D3774),"",(VLOOKUP(D3774,Cardápio!$A$2:$B$16,2,0))*E3774)</f>
        <v/>
      </c>
      <c r="H3774" s="7" t="str">
        <f t="shared" si="236"/>
        <v/>
      </c>
      <c r="I3774" s="7" t="str">
        <f>IF(AND(ISBLANK(D3774),ISBLANK(C3774)),"",((VLOOKUP(D3774,Cardápio!$A$2:$C$16,3,0))*E3774)+IF(B3774="iFood",F3774*0.27,(VLOOKUP(VENDAS!C3774,Bairros!$A$2:$B$90,2,0))))</f>
        <v/>
      </c>
      <c r="J3774" s="7" t="str">
        <f t="shared" si="237"/>
        <v/>
      </c>
      <c r="K3774" s="9">
        <f t="shared" ca="1" si="238"/>
        <v>45404.878290162036</v>
      </c>
      <c r="L3774" s="10">
        <f t="shared" ca="1" si="239"/>
        <v>45404.878290046297</v>
      </c>
    </row>
    <row r="3775" spans="6:12" x14ac:dyDescent="0.25">
      <c r="F3775" s="11" t="str">
        <f>IF(ISBLANK(D3775),"",(VLOOKUP(D3775,Cardápio!$A$2:$B$16,2,0))*E3775)</f>
        <v/>
      </c>
      <c r="H3775" s="7" t="str">
        <f t="shared" si="236"/>
        <v/>
      </c>
      <c r="I3775" s="7" t="str">
        <f>IF(AND(ISBLANK(D3775),ISBLANK(C3775)),"",((VLOOKUP(D3775,Cardápio!$A$2:$C$16,3,0))*E3775)+IF(B3775="iFood",F3775*0.27,(VLOOKUP(VENDAS!C3775,Bairros!$A$2:$B$90,2,0))))</f>
        <v/>
      </c>
      <c r="J3775" s="7" t="str">
        <f t="shared" si="237"/>
        <v/>
      </c>
      <c r="K3775" s="9">
        <f t="shared" ca="1" si="238"/>
        <v>45404.878290162036</v>
      </c>
      <c r="L3775" s="10">
        <f t="shared" ca="1" si="239"/>
        <v>45404.878290162036</v>
      </c>
    </row>
    <row r="3776" spans="6:12" x14ac:dyDescent="0.25">
      <c r="F3776" s="11" t="str">
        <f>IF(ISBLANK(D3776),"",(VLOOKUP(D3776,Cardápio!$A$2:$B$16,2,0))*E3776)</f>
        <v/>
      </c>
      <c r="H3776" s="7" t="str">
        <f t="shared" si="236"/>
        <v/>
      </c>
      <c r="I3776" s="7" t="str">
        <f>IF(AND(ISBLANK(D3776),ISBLANK(C3776)),"",((VLOOKUP(D3776,Cardápio!$A$2:$C$16,3,0))*E3776)+IF(B3776="iFood",F3776*0.27,(VLOOKUP(VENDAS!C3776,Bairros!$A$2:$B$90,2,0))))</f>
        <v/>
      </c>
      <c r="J3776" s="7" t="str">
        <f t="shared" si="237"/>
        <v/>
      </c>
      <c r="K3776" s="9">
        <f t="shared" ca="1" si="238"/>
        <v>45404.878290162036</v>
      </c>
      <c r="L3776" s="10">
        <f t="shared" ca="1" si="239"/>
        <v>45404.878290046297</v>
      </c>
    </row>
    <row r="3777" spans="6:12" x14ac:dyDescent="0.25">
      <c r="F3777" s="11" t="str">
        <f>IF(ISBLANK(D3777),"",(VLOOKUP(D3777,Cardápio!$A$2:$B$16,2,0))*E3777)</f>
        <v/>
      </c>
      <c r="H3777" s="7" t="str">
        <f t="shared" si="236"/>
        <v/>
      </c>
      <c r="I3777" s="7" t="str">
        <f>IF(AND(ISBLANK(D3777),ISBLANK(C3777)),"",((VLOOKUP(D3777,Cardápio!$A$2:$C$16,3,0))*E3777)+IF(B3777="iFood",F3777*0.27,(VLOOKUP(VENDAS!C3777,Bairros!$A$2:$B$90,2,0))))</f>
        <v/>
      </c>
      <c r="J3777" s="7" t="str">
        <f t="shared" si="237"/>
        <v/>
      </c>
      <c r="K3777" s="9">
        <f t="shared" ca="1" si="238"/>
        <v>45404.878290277775</v>
      </c>
      <c r="L3777" s="10">
        <f t="shared" ca="1" si="239"/>
        <v>45404.878290046297</v>
      </c>
    </row>
    <row r="3778" spans="6:12" x14ac:dyDescent="0.25">
      <c r="F3778" s="11" t="str">
        <f>IF(ISBLANK(D3778),"",(VLOOKUP(D3778,Cardápio!$A$2:$B$16,2,0))*E3778)</f>
        <v/>
      </c>
      <c r="H3778" s="7" t="str">
        <f t="shared" si="236"/>
        <v/>
      </c>
      <c r="I3778" s="7" t="str">
        <f>IF(AND(ISBLANK(D3778),ISBLANK(C3778)),"",((VLOOKUP(D3778,Cardápio!$A$2:$C$16,3,0))*E3778)+IF(B3778="iFood",F3778*0.27,(VLOOKUP(VENDAS!C3778,Bairros!$A$2:$B$90,2,0))))</f>
        <v/>
      </c>
      <c r="J3778" s="7" t="str">
        <f t="shared" si="237"/>
        <v/>
      </c>
      <c r="K3778" s="9">
        <f t="shared" ca="1" si="238"/>
        <v>45404.878290162036</v>
      </c>
      <c r="L3778" s="10">
        <f t="shared" ca="1" si="239"/>
        <v>45404.878290046297</v>
      </c>
    </row>
    <row r="3779" spans="6:12" x14ac:dyDescent="0.25">
      <c r="F3779" s="11" t="str">
        <f>IF(ISBLANK(D3779),"",(VLOOKUP(D3779,Cardápio!$A$2:$B$16,2,0))*E3779)</f>
        <v/>
      </c>
      <c r="H3779" s="7" t="str">
        <f t="shared" si="236"/>
        <v/>
      </c>
      <c r="I3779" s="7" t="str">
        <f>IF(AND(ISBLANK(D3779),ISBLANK(C3779)),"",((VLOOKUP(D3779,Cardápio!$A$2:$C$16,3,0))*E3779)+IF(B3779="iFood",F3779*0.27,(VLOOKUP(VENDAS!C3779,Bairros!$A$2:$B$90,2,0))))</f>
        <v/>
      </c>
      <c r="J3779" s="7" t="str">
        <f t="shared" si="237"/>
        <v/>
      </c>
      <c r="K3779" s="9">
        <f t="shared" ca="1" si="238"/>
        <v>45404.878290162036</v>
      </c>
      <c r="L3779" s="10">
        <f t="shared" ca="1" si="239"/>
        <v>45404.878290162036</v>
      </c>
    </row>
    <row r="3780" spans="6:12" x14ac:dyDescent="0.25">
      <c r="F3780" s="11" t="str">
        <f>IF(ISBLANK(D3780),"",(VLOOKUP(D3780,Cardápio!$A$2:$B$16,2,0))*E3780)</f>
        <v/>
      </c>
      <c r="H3780" s="7" t="str">
        <f t="shared" si="236"/>
        <v/>
      </c>
      <c r="I3780" s="7" t="str">
        <f>IF(AND(ISBLANK(D3780),ISBLANK(C3780)),"",((VLOOKUP(D3780,Cardápio!$A$2:$C$16,3,0))*E3780)+IF(B3780="iFood",F3780*0.27,(VLOOKUP(VENDAS!C3780,Bairros!$A$2:$B$90,2,0))))</f>
        <v/>
      </c>
      <c r="J3780" s="7" t="str">
        <f t="shared" si="237"/>
        <v/>
      </c>
      <c r="K3780" s="9">
        <f t="shared" ca="1" si="238"/>
        <v>45404.878290162036</v>
      </c>
      <c r="L3780" s="10">
        <f t="shared" ca="1" si="239"/>
        <v>45404.878290046297</v>
      </c>
    </row>
    <row r="3781" spans="6:12" x14ac:dyDescent="0.25">
      <c r="F3781" s="11" t="str">
        <f>IF(ISBLANK(D3781),"",(VLOOKUP(D3781,Cardápio!$A$2:$B$16,2,0))*E3781)</f>
        <v/>
      </c>
      <c r="H3781" s="7" t="str">
        <f t="shared" si="236"/>
        <v/>
      </c>
      <c r="I3781" s="7" t="str">
        <f>IF(AND(ISBLANK(D3781),ISBLANK(C3781)),"",((VLOOKUP(D3781,Cardápio!$A$2:$C$16,3,0))*E3781)+IF(B3781="iFood",F3781*0.27,(VLOOKUP(VENDAS!C3781,Bairros!$A$2:$B$90,2,0))))</f>
        <v/>
      </c>
      <c r="J3781" s="7" t="str">
        <f t="shared" si="237"/>
        <v/>
      </c>
      <c r="K3781" s="9">
        <f t="shared" ca="1" si="238"/>
        <v>45404.878290277775</v>
      </c>
      <c r="L3781" s="10">
        <f t="shared" ca="1" si="239"/>
        <v>45404.878290046297</v>
      </c>
    </row>
    <row r="3782" spans="6:12" x14ac:dyDescent="0.25">
      <c r="F3782" s="11" t="str">
        <f>IF(ISBLANK(D3782),"",(VLOOKUP(D3782,Cardápio!$A$2:$B$16,2,0))*E3782)</f>
        <v/>
      </c>
      <c r="H3782" s="7" t="str">
        <f t="shared" si="236"/>
        <v/>
      </c>
      <c r="I3782" s="7" t="str">
        <f>IF(AND(ISBLANK(D3782),ISBLANK(C3782)),"",((VLOOKUP(D3782,Cardápio!$A$2:$C$16,3,0))*E3782)+IF(B3782="iFood",F3782*0.27,(VLOOKUP(VENDAS!C3782,Bairros!$A$2:$B$90,2,0))))</f>
        <v/>
      </c>
      <c r="J3782" s="7" t="str">
        <f t="shared" si="237"/>
        <v/>
      </c>
      <c r="K3782" s="9">
        <f t="shared" ca="1" si="238"/>
        <v>45404.878290162036</v>
      </c>
      <c r="L3782" s="10">
        <f t="shared" ca="1" si="239"/>
        <v>45404.878290046297</v>
      </c>
    </row>
    <row r="3783" spans="6:12" x14ac:dyDescent="0.25">
      <c r="F3783" s="11" t="str">
        <f>IF(ISBLANK(D3783),"",(VLOOKUP(D3783,Cardápio!$A$2:$B$16,2,0))*E3783)</f>
        <v/>
      </c>
      <c r="H3783" s="7" t="str">
        <f t="shared" si="236"/>
        <v/>
      </c>
      <c r="I3783" s="7" t="str">
        <f>IF(AND(ISBLANK(D3783),ISBLANK(C3783)),"",((VLOOKUP(D3783,Cardápio!$A$2:$C$16,3,0))*E3783)+IF(B3783="iFood",F3783*0.27,(VLOOKUP(VENDAS!C3783,Bairros!$A$2:$B$90,2,0))))</f>
        <v/>
      </c>
      <c r="J3783" s="7" t="str">
        <f t="shared" si="237"/>
        <v/>
      </c>
      <c r="K3783" s="9">
        <f t="shared" ca="1" si="238"/>
        <v>45404.878290162036</v>
      </c>
      <c r="L3783" s="10">
        <f t="shared" ca="1" si="239"/>
        <v>45404.878290162036</v>
      </c>
    </row>
    <row r="3784" spans="6:12" x14ac:dyDescent="0.25">
      <c r="F3784" s="11" t="str">
        <f>IF(ISBLANK(D3784),"",(VLOOKUP(D3784,Cardápio!$A$2:$B$16,2,0))*E3784)</f>
        <v/>
      </c>
      <c r="H3784" s="7" t="str">
        <f t="shared" si="236"/>
        <v/>
      </c>
      <c r="I3784" s="7" t="str">
        <f>IF(AND(ISBLANK(D3784),ISBLANK(C3784)),"",((VLOOKUP(D3784,Cardápio!$A$2:$C$16,3,0))*E3784)+IF(B3784="iFood",F3784*0.27,(VLOOKUP(VENDAS!C3784,Bairros!$A$2:$B$90,2,0))))</f>
        <v/>
      </c>
      <c r="J3784" s="7" t="str">
        <f t="shared" si="237"/>
        <v/>
      </c>
      <c r="K3784" s="9">
        <f t="shared" ca="1" si="238"/>
        <v>45404.878290162036</v>
      </c>
      <c r="L3784" s="10">
        <f t="shared" ca="1" si="239"/>
        <v>45404.878290046297</v>
      </c>
    </row>
    <row r="3785" spans="6:12" x14ac:dyDescent="0.25">
      <c r="F3785" s="11" t="str">
        <f>IF(ISBLANK(D3785),"",(VLOOKUP(D3785,Cardápio!$A$2:$B$16,2,0))*E3785)</f>
        <v/>
      </c>
      <c r="H3785" s="7" t="str">
        <f t="shared" si="236"/>
        <v/>
      </c>
      <c r="I3785" s="7" t="str">
        <f>IF(AND(ISBLANK(D3785),ISBLANK(C3785)),"",((VLOOKUP(D3785,Cardápio!$A$2:$C$16,3,0))*E3785)+IF(B3785="iFood",F3785*0.27,(VLOOKUP(VENDAS!C3785,Bairros!$A$2:$B$90,2,0))))</f>
        <v/>
      </c>
      <c r="J3785" s="7" t="str">
        <f t="shared" si="237"/>
        <v/>
      </c>
      <c r="K3785" s="9">
        <f t="shared" ca="1" si="238"/>
        <v>45404.878290277775</v>
      </c>
      <c r="L3785" s="10">
        <f t="shared" ca="1" si="239"/>
        <v>45404.878290046297</v>
      </c>
    </row>
    <row r="3786" spans="6:12" x14ac:dyDescent="0.25">
      <c r="F3786" s="11" t="str">
        <f>IF(ISBLANK(D3786),"",(VLOOKUP(D3786,Cardápio!$A$2:$B$16,2,0))*E3786)</f>
        <v/>
      </c>
      <c r="H3786" s="7" t="str">
        <f t="shared" si="236"/>
        <v/>
      </c>
      <c r="I3786" s="7" t="str">
        <f>IF(AND(ISBLANK(D3786),ISBLANK(C3786)),"",((VLOOKUP(D3786,Cardápio!$A$2:$C$16,3,0))*E3786)+IF(B3786="iFood",F3786*0.27,(VLOOKUP(VENDAS!C3786,Bairros!$A$2:$B$90,2,0))))</f>
        <v/>
      </c>
      <c r="J3786" s="7" t="str">
        <f t="shared" si="237"/>
        <v/>
      </c>
      <c r="K3786" s="9">
        <f t="shared" ca="1" si="238"/>
        <v>45404.878290162036</v>
      </c>
      <c r="L3786" s="10">
        <f t="shared" ca="1" si="239"/>
        <v>45404.878290046297</v>
      </c>
    </row>
    <row r="3787" spans="6:12" x14ac:dyDescent="0.25">
      <c r="F3787" s="11" t="str">
        <f>IF(ISBLANK(D3787),"",(VLOOKUP(D3787,Cardápio!$A$2:$B$16,2,0))*E3787)</f>
        <v/>
      </c>
      <c r="H3787" s="7" t="str">
        <f t="shared" si="236"/>
        <v/>
      </c>
      <c r="I3787" s="7" t="str">
        <f>IF(AND(ISBLANK(D3787),ISBLANK(C3787)),"",((VLOOKUP(D3787,Cardápio!$A$2:$C$16,3,0))*E3787)+IF(B3787="iFood",F3787*0.27,(VLOOKUP(VENDAS!C3787,Bairros!$A$2:$B$90,2,0))))</f>
        <v/>
      </c>
      <c r="J3787" s="7" t="str">
        <f t="shared" si="237"/>
        <v/>
      </c>
      <c r="K3787" s="9">
        <f t="shared" ca="1" si="238"/>
        <v>45404.878290162036</v>
      </c>
      <c r="L3787" s="10">
        <f t="shared" ca="1" si="239"/>
        <v>45404.878290162036</v>
      </c>
    </row>
    <row r="3788" spans="6:12" x14ac:dyDescent="0.25">
      <c r="F3788" s="11" t="str">
        <f>IF(ISBLANK(D3788),"",(VLOOKUP(D3788,Cardápio!$A$2:$B$16,2,0))*E3788)</f>
        <v/>
      </c>
      <c r="H3788" s="7" t="str">
        <f t="shared" si="236"/>
        <v/>
      </c>
      <c r="I3788" s="7" t="str">
        <f>IF(AND(ISBLANK(D3788),ISBLANK(C3788)),"",((VLOOKUP(D3788,Cardápio!$A$2:$C$16,3,0))*E3788)+IF(B3788="iFood",F3788*0.27,(VLOOKUP(VENDAS!C3788,Bairros!$A$2:$B$90,2,0))))</f>
        <v/>
      </c>
      <c r="J3788" s="7" t="str">
        <f t="shared" si="237"/>
        <v/>
      </c>
      <c r="K3788" s="9">
        <f t="shared" ca="1" si="238"/>
        <v>45404.878290162036</v>
      </c>
      <c r="L3788" s="10">
        <f t="shared" ca="1" si="239"/>
        <v>45404.878290046297</v>
      </c>
    </row>
    <row r="3789" spans="6:12" x14ac:dyDescent="0.25">
      <c r="F3789" s="11" t="str">
        <f>IF(ISBLANK(D3789),"",(VLOOKUP(D3789,Cardápio!$A$2:$B$16,2,0))*E3789)</f>
        <v/>
      </c>
      <c r="H3789" s="7" t="str">
        <f t="shared" si="236"/>
        <v/>
      </c>
      <c r="I3789" s="7" t="str">
        <f>IF(AND(ISBLANK(D3789),ISBLANK(C3789)),"",((VLOOKUP(D3789,Cardápio!$A$2:$C$16,3,0))*E3789)+IF(B3789="iFood",F3789*0.27,(VLOOKUP(VENDAS!C3789,Bairros!$A$2:$B$90,2,0))))</f>
        <v/>
      </c>
      <c r="J3789" s="7" t="str">
        <f t="shared" si="237"/>
        <v/>
      </c>
      <c r="K3789" s="9">
        <f t="shared" ca="1" si="238"/>
        <v>45404.878290277775</v>
      </c>
      <c r="L3789" s="10">
        <f t="shared" ca="1" si="239"/>
        <v>45404.878290046297</v>
      </c>
    </row>
    <row r="3790" spans="6:12" x14ac:dyDescent="0.25">
      <c r="F3790" s="11" t="str">
        <f>IF(ISBLANK(D3790),"",(VLOOKUP(D3790,Cardápio!$A$2:$B$16,2,0))*E3790)</f>
        <v/>
      </c>
      <c r="H3790" s="7" t="str">
        <f t="shared" si="236"/>
        <v/>
      </c>
      <c r="I3790" s="7" t="str">
        <f>IF(AND(ISBLANK(D3790),ISBLANK(C3790)),"",((VLOOKUP(D3790,Cardápio!$A$2:$C$16,3,0))*E3790)+IF(B3790="iFood",F3790*0.27,(VLOOKUP(VENDAS!C3790,Bairros!$A$2:$B$90,2,0))))</f>
        <v/>
      </c>
      <c r="J3790" s="7" t="str">
        <f t="shared" si="237"/>
        <v/>
      </c>
      <c r="K3790" s="9">
        <f t="shared" ca="1" si="238"/>
        <v>45404.878290162036</v>
      </c>
      <c r="L3790" s="10">
        <f t="shared" ca="1" si="239"/>
        <v>45404.878290046297</v>
      </c>
    </row>
    <row r="3791" spans="6:12" x14ac:dyDescent="0.25">
      <c r="F3791" s="11" t="str">
        <f>IF(ISBLANK(D3791),"",(VLOOKUP(D3791,Cardápio!$A$2:$B$16,2,0))*E3791)</f>
        <v/>
      </c>
      <c r="H3791" s="7" t="str">
        <f t="shared" si="236"/>
        <v/>
      </c>
      <c r="I3791" s="7" t="str">
        <f>IF(AND(ISBLANK(D3791),ISBLANK(C3791)),"",((VLOOKUP(D3791,Cardápio!$A$2:$C$16,3,0))*E3791)+IF(B3791="iFood",F3791*0.27,(VLOOKUP(VENDAS!C3791,Bairros!$A$2:$B$90,2,0))))</f>
        <v/>
      </c>
      <c r="J3791" s="7" t="str">
        <f t="shared" si="237"/>
        <v/>
      </c>
      <c r="K3791" s="9">
        <f t="shared" ca="1" si="238"/>
        <v>45404.878290162036</v>
      </c>
      <c r="L3791" s="10">
        <f t="shared" ca="1" si="239"/>
        <v>45404.878290162036</v>
      </c>
    </row>
    <row r="3792" spans="6:12" x14ac:dyDescent="0.25">
      <c r="F3792" s="11" t="str">
        <f>IF(ISBLANK(D3792),"",(VLOOKUP(D3792,Cardápio!$A$2:$B$16,2,0))*E3792)</f>
        <v/>
      </c>
      <c r="H3792" s="7" t="str">
        <f t="shared" si="236"/>
        <v/>
      </c>
      <c r="I3792" s="7" t="str">
        <f>IF(AND(ISBLANK(D3792),ISBLANK(C3792)),"",((VLOOKUP(D3792,Cardápio!$A$2:$C$16,3,0))*E3792)+IF(B3792="iFood",F3792*0.27,(VLOOKUP(VENDAS!C3792,Bairros!$A$2:$B$90,2,0))))</f>
        <v/>
      </c>
      <c r="J3792" s="7" t="str">
        <f t="shared" si="237"/>
        <v/>
      </c>
      <c r="K3792" s="9">
        <f t="shared" ca="1" si="238"/>
        <v>45404.878290162036</v>
      </c>
      <c r="L3792" s="10">
        <f t="shared" ca="1" si="239"/>
        <v>45404.878290046297</v>
      </c>
    </row>
    <row r="3793" spans="6:12" x14ac:dyDescent="0.25">
      <c r="F3793" s="11" t="str">
        <f>IF(ISBLANK(D3793),"",(VLOOKUP(D3793,Cardápio!$A$2:$B$16,2,0))*E3793)</f>
        <v/>
      </c>
      <c r="H3793" s="7" t="str">
        <f t="shared" si="236"/>
        <v/>
      </c>
      <c r="I3793" s="7" t="str">
        <f>IF(AND(ISBLANK(D3793),ISBLANK(C3793)),"",((VLOOKUP(D3793,Cardápio!$A$2:$C$16,3,0))*E3793)+IF(B3793="iFood",F3793*0.27,(VLOOKUP(VENDAS!C3793,Bairros!$A$2:$B$90,2,0))))</f>
        <v/>
      </c>
      <c r="J3793" s="7" t="str">
        <f t="shared" si="237"/>
        <v/>
      </c>
      <c r="K3793" s="9">
        <f t="shared" ca="1" si="238"/>
        <v>45404.878290277775</v>
      </c>
      <c r="L3793" s="10">
        <f t="shared" ca="1" si="239"/>
        <v>45404.878290046297</v>
      </c>
    </row>
    <row r="3794" spans="6:12" x14ac:dyDescent="0.25">
      <c r="F3794" s="11" t="str">
        <f>IF(ISBLANK(D3794),"",(VLOOKUP(D3794,Cardápio!$A$2:$B$16,2,0))*E3794)</f>
        <v/>
      </c>
      <c r="H3794" s="7" t="str">
        <f t="shared" si="236"/>
        <v/>
      </c>
      <c r="I3794" s="7" t="str">
        <f>IF(AND(ISBLANK(D3794),ISBLANK(C3794)),"",((VLOOKUP(D3794,Cardápio!$A$2:$C$16,3,0))*E3794)+IF(B3794="iFood",F3794*0.27,(VLOOKUP(VENDAS!C3794,Bairros!$A$2:$B$90,2,0))))</f>
        <v/>
      </c>
      <c r="J3794" s="7" t="str">
        <f t="shared" si="237"/>
        <v/>
      </c>
      <c r="K3794" s="9">
        <f t="shared" ca="1" si="238"/>
        <v>45404.878290162036</v>
      </c>
      <c r="L3794" s="10">
        <f t="shared" ca="1" si="239"/>
        <v>45404.878290046297</v>
      </c>
    </row>
    <row r="3795" spans="6:12" x14ac:dyDescent="0.25">
      <c r="F3795" s="11" t="str">
        <f>IF(ISBLANK(D3795),"",(VLOOKUP(D3795,Cardápio!$A$2:$B$16,2,0))*E3795)</f>
        <v/>
      </c>
      <c r="H3795" s="7" t="str">
        <f t="shared" si="236"/>
        <v/>
      </c>
      <c r="I3795" s="7" t="str">
        <f>IF(AND(ISBLANK(D3795),ISBLANK(C3795)),"",((VLOOKUP(D3795,Cardápio!$A$2:$C$16,3,0))*E3795)+IF(B3795="iFood",F3795*0.27,(VLOOKUP(VENDAS!C3795,Bairros!$A$2:$B$90,2,0))))</f>
        <v/>
      </c>
      <c r="J3795" s="7" t="str">
        <f t="shared" si="237"/>
        <v/>
      </c>
      <c r="K3795" s="9">
        <f t="shared" ca="1" si="238"/>
        <v>45404.878290162036</v>
      </c>
      <c r="L3795" s="10">
        <f t="shared" ca="1" si="239"/>
        <v>45404.878290162036</v>
      </c>
    </row>
    <row r="3796" spans="6:12" x14ac:dyDescent="0.25">
      <c r="F3796" s="11" t="str">
        <f>IF(ISBLANK(D3796),"",(VLOOKUP(D3796,Cardápio!$A$2:$B$16,2,0))*E3796)</f>
        <v/>
      </c>
      <c r="H3796" s="7" t="str">
        <f t="shared" si="236"/>
        <v/>
      </c>
      <c r="I3796" s="7" t="str">
        <f>IF(AND(ISBLANK(D3796),ISBLANK(C3796)),"",((VLOOKUP(D3796,Cardápio!$A$2:$C$16,3,0))*E3796)+IF(B3796="iFood",F3796*0.27,(VLOOKUP(VENDAS!C3796,Bairros!$A$2:$B$90,2,0))))</f>
        <v/>
      </c>
      <c r="J3796" s="7" t="str">
        <f t="shared" si="237"/>
        <v/>
      </c>
      <c r="K3796" s="9">
        <f t="shared" ca="1" si="238"/>
        <v>45404.878290162036</v>
      </c>
      <c r="L3796" s="10">
        <f t="shared" ca="1" si="239"/>
        <v>45404.878290046297</v>
      </c>
    </row>
    <row r="3797" spans="6:12" x14ac:dyDescent="0.25">
      <c r="F3797" s="11" t="str">
        <f>IF(ISBLANK(D3797),"",(VLOOKUP(D3797,Cardápio!$A$2:$B$16,2,0))*E3797)</f>
        <v/>
      </c>
      <c r="H3797" s="7" t="str">
        <f t="shared" si="236"/>
        <v/>
      </c>
      <c r="I3797" s="7" t="str">
        <f>IF(AND(ISBLANK(D3797),ISBLANK(C3797)),"",((VLOOKUP(D3797,Cardápio!$A$2:$C$16,3,0))*E3797)+IF(B3797="iFood",F3797*0.27,(VLOOKUP(VENDAS!C3797,Bairros!$A$2:$B$90,2,0))))</f>
        <v/>
      </c>
      <c r="J3797" s="7" t="str">
        <f t="shared" si="237"/>
        <v/>
      </c>
      <c r="K3797" s="9">
        <f t="shared" ca="1" si="238"/>
        <v>45404.878290277775</v>
      </c>
      <c r="L3797" s="10">
        <f t="shared" ca="1" si="239"/>
        <v>45404.878290046297</v>
      </c>
    </row>
    <row r="3798" spans="6:12" x14ac:dyDescent="0.25">
      <c r="F3798" s="11" t="str">
        <f>IF(ISBLANK(D3798),"",(VLOOKUP(D3798,Cardápio!$A$2:$B$16,2,0))*E3798)</f>
        <v/>
      </c>
      <c r="H3798" s="7" t="str">
        <f t="shared" si="236"/>
        <v/>
      </c>
      <c r="I3798" s="7" t="str">
        <f>IF(AND(ISBLANK(D3798),ISBLANK(C3798)),"",((VLOOKUP(D3798,Cardápio!$A$2:$C$16,3,0))*E3798)+IF(B3798="iFood",F3798*0.27,(VLOOKUP(VENDAS!C3798,Bairros!$A$2:$B$90,2,0))))</f>
        <v/>
      </c>
      <c r="J3798" s="7" t="str">
        <f t="shared" si="237"/>
        <v/>
      </c>
      <c r="K3798" s="9">
        <f t="shared" ca="1" si="238"/>
        <v>45404.878290162036</v>
      </c>
      <c r="L3798" s="10">
        <f t="shared" ca="1" si="239"/>
        <v>45404.878290046297</v>
      </c>
    </row>
    <row r="3799" spans="6:12" x14ac:dyDescent="0.25">
      <c r="F3799" s="11" t="str">
        <f>IF(ISBLANK(D3799),"",(VLOOKUP(D3799,Cardápio!$A$2:$B$16,2,0))*E3799)</f>
        <v/>
      </c>
      <c r="H3799" s="7" t="str">
        <f t="shared" si="236"/>
        <v/>
      </c>
      <c r="I3799" s="7" t="str">
        <f>IF(AND(ISBLANK(D3799),ISBLANK(C3799)),"",((VLOOKUP(D3799,Cardápio!$A$2:$C$16,3,0))*E3799)+IF(B3799="iFood",F3799*0.27,(VLOOKUP(VENDAS!C3799,Bairros!$A$2:$B$90,2,0))))</f>
        <v/>
      </c>
      <c r="J3799" s="7" t="str">
        <f t="shared" si="237"/>
        <v/>
      </c>
      <c r="K3799" s="9">
        <f t="shared" ca="1" si="238"/>
        <v>45404.878290162036</v>
      </c>
      <c r="L3799" s="10">
        <f t="shared" ca="1" si="239"/>
        <v>45404.878290162036</v>
      </c>
    </row>
    <row r="3800" spans="6:12" x14ac:dyDescent="0.25">
      <c r="F3800" s="11" t="str">
        <f>IF(ISBLANK(D3800),"",(VLOOKUP(D3800,Cardápio!$A$2:$B$16,2,0))*E3800)</f>
        <v/>
      </c>
      <c r="H3800" s="7" t="str">
        <f t="shared" si="236"/>
        <v/>
      </c>
      <c r="I3800" s="7" t="str">
        <f>IF(AND(ISBLANK(D3800),ISBLANK(C3800)),"",((VLOOKUP(D3800,Cardápio!$A$2:$C$16,3,0))*E3800)+IF(B3800="iFood",F3800*0.27,(VLOOKUP(VENDAS!C3800,Bairros!$A$2:$B$90,2,0))))</f>
        <v/>
      </c>
      <c r="J3800" s="7" t="str">
        <f t="shared" si="237"/>
        <v/>
      </c>
      <c r="K3800" s="9">
        <f t="shared" ca="1" si="238"/>
        <v>45404.878290162036</v>
      </c>
      <c r="L3800" s="10">
        <f t="shared" ca="1" si="239"/>
        <v>45404.878290046297</v>
      </c>
    </row>
    <row r="3801" spans="6:12" x14ac:dyDescent="0.25">
      <c r="F3801" s="11" t="str">
        <f>IF(ISBLANK(D3801),"",(VLOOKUP(D3801,Cardápio!$A$2:$B$16,2,0))*E3801)</f>
        <v/>
      </c>
      <c r="H3801" s="7" t="str">
        <f t="shared" si="236"/>
        <v/>
      </c>
      <c r="I3801" s="7" t="str">
        <f>IF(AND(ISBLANK(D3801),ISBLANK(C3801)),"",((VLOOKUP(D3801,Cardápio!$A$2:$C$16,3,0))*E3801)+IF(B3801="iFood",F3801*0.27,(VLOOKUP(VENDAS!C3801,Bairros!$A$2:$B$90,2,0))))</f>
        <v/>
      </c>
      <c r="J3801" s="7" t="str">
        <f t="shared" si="237"/>
        <v/>
      </c>
      <c r="K3801" s="9">
        <f t="shared" ca="1" si="238"/>
        <v>45404.878290277775</v>
      </c>
      <c r="L3801" s="10">
        <f t="shared" ca="1" si="239"/>
        <v>45404.878290046297</v>
      </c>
    </row>
    <row r="3802" spans="6:12" x14ac:dyDescent="0.25">
      <c r="F3802" s="11" t="str">
        <f>IF(ISBLANK(D3802),"",(VLOOKUP(D3802,Cardápio!$A$2:$B$16,2,0))*E3802)</f>
        <v/>
      </c>
      <c r="H3802" s="7" t="str">
        <f t="shared" si="236"/>
        <v/>
      </c>
      <c r="I3802" s="7" t="str">
        <f>IF(AND(ISBLANK(D3802),ISBLANK(C3802)),"",((VLOOKUP(D3802,Cardápio!$A$2:$C$16,3,0))*E3802)+IF(B3802="iFood",F3802*0.27,(VLOOKUP(VENDAS!C3802,Bairros!$A$2:$B$90,2,0))))</f>
        <v/>
      </c>
      <c r="J3802" s="7" t="str">
        <f t="shared" si="237"/>
        <v/>
      </c>
      <c r="K3802" s="9">
        <f t="shared" ca="1" si="238"/>
        <v>45404.878290162036</v>
      </c>
      <c r="L3802" s="10">
        <f t="shared" ca="1" si="239"/>
        <v>45404.878290046297</v>
      </c>
    </row>
    <row r="3803" spans="6:12" x14ac:dyDescent="0.25">
      <c r="F3803" s="11" t="str">
        <f>IF(ISBLANK(D3803),"",(VLOOKUP(D3803,Cardápio!$A$2:$B$16,2,0))*E3803)</f>
        <v/>
      </c>
      <c r="H3803" s="7" t="str">
        <f t="shared" si="236"/>
        <v/>
      </c>
      <c r="I3803" s="7" t="str">
        <f>IF(AND(ISBLANK(D3803),ISBLANK(C3803)),"",((VLOOKUP(D3803,Cardápio!$A$2:$C$16,3,0))*E3803)+IF(B3803="iFood",F3803*0.27,(VLOOKUP(VENDAS!C3803,Bairros!$A$2:$B$90,2,0))))</f>
        <v/>
      </c>
      <c r="J3803" s="7" t="str">
        <f t="shared" si="237"/>
        <v/>
      </c>
      <c r="K3803" s="9">
        <f t="shared" ca="1" si="238"/>
        <v>45404.878290162036</v>
      </c>
      <c r="L3803" s="10">
        <f t="shared" ca="1" si="239"/>
        <v>45404.878290162036</v>
      </c>
    </row>
    <row r="3804" spans="6:12" x14ac:dyDescent="0.25">
      <c r="F3804" s="11" t="str">
        <f>IF(ISBLANK(D3804),"",(VLOOKUP(D3804,Cardápio!$A$2:$B$16,2,0))*E3804)</f>
        <v/>
      </c>
      <c r="H3804" s="7" t="str">
        <f t="shared" si="236"/>
        <v/>
      </c>
      <c r="I3804" s="7" t="str">
        <f>IF(AND(ISBLANK(D3804),ISBLANK(C3804)),"",((VLOOKUP(D3804,Cardápio!$A$2:$C$16,3,0))*E3804)+IF(B3804="iFood",F3804*0.27,(VLOOKUP(VENDAS!C3804,Bairros!$A$2:$B$90,2,0))))</f>
        <v/>
      </c>
      <c r="J3804" s="7" t="str">
        <f t="shared" si="237"/>
        <v/>
      </c>
      <c r="K3804" s="9">
        <f t="shared" ca="1" si="238"/>
        <v>45404.878290162036</v>
      </c>
      <c r="L3804" s="10">
        <f t="shared" ca="1" si="239"/>
        <v>45404.878290046297</v>
      </c>
    </row>
    <row r="3805" spans="6:12" x14ac:dyDescent="0.25">
      <c r="F3805" s="11" t="str">
        <f>IF(ISBLANK(D3805),"",(VLOOKUP(D3805,Cardápio!$A$2:$B$16,2,0))*E3805)</f>
        <v/>
      </c>
      <c r="H3805" s="7" t="str">
        <f t="shared" si="236"/>
        <v/>
      </c>
      <c r="I3805" s="7" t="str">
        <f>IF(AND(ISBLANK(D3805),ISBLANK(C3805)),"",((VLOOKUP(D3805,Cardápio!$A$2:$C$16,3,0))*E3805)+IF(B3805="iFood",F3805*0.27,(VLOOKUP(VENDAS!C3805,Bairros!$A$2:$B$90,2,0))))</f>
        <v/>
      </c>
      <c r="J3805" s="7" t="str">
        <f t="shared" si="237"/>
        <v/>
      </c>
      <c r="K3805" s="9">
        <f t="shared" ca="1" si="238"/>
        <v>45404.878290277775</v>
      </c>
      <c r="L3805" s="10">
        <f t="shared" ca="1" si="239"/>
        <v>45404.878290046297</v>
      </c>
    </row>
    <row r="3806" spans="6:12" x14ac:dyDescent="0.25">
      <c r="F3806" s="11" t="str">
        <f>IF(ISBLANK(D3806),"",(VLOOKUP(D3806,Cardápio!$A$2:$B$16,2,0))*E3806)</f>
        <v/>
      </c>
      <c r="H3806" s="7" t="str">
        <f t="shared" si="236"/>
        <v/>
      </c>
      <c r="I3806" s="7" t="str">
        <f>IF(AND(ISBLANK(D3806),ISBLANK(C3806)),"",((VLOOKUP(D3806,Cardápio!$A$2:$C$16,3,0))*E3806)+IF(B3806="iFood",F3806*0.27,(VLOOKUP(VENDAS!C3806,Bairros!$A$2:$B$90,2,0))))</f>
        <v/>
      </c>
      <c r="J3806" s="7" t="str">
        <f t="shared" si="237"/>
        <v/>
      </c>
      <c r="K3806" s="9">
        <f t="shared" ca="1" si="238"/>
        <v>45404.878290162036</v>
      </c>
      <c r="L3806" s="10">
        <f t="shared" ca="1" si="239"/>
        <v>45404.878290046297</v>
      </c>
    </row>
    <row r="3807" spans="6:12" x14ac:dyDescent="0.25">
      <c r="F3807" s="11" t="str">
        <f>IF(ISBLANK(D3807),"",(VLOOKUP(D3807,Cardápio!$A$2:$B$16,2,0))*E3807)</f>
        <v/>
      </c>
      <c r="H3807" s="7" t="str">
        <f t="shared" si="236"/>
        <v/>
      </c>
      <c r="I3807" s="7" t="str">
        <f>IF(AND(ISBLANK(D3807),ISBLANK(C3807)),"",((VLOOKUP(D3807,Cardápio!$A$2:$C$16,3,0))*E3807)+IF(B3807="iFood",F3807*0.27,(VLOOKUP(VENDAS!C3807,Bairros!$A$2:$B$90,2,0))))</f>
        <v/>
      </c>
      <c r="J3807" s="7" t="str">
        <f t="shared" si="237"/>
        <v/>
      </c>
      <c r="K3807" s="9">
        <f t="shared" ca="1" si="238"/>
        <v>45404.878290162036</v>
      </c>
      <c r="L3807" s="10">
        <f t="shared" ca="1" si="239"/>
        <v>45404.878290162036</v>
      </c>
    </row>
    <row r="3808" spans="6:12" x14ac:dyDescent="0.25">
      <c r="F3808" s="11" t="str">
        <f>IF(ISBLANK(D3808),"",(VLOOKUP(D3808,Cardápio!$A$2:$B$16,2,0))*E3808)</f>
        <v/>
      </c>
      <c r="H3808" s="7" t="str">
        <f t="shared" si="236"/>
        <v/>
      </c>
      <c r="I3808" s="7" t="str">
        <f>IF(AND(ISBLANK(D3808),ISBLANK(C3808)),"",((VLOOKUP(D3808,Cardápio!$A$2:$C$16,3,0))*E3808)+IF(B3808="iFood",F3808*0.27,(VLOOKUP(VENDAS!C3808,Bairros!$A$2:$B$90,2,0))))</f>
        <v/>
      </c>
      <c r="J3808" s="7" t="str">
        <f t="shared" si="237"/>
        <v/>
      </c>
      <c r="K3808" s="9">
        <f t="shared" ca="1" si="238"/>
        <v>45404.878290162036</v>
      </c>
      <c r="L3808" s="10">
        <f t="shared" ca="1" si="239"/>
        <v>45404.878290046297</v>
      </c>
    </row>
    <row r="3809" spans="6:12" x14ac:dyDescent="0.25">
      <c r="F3809" s="11" t="str">
        <f>IF(ISBLANK(D3809),"",(VLOOKUP(D3809,Cardápio!$A$2:$B$16,2,0))*E3809)</f>
        <v/>
      </c>
      <c r="H3809" s="7" t="str">
        <f t="shared" si="236"/>
        <v/>
      </c>
      <c r="I3809" s="7" t="str">
        <f>IF(AND(ISBLANK(D3809),ISBLANK(C3809)),"",((VLOOKUP(D3809,Cardápio!$A$2:$C$16,3,0))*E3809)+IF(B3809="iFood",F3809*0.27,(VLOOKUP(VENDAS!C3809,Bairros!$A$2:$B$90,2,0))))</f>
        <v/>
      </c>
      <c r="J3809" s="7" t="str">
        <f t="shared" si="237"/>
        <v/>
      </c>
      <c r="K3809" s="9">
        <f t="shared" ca="1" si="238"/>
        <v>45404.878290277775</v>
      </c>
      <c r="L3809" s="10">
        <f t="shared" ca="1" si="239"/>
        <v>45404.878290046297</v>
      </c>
    </row>
    <row r="3810" spans="6:12" x14ac:dyDescent="0.25">
      <c r="F3810" s="11" t="str">
        <f>IF(ISBLANK(D3810),"",(VLOOKUP(D3810,Cardápio!$A$2:$B$16,2,0))*E3810)</f>
        <v/>
      </c>
      <c r="H3810" s="7" t="str">
        <f t="shared" si="236"/>
        <v/>
      </c>
      <c r="I3810" s="7" t="str">
        <f>IF(AND(ISBLANK(D3810),ISBLANK(C3810)),"",((VLOOKUP(D3810,Cardápio!$A$2:$C$16,3,0))*E3810)+IF(B3810="iFood",F3810*0.27,(VLOOKUP(VENDAS!C3810,Bairros!$A$2:$B$90,2,0))))</f>
        <v/>
      </c>
      <c r="J3810" s="7" t="str">
        <f t="shared" si="237"/>
        <v/>
      </c>
      <c r="K3810" s="9">
        <f t="shared" ca="1" si="238"/>
        <v>45404.878290162036</v>
      </c>
      <c r="L3810" s="10">
        <f t="shared" ca="1" si="239"/>
        <v>45404.878290046297</v>
      </c>
    </row>
    <row r="3811" spans="6:12" x14ac:dyDescent="0.25">
      <c r="F3811" s="11" t="str">
        <f>IF(ISBLANK(D3811),"",(VLOOKUP(D3811,Cardápio!$A$2:$B$16,2,0))*E3811)</f>
        <v/>
      </c>
      <c r="H3811" s="7" t="str">
        <f t="shared" si="236"/>
        <v/>
      </c>
      <c r="I3811" s="7" t="str">
        <f>IF(AND(ISBLANK(D3811),ISBLANK(C3811)),"",((VLOOKUP(D3811,Cardápio!$A$2:$C$16,3,0))*E3811)+IF(B3811="iFood",F3811*0.27,(VLOOKUP(VENDAS!C3811,Bairros!$A$2:$B$90,2,0))))</f>
        <v/>
      </c>
      <c r="J3811" s="7" t="str">
        <f t="shared" si="237"/>
        <v/>
      </c>
      <c r="K3811" s="9">
        <f t="shared" ca="1" si="238"/>
        <v>45404.878290162036</v>
      </c>
      <c r="L3811" s="10">
        <f t="shared" ca="1" si="239"/>
        <v>45404.878290162036</v>
      </c>
    </row>
    <row r="3812" spans="6:12" x14ac:dyDescent="0.25">
      <c r="F3812" s="11" t="str">
        <f>IF(ISBLANK(D3812),"",(VLOOKUP(D3812,Cardápio!$A$2:$B$16,2,0))*E3812)</f>
        <v/>
      </c>
      <c r="H3812" s="7" t="str">
        <f t="shared" si="236"/>
        <v/>
      </c>
      <c r="I3812" s="7" t="str">
        <f>IF(AND(ISBLANK(D3812),ISBLANK(C3812)),"",((VLOOKUP(D3812,Cardápio!$A$2:$C$16,3,0))*E3812)+IF(B3812="iFood",F3812*0.27,(VLOOKUP(VENDAS!C3812,Bairros!$A$2:$B$90,2,0))))</f>
        <v/>
      </c>
      <c r="J3812" s="7" t="str">
        <f t="shared" si="237"/>
        <v/>
      </c>
      <c r="K3812" s="9">
        <f t="shared" ca="1" si="238"/>
        <v>45404.878290162036</v>
      </c>
      <c r="L3812" s="10">
        <f t="shared" ca="1" si="239"/>
        <v>45404.878290046297</v>
      </c>
    </row>
    <row r="3813" spans="6:12" x14ac:dyDescent="0.25">
      <c r="F3813" s="11" t="str">
        <f>IF(ISBLANK(D3813),"",(VLOOKUP(D3813,Cardápio!$A$2:$B$16,2,0))*E3813)</f>
        <v/>
      </c>
      <c r="H3813" s="7" t="str">
        <f t="shared" si="236"/>
        <v/>
      </c>
      <c r="I3813" s="7" t="str">
        <f>IF(AND(ISBLANK(D3813),ISBLANK(C3813)),"",((VLOOKUP(D3813,Cardápio!$A$2:$C$16,3,0))*E3813)+IF(B3813="iFood",F3813*0.27,(VLOOKUP(VENDAS!C3813,Bairros!$A$2:$B$90,2,0))))</f>
        <v/>
      </c>
      <c r="J3813" s="7" t="str">
        <f t="shared" si="237"/>
        <v/>
      </c>
      <c r="K3813" s="9">
        <f t="shared" ca="1" si="238"/>
        <v>45404.878290277775</v>
      </c>
      <c r="L3813" s="10">
        <f t="shared" ca="1" si="239"/>
        <v>45404.878290046297</v>
      </c>
    </row>
    <row r="3814" spans="6:12" x14ac:dyDescent="0.25">
      <c r="F3814" s="11" t="str">
        <f>IF(ISBLANK(D3814),"",(VLOOKUP(D3814,Cardápio!$A$2:$B$16,2,0))*E3814)</f>
        <v/>
      </c>
      <c r="H3814" s="7" t="str">
        <f t="shared" si="236"/>
        <v/>
      </c>
      <c r="I3814" s="7" t="str">
        <f>IF(AND(ISBLANK(D3814),ISBLANK(C3814)),"",((VLOOKUP(D3814,Cardápio!$A$2:$C$16,3,0))*E3814)+IF(B3814="iFood",F3814*0.27,(VLOOKUP(VENDAS!C3814,Bairros!$A$2:$B$90,2,0))))</f>
        <v/>
      </c>
      <c r="J3814" s="7" t="str">
        <f t="shared" si="237"/>
        <v/>
      </c>
      <c r="K3814" s="9">
        <f t="shared" ca="1" si="238"/>
        <v>45404.878290162036</v>
      </c>
      <c r="L3814" s="10">
        <f t="shared" ca="1" si="239"/>
        <v>45404.878290046297</v>
      </c>
    </row>
    <row r="3815" spans="6:12" x14ac:dyDescent="0.25">
      <c r="F3815" s="11" t="str">
        <f>IF(ISBLANK(D3815),"",(VLOOKUP(D3815,Cardápio!$A$2:$B$16,2,0))*E3815)</f>
        <v/>
      </c>
      <c r="H3815" s="7" t="str">
        <f t="shared" si="236"/>
        <v/>
      </c>
      <c r="I3815" s="7" t="str">
        <f>IF(AND(ISBLANK(D3815),ISBLANK(C3815)),"",((VLOOKUP(D3815,Cardápio!$A$2:$C$16,3,0))*E3815)+IF(B3815="iFood",F3815*0.27,(VLOOKUP(VENDAS!C3815,Bairros!$A$2:$B$90,2,0))))</f>
        <v/>
      </c>
      <c r="J3815" s="7" t="str">
        <f t="shared" si="237"/>
        <v/>
      </c>
      <c r="K3815" s="9">
        <f t="shared" ca="1" si="238"/>
        <v>45404.878290162036</v>
      </c>
      <c r="L3815" s="10">
        <f t="shared" ca="1" si="239"/>
        <v>45404.878290162036</v>
      </c>
    </row>
    <row r="3816" spans="6:12" x14ac:dyDescent="0.25">
      <c r="F3816" s="11" t="str">
        <f>IF(ISBLANK(D3816),"",(VLOOKUP(D3816,Cardápio!$A$2:$B$16,2,0))*E3816)</f>
        <v/>
      </c>
      <c r="H3816" s="7" t="str">
        <f t="shared" si="236"/>
        <v/>
      </c>
      <c r="I3816" s="7" t="str">
        <f>IF(AND(ISBLANK(D3816),ISBLANK(C3816)),"",((VLOOKUP(D3816,Cardápio!$A$2:$C$16,3,0))*E3816)+IF(B3816="iFood",F3816*0.27,(VLOOKUP(VENDAS!C3816,Bairros!$A$2:$B$90,2,0))))</f>
        <v/>
      </c>
      <c r="J3816" s="7" t="str">
        <f t="shared" si="237"/>
        <v/>
      </c>
      <c r="K3816" s="9">
        <f t="shared" ca="1" si="238"/>
        <v>45404.878290162036</v>
      </c>
      <c r="L3816" s="10">
        <f t="shared" ca="1" si="239"/>
        <v>45404.878290046297</v>
      </c>
    </row>
    <row r="3817" spans="6:12" x14ac:dyDescent="0.25">
      <c r="F3817" s="11" t="str">
        <f>IF(ISBLANK(D3817),"",(VLOOKUP(D3817,Cardápio!$A$2:$B$16,2,0))*E3817)</f>
        <v/>
      </c>
      <c r="H3817" s="7" t="str">
        <f t="shared" si="236"/>
        <v/>
      </c>
      <c r="I3817" s="7" t="str">
        <f>IF(AND(ISBLANK(D3817),ISBLANK(C3817)),"",((VLOOKUP(D3817,Cardápio!$A$2:$C$16,3,0))*E3817)+IF(B3817="iFood",F3817*0.27,(VLOOKUP(VENDAS!C3817,Bairros!$A$2:$B$90,2,0))))</f>
        <v/>
      </c>
      <c r="J3817" s="7" t="str">
        <f t="shared" si="237"/>
        <v/>
      </c>
      <c r="K3817" s="9">
        <f t="shared" ca="1" si="238"/>
        <v>45404.878290277775</v>
      </c>
      <c r="L3817" s="10">
        <f t="shared" ca="1" si="239"/>
        <v>45404.878290046297</v>
      </c>
    </row>
    <row r="3818" spans="6:12" x14ac:dyDescent="0.25">
      <c r="F3818" s="11" t="str">
        <f>IF(ISBLANK(D3818),"",(VLOOKUP(D3818,Cardápio!$A$2:$B$16,2,0))*E3818)</f>
        <v/>
      </c>
      <c r="H3818" s="7" t="str">
        <f t="shared" si="236"/>
        <v/>
      </c>
      <c r="I3818" s="7" t="str">
        <f>IF(AND(ISBLANK(D3818),ISBLANK(C3818)),"",((VLOOKUP(D3818,Cardápio!$A$2:$C$16,3,0))*E3818)+IF(B3818="iFood",F3818*0.27,(VLOOKUP(VENDAS!C3818,Bairros!$A$2:$B$90,2,0))))</f>
        <v/>
      </c>
      <c r="J3818" s="7" t="str">
        <f t="shared" si="237"/>
        <v/>
      </c>
      <c r="K3818" s="9">
        <f t="shared" ca="1" si="238"/>
        <v>45404.878290162036</v>
      </c>
      <c r="L3818" s="10">
        <f t="shared" ca="1" si="239"/>
        <v>45404.878290046297</v>
      </c>
    </row>
    <row r="3819" spans="6:12" x14ac:dyDescent="0.25">
      <c r="F3819" s="11" t="str">
        <f>IF(ISBLANK(D3819),"",(VLOOKUP(D3819,Cardápio!$A$2:$B$16,2,0))*E3819)</f>
        <v/>
      </c>
      <c r="H3819" s="7" t="str">
        <f t="shared" si="236"/>
        <v/>
      </c>
      <c r="I3819" s="7" t="str">
        <f>IF(AND(ISBLANK(D3819),ISBLANK(C3819)),"",((VLOOKUP(D3819,Cardápio!$A$2:$C$16,3,0))*E3819)+IF(B3819="iFood",F3819*0.27,(VLOOKUP(VENDAS!C3819,Bairros!$A$2:$B$90,2,0))))</f>
        <v/>
      </c>
      <c r="J3819" s="7" t="str">
        <f t="shared" si="237"/>
        <v/>
      </c>
      <c r="K3819" s="9">
        <f t="shared" ca="1" si="238"/>
        <v>45404.878290162036</v>
      </c>
      <c r="L3819" s="10">
        <f t="shared" ca="1" si="239"/>
        <v>45404.878290162036</v>
      </c>
    </row>
    <row r="3820" spans="6:12" x14ac:dyDescent="0.25">
      <c r="F3820" s="11" t="str">
        <f>IF(ISBLANK(D3820),"",(VLOOKUP(D3820,Cardápio!$A$2:$B$16,2,0))*E3820)</f>
        <v/>
      </c>
      <c r="H3820" s="7" t="str">
        <f t="shared" si="236"/>
        <v/>
      </c>
      <c r="I3820" s="7" t="str">
        <f>IF(AND(ISBLANK(D3820),ISBLANK(C3820)),"",((VLOOKUP(D3820,Cardápio!$A$2:$C$16,3,0))*E3820)+IF(B3820="iFood",F3820*0.27,(VLOOKUP(VENDAS!C3820,Bairros!$A$2:$B$90,2,0))))</f>
        <v/>
      </c>
      <c r="J3820" s="7" t="str">
        <f t="shared" si="237"/>
        <v/>
      </c>
      <c r="K3820" s="9">
        <f t="shared" ca="1" si="238"/>
        <v>45404.878290162036</v>
      </c>
      <c r="L3820" s="10">
        <f t="shared" ca="1" si="239"/>
        <v>45404.878290046297</v>
      </c>
    </row>
    <row r="3821" spans="6:12" x14ac:dyDescent="0.25">
      <c r="F3821" s="11" t="str">
        <f>IF(ISBLANK(D3821),"",(VLOOKUP(D3821,Cardápio!$A$2:$B$16,2,0))*E3821)</f>
        <v/>
      </c>
      <c r="H3821" s="7" t="str">
        <f t="shared" si="236"/>
        <v/>
      </c>
      <c r="I3821" s="7" t="str">
        <f>IF(AND(ISBLANK(D3821),ISBLANK(C3821)),"",((VLOOKUP(D3821,Cardápio!$A$2:$C$16,3,0))*E3821)+IF(B3821="iFood",F3821*0.27,(VLOOKUP(VENDAS!C3821,Bairros!$A$2:$B$90,2,0))))</f>
        <v/>
      </c>
      <c r="J3821" s="7" t="str">
        <f t="shared" si="237"/>
        <v/>
      </c>
      <c r="K3821" s="9">
        <f t="shared" ca="1" si="238"/>
        <v>45404.878290277775</v>
      </c>
      <c r="L3821" s="10">
        <f t="shared" ca="1" si="239"/>
        <v>45404.878290046297</v>
      </c>
    </row>
    <row r="3822" spans="6:12" x14ac:dyDescent="0.25">
      <c r="F3822" s="11" t="str">
        <f>IF(ISBLANK(D3822),"",(VLOOKUP(D3822,Cardápio!$A$2:$B$16,2,0))*E3822)</f>
        <v/>
      </c>
      <c r="H3822" s="7" t="str">
        <f t="shared" si="236"/>
        <v/>
      </c>
      <c r="I3822" s="7" t="str">
        <f>IF(AND(ISBLANK(D3822),ISBLANK(C3822)),"",((VLOOKUP(D3822,Cardápio!$A$2:$C$16,3,0))*E3822)+IF(B3822="iFood",F3822*0.27,(VLOOKUP(VENDAS!C3822,Bairros!$A$2:$B$90,2,0))))</f>
        <v/>
      </c>
      <c r="J3822" s="7" t="str">
        <f t="shared" si="237"/>
        <v/>
      </c>
      <c r="K3822" s="9">
        <f t="shared" ca="1" si="238"/>
        <v>45404.878290162036</v>
      </c>
      <c r="L3822" s="10">
        <f t="shared" ca="1" si="239"/>
        <v>45404.878290046297</v>
      </c>
    </row>
    <row r="3823" spans="6:12" x14ac:dyDescent="0.25">
      <c r="F3823" s="11" t="str">
        <f>IF(ISBLANK(D3823),"",(VLOOKUP(D3823,Cardápio!$A$2:$B$16,2,0))*E3823)</f>
        <v/>
      </c>
      <c r="H3823" s="7" t="str">
        <f t="shared" si="236"/>
        <v/>
      </c>
      <c r="I3823" s="7" t="str">
        <f>IF(AND(ISBLANK(D3823),ISBLANK(C3823)),"",((VLOOKUP(D3823,Cardápio!$A$2:$C$16,3,0))*E3823)+IF(B3823="iFood",F3823*0.27,(VLOOKUP(VENDAS!C3823,Bairros!$A$2:$B$90,2,0))))</f>
        <v/>
      </c>
      <c r="J3823" s="7" t="str">
        <f t="shared" si="237"/>
        <v/>
      </c>
      <c r="K3823" s="9">
        <f t="shared" ca="1" si="238"/>
        <v>45404.878290162036</v>
      </c>
      <c r="L3823" s="10">
        <f t="shared" ca="1" si="239"/>
        <v>45404.878290162036</v>
      </c>
    </row>
    <row r="3824" spans="6:12" x14ac:dyDescent="0.25">
      <c r="F3824" s="11" t="str">
        <f>IF(ISBLANK(D3824),"",(VLOOKUP(D3824,Cardápio!$A$2:$B$16,2,0))*E3824)</f>
        <v/>
      </c>
      <c r="H3824" s="7" t="str">
        <f t="shared" si="236"/>
        <v/>
      </c>
      <c r="I3824" s="7" t="str">
        <f>IF(AND(ISBLANK(D3824),ISBLANK(C3824)),"",((VLOOKUP(D3824,Cardápio!$A$2:$C$16,3,0))*E3824)+IF(B3824="iFood",F3824*0.27,(VLOOKUP(VENDAS!C3824,Bairros!$A$2:$B$90,2,0))))</f>
        <v/>
      </c>
      <c r="J3824" s="7" t="str">
        <f t="shared" si="237"/>
        <v/>
      </c>
      <c r="K3824" s="9">
        <f t="shared" ca="1" si="238"/>
        <v>45404.878290162036</v>
      </c>
      <c r="L3824" s="10">
        <f t="shared" ca="1" si="239"/>
        <v>45404.878290046297</v>
      </c>
    </row>
    <row r="3825" spans="6:12" x14ac:dyDescent="0.25">
      <c r="F3825" s="11" t="str">
        <f>IF(ISBLANK(D3825),"",(VLOOKUP(D3825,Cardápio!$A$2:$B$16,2,0))*E3825)</f>
        <v/>
      </c>
      <c r="H3825" s="7" t="str">
        <f t="shared" si="236"/>
        <v/>
      </c>
      <c r="I3825" s="7" t="str">
        <f>IF(AND(ISBLANK(D3825),ISBLANK(C3825)),"",((VLOOKUP(D3825,Cardápio!$A$2:$C$16,3,0))*E3825)+IF(B3825="iFood",F3825*0.27,(VLOOKUP(VENDAS!C3825,Bairros!$A$2:$B$90,2,0))))</f>
        <v/>
      </c>
      <c r="J3825" s="7" t="str">
        <f t="shared" si="237"/>
        <v/>
      </c>
      <c r="K3825" s="9">
        <f t="shared" ca="1" si="238"/>
        <v>45404.878290277775</v>
      </c>
      <c r="L3825" s="10">
        <f t="shared" ca="1" si="239"/>
        <v>45404.878290046297</v>
      </c>
    </row>
    <row r="3826" spans="6:12" x14ac:dyDescent="0.25">
      <c r="F3826" s="11" t="str">
        <f>IF(ISBLANK(D3826),"",(VLOOKUP(D3826,Cardápio!$A$2:$B$16,2,0))*E3826)</f>
        <v/>
      </c>
      <c r="H3826" s="7" t="str">
        <f t="shared" si="236"/>
        <v/>
      </c>
      <c r="I3826" s="7" t="str">
        <f>IF(AND(ISBLANK(D3826),ISBLANK(C3826)),"",((VLOOKUP(D3826,Cardápio!$A$2:$C$16,3,0))*E3826)+IF(B3826="iFood",F3826*0.27,(VLOOKUP(VENDAS!C3826,Bairros!$A$2:$B$90,2,0))))</f>
        <v/>
      </c>
      <c r="J3826" s="7" t="str">
        <f t="shared" si="237"/>
        <v/>
      </c>
      <c r="K3826" s="9">
        <f t="shared" ca="1" si="238"/>
        <v>45404.878290162036</v>
      </c>
      <c r="L3826" s="10">
        <f t="shared" ca="1" si="239"/>
        <v>45404.878290046297</v>
      </c>
    </row>
    <row r="3827" spans="6:12" x14ac:dyDescent="0.25">
      <c r="F3827" s="11" t="str">
        <f>IF(ISBLANK(D3827),"",(VLOOKUP(D3827,Cardápio!$A$2:$B$16,2,0))*E3827)</f>
        <v/>
      </c>
      <c r="H3827" s="7" t="str">
        <f t="shared" si="236"/>
        <v/>
      </c>
      <c r="I3827" s="7" t="str">
        <f>IF(AND(ISBLANK(D3827),ISBLANK(C3827)),"",((VLOOKUP(D3827,Cardápio!$A$2:$C$16,3,0))*E3827)+IF(B3827="iFood",F3827*0.27,(VLOOKUP(VENDAS!C3827,Bairros!$A$2:$B$90,2,0))))</f>
        <v/>
      </c>
      <c r="J3827" s="7" t="str">
        <f t="shared" si="237"/>
        <v/>
      </c>
      <c r="K3827" s="9">
        <f t="shared" ca="1" si="238"/>
        <v>45404.878290162036</v>
      </c>
      <c r="L3827" s="10">
        <f t="shared" ca="1" si="239"/>
        <v>45404.878290162036</v>
      </c>
    </row>
    <row r="3828" spans="6:12" x14ac:dyDescent="0.25">
      <c r="F3828" s="11" t="str">
        <f>IF(ISBLANK(D3828),"",(VLOOKUP(D3828,Cardápio!$A$2:$B$16,2,0))*E3828)</f>
        <v/>
      </c>
      <c r="H3828" s="7" t="str">
        <f t="shared" si="236"/>
        <v/>
      </c>
      <c r="I3828" s="7" t="str">
        <f>IF(AND(ISBLANK(D3828),ISBLANK(C3828)),"",((VLOOKUP(D3828,Cardápio!$A$2:$C$16,3,0))*E3828)+IF(B3828="iFood",F3828*0.27,(VLOOKUP(VENDAS!C3828,Bairros!$A$2:$B$90,2,0))))</f>
        <v/>
      </c>
      <c r="J3828" s="7" t="str">
        <f t="shared" si="237"/>
        <v/>
      </c>
      <c r="K3828" s="9">
        <f t="shared" ca="1" si="238"/>
        <v>45404.878290162036</v>
      </c>
      <c r="L3828" s="10">
        <f t="shared" ca="1" si="239"/>
        <v>45404.878290046297</v>
      </c>
    </row>
    <row r="3829" spans="6:12" x14ac:dyDescent="0.25">
      <c r="F3829" s="11" t="str">
        <f>IF(ISBLANK(D3829),"",(VLOOKUP(D3829,Cardápio!$A$2:$B$16,2,0))*E3829)</f>
        <v/>
      </c>
      <c r="H3829" s="7" t="str">
        <f t="shared" ref="H3829:H3892" si="240">IF(ISBLANK(D3829),"",F3829-G3829)</f>
        <v/>
      </c>
      <c r="I3829" s="7" t="str">
        <f>IF(AND(ISBLANK(D3829),ISBLANK(C3829)),"",((VLOOKUP(D3829,Cardápio!$A$2:$C$16,3,0))*E3829)+IF(B3829="iFood",F3829*0.27,(VLOOKUP(VENDAS!C3829,Bairros!$A$2:$B$90,2,0))))</f>
        <v/>
      </c>
      <c r="J3829" s="7" t="str">
        <f t="shared" ref="J3829:J3892" si="241">IF(OR(AND(ISBLANK(H3829),ISBLANK(I3829)),(AND(H3829="",I3829=""))),"",H3829-I3829)</f>
        <v/>
      </c>
      <c r="K3829" s="9">
        <f t="shared" ref="K3829:K3892" ca="1" si="242">IF(D3829&lt;&gt;"",K3829,NOW())</f>
        <v>45404.878290277775</v>
      </c>
      <c r="L3829" s="10">
        <f t="shared" ref="L3829:L3892" ca="1" si="243">IF(D3829&lt;&gt;"",L3829,NOW())</f>
        <v>45404.878290046297</v>
      </c>
    </row>
    <row r="3830" spans="6:12" x14ac:dyDescent="0.25">
      <c r="F3830" s="11" t="str">
        <f>IF(ISBLANK(D3830),"",(VLOOKUP(D3830,Cardápio!$A$2:$B$16,2,0))*E3830)</f>
        <v/>
      </c>
      <c r="H3830" s="7" t="str">
        <f t="shared" si="240"/>
        <v/>
      </c>
      <c r="I3830" s="7" t="str">
        <f>IF(AND(ISBLANK(D3830),ISBLANK(C3830)),"",((VLOOKUP(D3830,Cardápio!$A$2:$C$16,3,0))*E3830)+IF(B3830="iFood",F3830*0.27,(VLOOKUP(VENDAS!C3830,Bairros!$A$2:$B$90,2,0))))</f>
        <v/>
      </c>
      <c r="J3830" s="7" t="str">
        <f t="shared" si="241"/>
        <v/>
      </c>
      <c r="K3830" s="9">
        <f t="shared" ca="1" si="242"/>
        <v>45404.878290162036</v>
      </c>
      <c r="L3830" s="10">
        <f t="shared" ca="1" si="243"/>
        <v>45404.878290046297</v>
      </c>
    </row>
    <row r="3831" spans="6:12" x14ac:dyDescent="0.25">
      <c r="F3831" s="11" t="str">
        <f>IF(ISBLANK(D3831),"",(VLOOKUP(D3831,Cardápio!$A$2:$B$16,2,0))*E3831)</f>
        <v/>
      </c>
      <c r="H3831" s="7" t="str">
        <f t="shared" si="240"/>
        <v/>
      </c>
      <c r="I3831" s="7" t="str">
        <f>IF(AND(ISBLANK(D3831),ISBLANK(C3831)),"",((VLOOKUP(D3831,Cardápio!$A$2:$C$16,3,0))*E3831)+IF(B3831="iFood",F3831*0.27,(VLOOKUP(VENDAS!C3831,Bairros!$A$2:$B$90,2,0))))</f>
        <v/>
      </c>
      <c r="J3831" s="7" t="str">
        <f t="shared" si="241"/>
        <v/>
      </c>
      <c r="K3831" s="9">
        <f t="shared" ca="1" si="242"/>
        <v>45404.878290162036</v>
      </c>
      <c r="L3831" s="10">
        <f t="shared" ca="1" si="243"/>
        <v>45404.878290162036</v>
      </c>
    </row>
    <row r="3832" spans="6:12" x14ac:dyDescent="0.25">
      <c r="F3832" s="11" t="str">
        <f>IF(ISBLANK(D3832),"",(VLOOKUP(D3832,Cardápio!$A$2:$B$16,2,0))*E3832)</f>
        <v/>
      </c>
      <c r="H3832" s="7" t="str">
        <f t="shared" si="240"/>
        <v/>
      </c>
      <c r="I3832" s="7" t="str">
        <f>IF(AND(ISBLANK(D3832),ISBLANK(C3832)),"",((VLOOKUP(D3832,Cardápio!$A$2:$C$16,3,0))*E3832)+IF(B3832="iFood",F3832*0.27,(VLOOKUP(VENDAS!C3832,Bairros!$A$2:$B$90,2,0))))</f>
        <v/>
      </c>
      <c r="J3832" s="7" t="str">
        <f t="shared" si="241"/>
        <v/>
      </c>
      <c r="K3832" s="9">
        <f t="shared" ca="1" si="242"/>
        <v>45404.878290162036</v>
      </c>
      <c r="L3832" s="10">
        <f t="shared" ca="1" si="243"/>
        <v>45404.878290046297</v>
      </c>
    </row>
    <row r="3833" spans="6:12" x14ac:dyDescent="0.25">
      <c r="F3833" s="11" t="str">
        <f>IF(ISBLANK(D3833),"",(VLOOKUP(D3833,Cardápio!$A$2:$B$16,2,0))*E3833)</f>
        <v/>
      </c>
      <c r="H3833" s="7" t="str">
        <f t="shared" si="240"/>
        <v/>
      </c>
      <c r="I3833" s="7" t="str">
        <f>IF(AND(ISBLANK(D3833),ISBLANK(C3833)),"",((VLOOKUP(D3833,Cardápio!$A$2:$C$16,3,0))*E3833)+IF(B3833="iFood",F3833*0.27,(VLOOKUP(VENDAS!C3833,Bairros!$A$2:$B$90,2,0))))</f>
        <v/>
      </c>
      <c r="J3833" s="7" t="str">
        <f t="shared" si="241"/>
        <v/>
      </c>
      <c r="K3833" s="9">
        <f t="shared" ca="1" si="242"/>
        <v>45404.878290277775</v>
      </c>
      <c r="L3833" s="10">
        <f t="shared" ca="1" si="243"/>
        <v>45404.878290046297</v>
      </c>
    </row>
    <row r="3834" spans="6:12" x14ac:dyDescent="0.25">
      <c r="F3834" s="11" t="str">
        <f>IF(ISBLANK(D3834),"",(VLOOKUP(D3834,Cardápio!$A$2:$B$16,2,0))*E3834)</f>
        <v/>
      </c>
      <c r="H3834" s="7" t="str">
        <f t="shared" si="240"/>
        <v/>
      </c>
      <c r="I3834" s="7" t="str">
        <f>IF(AND(ISBLANK(D3834),ISBLANK(C3834)),"",((VLOOKUP(D3834,Cardápio!$A$2:$C$16,3,0))*E3834)+IF(B3834="iFood",F3834*0.27,(VLOOKUP(VENDAS!C3834,Bairros!$A$2:$B$90,2,0))))</f>
        <v/>
      </c>
      <c r="J3834" s="7" t="str">
        <f t="shared" si="241"/>
        <v/>
      </c>
      <c r="K3834" s="9">
        <f t="shared" ca="1" si="242"/>
        <v>45404.878290162036</v>
      </c>
      <c r="L3834" s="10">
        <f t="shared" ca="1" si="243"/>
        <v>45404.878290046297</v>
      </c>
    </row>
    <row r="3835" spans="6:12" x14ac:dyDescent="0.25">
      <c r="F3835" s="11" t="str">
        <f>IF(ISBLANK(D3835),"",(VLOOKUP(D3835,Cardápio!$A$2:$B$16,2,0))*E3835)</f>
        <v/>
      </c>
      <c r="H3835" s="7" t="str">
        <f t="shared" si="240"/>
        <v/>
      </c>
      <c r="I3835" s="7" t="str">
        <f>IF(AND(ISBLANK(D3835),ISBLANK(C3835)),"",((VLOOKUP(D3835,Cardápio!$A$2:$C$16,3,0))*E3835)+IF(B3835="iFood",F3835*0.27,(VLOOKUP(VENDAS!C3835,Bairros!$A$2:$B$90,2,0))))</f>
        <v/>
      </c>
      <c r="J3835" s="7" t="str">
        <f t="shared" si="241"/>
        <v/>
      </c>
      <c r="K3835" s="9">
        <f t="shared" ca="1" si="242"/>
        <v>45404.878290162036</v>
      </c>
      <c r="L3835" s="10">
        <f t="shared" ca="1" si="243"/>
        <v>45404.878290162036</v>
      </c>
    </row>
    <row r="3836" spans="6:12" x14ac:dyDescent="0.25">
      <c r="F3836" s="11" t="str">
        <f>IF(ISBLANK(D3836),"",(VLOOKUP(D3836,Cardápio!$A$2:$B$16,2,0))*E3836)</f>
        <v/>
      </c>
      <c r="H3836" s="7" t="str">
        <f t="shared" si="240"/>
        <v/>
      </c>
      <c r="I3836" s="7" t="str">
        <f>IF(AND(ISBLANK(D3836),ISBLANK(C3836)),"",((VLOOKUP(D3836,Cardápio!$A$2:$C$16,3,0))*E3836)+IF(B3836="iFood",F3836*0.27,(VLOOKUP(VENDAS!C3836,Bairros!$A$2:$B$90,2,0))))</f>
        <v/>
      </c>
      <c r="J3836" s="7" t="str">
        <f t="shared" si="241"/>
        <v/>
      </c>
      <c r="K3836" s="9">
        <f t="shared" ca="1" si="242"/>
        <v>45404.878290162036</v>
      </c>
      <c r="L3836" s="10">
        <f t="shared" ca="1" si="243"/>
        <v>45404.878290046297</v>
      </c>
    </row>
    <row r="3837" spans="6:12" x14ac:dyDescent="0.25">
      <c r="F3837" s="11" t="str">
        <f>IF(ISBLANK(D3837),"",(VLOOKUP(D3837,Cardápio!$A$2:$B$16,2,0))*E3837)</f>
        <v/>
      </c>
      <c r="H3837" s="7" t="str">
        <f t="shared" si="240"/>
        <v/>
      </c>
      <c r="I3837" s="7" t="str">
        <f>IF(AND(ISBLANK(D3837),ISBLANK(C3837)),"",((VLOOKUP(D3837,Cardápio!$A$2:$C$16,3,0))*E3837)+IF(B3837="iFood",F3837*0.27,(VLOOKUP(VENDAS!C3837,Bairros!$A$2:$B$90,2,0))))</f>
        <v/>
      </c>
      <c r="J3837" s="7" t="str">
        <f t="shared" si="241"/>
        <v/>
      </c>
      <c r="K3837" s="9">
        <f t="shared" ca="1" si="242"/>
        <v>45404.878290277775</v>
      </c>
      <c r="L3837" s="10">
        <f t="shared" ca="1" si="243"/>
        <v>45404.878290046297</v>
      </c>
    </row>
    <row r="3838" spans="6:12" x14ac:dyDescent="0.25">
      <c r="F3838" s="11" t="str">
        <f>IF(ISBLANK(D3838),"",(VLOOKUP(D3838,Cardápio!$A$2:$B$16,2,0))*E3838)</f>
        <v/>
      </c>
      <c r="H3838" s="7" t="str">
        <f t="shared" si="240"/>
        <v/>
      </c>
      <c r="I3838" s="7" t="str">
        <f>IF(AND(ISBLANK(D3838),ISBLANK(C3838)),"",((VLOOKUP(D3838,Cardápio!$A$2:$C$16,3,0))*E3838)+IF(B3838="iFood",F3838*0.27,(VLOOKUP(VENDAS!C3838,Bairros!$A$2:$B$90,2,0))))</f>
        <v/>
      </c>
      <c r="J3838" s="7" t="str">
        <f t="shared" si="241"/>
        <v/>
      </c>
      <c r="K3838" s="9">
        <f t="shared" ca="1" si="242"/>
        <v>45404.878290162036</v>
      </c>
      <c r="L3838" s="10">
        <f t="shared" ca="1" si="243"/>
        <v>45404.878290046297</v>
      </c>
    </row>
    <row r="3839" spans="6:12" x14ac:dyDescent="0.25">
      <c r="F3839" s="11" t="str">
        <f>IF(ISBLANK(D3839),"",(VLOOKUP(D3839,Cardápio!$A$2:$B$16,2,0))*E3839)</f>
        <v/>
      </c>
      <c r="H3839" s="7" t="str">
        <f t="shared" si="240"/>
        <v/>
      </c>
      <c r="I3839" s="7" t="str">
        <f>IF(AND(ISBLANK(D3839),ISBLANK(C3839)),"",((VLOOKUP(D3839,Cardápio!$A$2:$C$16,3,0))*E3839)+IF(B3839="iFood",F3839*0.27,(VLOOKUP(VENDAS!C3839,Bairros!$A$2:$B$90,2,0))))</f>
        <v/>
      </c>
      <c r="J3839" s="7" t="str">
        <f t="shared" si="241"/>
        <v/>
      </c>
      <c r="K3839" s="9">
        <f t="shared" ca="1" si="242"/>
        <v>45404.878290162036</v>
      </c>
      <c r="L3839" s="10">
        <f t="shared" ca="1" si="243"/>
        <v>45404.878290162036</v>
      </c>
    </row>
    <row r="3840" spans="6:12" x14ac:dyDescent="0.25">
      <c r="F3840" s="11" t="str">
        <f>IF(ISBLANK(D3840),"",(VLOOKUP(D3840,Cardápio!$A$2:$B$16,2,0))*E3840)</f>
        <v/>
      </c>
      <c r="H3840" s="7" t="str">
        <f t="shared" si="240"/>
        <v/>
      </c>
      <c r="I3840" s="7" t="str">
        <f>IF(AND(ISBLANK(D3840),ISBLANK(C3840)),"",((VLOOKUP(D3840,Cardápio!$A$2:$C$16,3,0))*E3840)+IF(B3840="iFood",F3840*0.27,(VLOOKUP(VENDAS!C3840,Bairros!$A$2:$B$90,2,0))))</f>
        <v/>
      </c>
      <c r="J3840" s="7" t="str">
        <f t="shared" si="241"/>
        <v/>
      </c>
      <c r="K3840" s="9">
        <f t="shared" ca="1" si="242"/>
        <v>45404.878290162036</v>
      </c>
      <c r="L3840" s="10">
        <f t="shared" ca="1" si="243"/>
        <v>45404.878290046297</v>
      </c>
    </row>
    <row r="3841" spans="6:12" x14ac:dyDescent="0.25">
      <c r="F3841" s="11" t="str">
        <f>IF(ISBLANK(D3841),"",(VLOOKUP(D3841,Cardápio!$A$2:$B$16,2,0))*E3841)</f>
        <v/>
      </c>
      <c r="H3841" s="7" t="str">
        <f t="shared" si="240"/>
        <v/>
      </c>
      <c r="I3841" s="7" t="str">
        <f>IF(AND(ISBLANK(D3841),ISBLANK(C3841)),"",((VLOOKUP(D3841,Cardápio!$A$2:$C$16,3,0))*E3841)+IF(B3841="iFood",F3841*0.27,(VLOOKUP(VENDAS!C3841,Bairros!$A$2:$B$90,2,0))))</f>
        <v/>
      </c>
      <c r="J3841" s="7" t="str">
        <f t="shared" si="241"/>
        <v/>
      </c>
      <c r="K3841" s="9">
        <f t="shared" ca="1" si="242"/>
        <v>45404.878290277775</v>
      </c>
      <c r="L3841" s="10">
        <f t="shared" ca="1" si="243"/>
        <v>45404.878290046297</v>
      </c>
    </row>
    <row r="3842" spans="6:12" x14ac:dyDescent="0.25">
      <c r="F3842" s="11" t="str">
        <f>IF(ISBLANK(D3842),"",(VLOOKUP(D3842,Cardápio!$A$2:$B$16,2,0))*E3842)</f>
        <v/>
      </c>
      <c r="H3842" s="7" t="str">
        <f t="shared" si="240"/>
        <v/>
      </c>
      <c r="I3842" s="7" t="str">
        <f>IF(AND(ISBLANK(D3842),ISBLANK(C3842)),"",((VLOOKUP(D3842,Cardápio!$A$2:$C$16,3,0))*E3842)+IF(B3842="iFood",F3842*0.27,(VLOOKUP(VENDAS!C3842,Bairros!$A$2:$B$90,2,0))))</f>
        <v/>
      </c>
      <c r="J3842" s="7" t="str">
        <f t="shared" si="241"/>
        <v/>
      </c>
      <c r="K3842" s="9">
        <f t="shared" ca="1" si="242"/>
        <v>45404.878290162036</v>
      </c>
      <c r="L3842" s="10">
        <f t="shared" ca="1" si="243"/>
        <v>45404.878290046297</v>
      </c>
    </row>
    <row r="3843" spans="6:12" x14ac:dyDescent="0.25">
      <c r="F3843" s="11" t="str">
        <f>IF(ISBLANK(D3843),"",(VLOOKUP(D3843,Cardápio!$A$2:$B$16,2,0))*E3843)</f>
        <v/>
      </c>
      <c r="H3843" s="7" t="str">
        <f t="shared" si="240"/>
        <v/>
      </c>
      <c r="I3843" s="7" t="str">
        <f>IF(AND(ISBLANK(D3843),ISBLANK(C3843)),"",((VLOOKUP(D3843,Cardápio!$A$2:$C$16,3,0))*E3843)+IF(B3843="iFood",F3843*0.27,(VLOOKUP(VENDAS!C3843,Bairros!$A$2:$B$90,2,0))))</f>
        <v/>
      </c>
      <c r="J3843" s="7" t="str">
        <f t="shared" si="241"/>
        <v/>
      </c>
      <c r="K3843" s="9">
        <f t="shared" ca="1" si="242"/>
        <v>45404.878290162036</v>
      </c>
      <c r="L3843" s="10">
        <f t="shared" ca="1" si="243"/>
        <v>45404.878290162036</v>
      </c>
    </row>
    <row r="3844" spans="6:12" x14ac:dyDescent="0.25">
      <c r="F3844" s="11" t="str">
        <f>IF(ISBLANK(D3844),"",(VLOOKUP(D3844,Cardápio!$A$2:$B$16,2,0))*E3844)</f>
        <v/>
      </c>
      <c r="H3844" s="7" t="str">
        <f t="shared" si="240"/>
        <v/>
      </c>
      <c r="I3844" s="7" t="str">
        <f>IF(AND(ISBLANK(D3844),ISBLANK(C3844)),"",((VLOOKUP(D3844,Cardápio!$A$2:$C$16,3,0))*E3844)+IF(B3844="iFood",F3844*0.27,(VLOOKUP(VENDAS!C3844,Bairros!$A$2:$B$90,2,0))))</f>
        <v/>
      </c>
      <c r="J3844" s="7" t="str">
        <f t="shared" si="241"/>
        <v/>
      </c>
      <c r="K3844" s="9">
        <f t="shared" ca="1" si="242"/>
        <v>45404.878290162036</v>
      </c>
      <c r="L3844" s="10">
        <f t="shared" ca="1" si="243"/>
        <v>45404.878290046297</v>
      </c>
    </row>
    <row r="3845" spans="6:12" x14ac:dyDescent="0.25">
      <c r="F3845" s="11" t="str">
        <f>IF(ISBLANK(D3845),"",(VLOOKUP(D3845,Cardápio!$A$2:$B$16,2,0))*E3845)</f>
        <v/>
      </c>
      <c r="H3845" s="7" t="str">
        <f t="shared" si="240"/>
        <v/>
      </c>
      <c r="I3845" s="7" t="str">
        <f>IF(AND(ISBLANK(D3845),ISBLANK(C3845)),"",((VLOOKUP(D3845,Cardápio!$A$2:$C$16,3,0))*E3845)+IF(B3845="iFood",F3845*0.27,(VLOOKUP(VENDAS!C3845,Bairros!$A$2:$B$90,2,0))))</f>
        <v/>
      </c>
      <c r="J3845" s="7" t="str">
        <f t="shared" si="241"/>
        <v/>
      </c>
      <c r="K3845" s="9">
        <f t="shared" ca="1" si="242"/>
        <v>45404.878290277775</v>
      </c>
      <c r="L3845" s="10">
        <f t="shared" ca="1" si="243"/>
        <v>45404.878290046297</v>
      </c>
    </row>
    <row r="3846" spans="6:12" x14ac:dyDescent="0.25">
      <c r="F3846" s="11" t="str">
        <f>IF(ISBLANK(D3846),"",(VLOOKUP(D3846,Cardápio!$A$2:$B$16,2,0))*E3846)</f>
        <v/>
      </c>
      <c r="H3846" s="7" t="str">
        <f t="shared" si="240"/>
        <v/>
      </c>
      <c r="I3846" s="7" t="str">
        <f>IF(AND(ISBLANK(D3846),ISBLANK(C3846)),"",((VLOOKUP(D3846,Cardápio!$A$2:$C$16,3,0))*E3846)+IF(B3846="iFood",F3846*0.27,(VLOOKUP(VENDAS!C3846,Bairros!$A$2:$B$90,2,0))))</f>
        <v/>
      </c>
      <c r="J3846" s="7" t="str">
        <f t="shared" si="241"/>
        <v/>
      </c>
      <c r="K3846" s="9">
        <f t="shared" ca="1" si="242"/>
        <v>45404.878290162036</v>
      </c>
      <c r="L3846" s="10">
        <f t="shared" ca="1" si="243"/>
        <v>45404.878290046297</v>
      </c>
    </row>
    <row r="3847" spans="6:12" x14ac:dyDescent="0.25">
      <c r="F3847" s="11" t="str">
        <f>IF(ISBLANK(D3847),"",(VLOOKUP(D3847,Cardápio!$A$2:$B$16,2,0))*E3847)</f>
        <v/>
      </c>
      <c r="H3847" s="7" t="str">
        <f t="shared" si="240"/>
        <v/>
      </c>
      <c r="I3847" s="7" t="str">
        <f>IF(AND(ISBLANK(D3847),ISBLANK(C3847)),"",((VLOOKUP(D3847,Cardápio!$A$2:$C$16,3,0))*E3847)+IF(B3847="iFood",F3847*0.27,(VLOOKUP(VENDAS!C3847,Bairros!$A$2:$B$90,2,0))))</f>
        <v/>
      </c>
      <c r="J3847" s="7" t="str">
        <f t="shared" si="241"/>
        <v/>
      </c>
      <c r="K3847" s="9">
        <f t="shared" ca="1" si="242"/>
        <v>45404.878290162036</v>
      </c>
      <c r="L3847" s="10">
        <f t="shared" ca="1" si="243"/>
        <v>45404.878290162036</v>
      </c>
    </row>
    <row r="3848" spans="6:12" x14ac:dyDescent="0.25">
      <c r="F3848" s="11" t="str">
        <f>IF(ISBLANK(D3848),"",(VLOOKUP(D3848,Cardápio!$A$2:$B$16,2,0))*E3848)</f>
        <v/>
      </c>
      <c r="H3848" s="7" t="str">
        <f t="shared" si="240"/>
        <v/>
      </c>
      <c r="I3848" s="7" t="str">
        <f>IF(AND(ISBLANK(D3848),ISBLANK(C3848)),"",((VLOOKUP(D3848,Cardápio!$A$2:$C$16,3,0))*E3848)+IF(B3848="iFood",F3848*0.27,(VLOOKUP(VENDAS!C3848,Bairros!$A$2:$B$90,2,0))))</f>
        <v/>
      </c>
      <c r="J3848" s="7" t="str">
        <f t="shared" si="241"/>
        <v/>
      </c>
      <c r="K3848" s="9">
        <f t="shared" ca="1" si="242"/>
        <v>45404.878290162036</v>
      </c>
      <c r="L3848" s="10">
        <f t="shared" ca="1" si="243"/>
        <v>45404.878290046297</v>
      </c>
    </row>
    <row r="3849" spans="6:12" x14ac:dyDescent="0.25">
      <c r="F3849" s="11" t="str">
        <f>IF(ISBLANK(D3849),"",(VLOOKUP(D3849,Cardápio!$A$2:$B$16,2,0))*E3849)</f>
        <v/>
      </c>
      <c r="H3849" s="7" t="str">
        <f t="shared" si="240"/>
        <v/>
      </c>
      <c r="I3849" s="7" t="str">
        <f>IF(AND(ISBLANK(D3849),ISBLANK(C3849)),"",((VLOOKUP(D3849,Cardápio!$A$2:$C$16,3,0))*E3849)+IF(B3849="iFood",F3849*0.27,(VLOOKUP(VENDAS!C3849,Bairros!$A$2:$B$90,2,0))))</f>
        <v/>
      </c>
      <c r="J3849" s="7" t="str">
        <f t="shared" si="241"/>
        <v/>
      </c>
      <c r="K3849" s="9">
        <f t="shared" ca="1" si="242"/>
        <v>45404.878290277775</v>
      </c>
      <c r="L3849" s="10">
        <f t="shared" ca="1" si="243"/>
        <v>45404.878290046297</v>
      </c>
    </row>
    <row r="3850" spans="6:12" x14ac:dyDescent="0.25">
      <c r="F3850" s="11" t="str">
        <f>IF(ISBLANK(D3850),"",(VLOOKUP(D3850,Cardápio!$A$2:$B$16,2,0))*E3850)</f>
        <v/>
      </c>
      <c r="H3850" s="7" t="str">
        <f t="shared" si="240"/>
        <v/>
      </c>
      <c r="I3850" s="7" t="str">
        <f>IF(AND(ISBLANK(D3850),ISBLANK(C3850)),"",((VLOOKUP(D3850,Cardápio!$A$2:$C$16,3,0))*E3850)+IF(B3850="iFood",F3850*0.27,(VLOOKUP(VENDAS!C3850,Bairros!$A$2:$B$90,2,0))))</f>
        <v/>
      </c>
      <c r="J3850" s="7" t="str">
        <f t="shared" si="241"/>
        <v/>
      </c>
      <c r="K3850" s="9">
        <f t="shared" ca="1" si="242"/>
        <v>45404.878290162036</v>
      </c>
      <c r="L3850" s="10">
        <f t="shared" ca="1" si="243"/>
        <v>45404.878290046297</v>
      </c>
    </row>
    <row r="3851" spans="6:12" x14ac:dyDescent="0.25">
      <c r="F3851" s="11" t="str">
        <f>IF(ISBLANK(D3851),"",(VLOOKUP(D3851,Cardápio!$A$2:$B$16,2,0))*E3851)</f>
        <v/>
      </c>
      <c r="H3851" s="7" t="str">
        <f t="shared" si="240"/>
        <v/>
      </c>
      <c r="I3851" s="7" t="str">
        <f>IF(AND(ISBLANK(D3851),ISBLANK(C3851)),"",((VLOOKUP(D3851,Cardápio!$A$2:$C$16,3,0))*E3851)+IF(B3851="iFood",F3851*0.27,(VLOOKUP(VENDAS!C3851,Bairros!$A$2:$B$90,2,0))))</f>
        <v/>
      </c>
      <c r="J3851" s="7" t="str">
        <f t="shared" si="241"/>
        <v/>
      </c>
      <c r="K3851" s="9">
        <f t="shared" ca="1" si="242"/>
        <v>45404.878290162036</v>
      </c>
      <c r="L3851" s="10">
        <f t="shared" ca="1" si="243"/>
        <v>45404.878290162036</v>
      </c>
    </row>
    <row r="3852" spans="6:12" x14ac:dyDescent="0.25">
      <c r="F3852" s="11" t="str">
        <f>IF(ISBLANK(D3852),"",(VLOOKUP(D3852,Cardápio!$A$2:$B$16,2,0))*E3852)</f>
        <v/>
      </c>
      <c r="H3852" s="7" t="str">
        <f t="shared" si="240"/>
        <v/>
      </c>
      <c r="I3852" s="7" t="str">
        <f>IF(AND(ISBLANK(D3852),ISBLANK(C3852)),"",((VLOOKUP(D3852,Cardápio!$A$2:$C$16,3,0))*E3852)+IF(B3852="iFood",F3852*0.27,(VLOOKUP(VENDAS!C3852,Bairros!$A$2:$B$90,2,0))))</f>
        <v/>
      </c>
      <c r="J3852" s="7" t="str">
        <f t="shared" si="241"/>
        <v/>
      </c>
      <c r="K3852" s="9">
        <f t="shared" ca="1" si="242"/>
        <v>45404.878290162036</v>
      </c>
      <c r="L3852" s="10">
        <f t="shared" ca="1" si="243"/>
        <v>45404.878290046297</v>
      </c>
    </row>
    <row r="3853" spans="6:12" x14ac:dyDescent="0.25">
      <c r="F3853" s="11" t="str">
        <f>IF(ISBLANK(D3853),"",(VLOOKUP(D3853,Cardápio!$A$2:$B$16,2,0))*E3853)</f>
        <v/>
      </c>
      <c r="H3853" s="7" t="str">
        <f t="shared" si="240"/>
        <v/>
      </c>
      <c r="I3853" s="7" t="str">
        <f>IF(AND(ISBLANK(D3853),ISBLANK(C3853)),"",((VLOOKUP(D3853,Cardápio!$A$2:$C$16,3,0))*E3853)+IF(B3853="iFood",F3853*0.27,(VLOOKUP(VENDAS!C3853,Bairros!$A$2:$B$90,2,0))))</f>
        <v/>
      </c>
      <c r="J3853" s="7" t="str">
        <f t="shared" si="241"/>
        <v/>
      </c>
      <c r="K3853" s="9">
        <f t="shared" ca="1" si="242"/>
        <v>45404.878290277775</v>
      </c>
      <c r="L3853" s="10">
        <f t="shared" ca="1" si="243"/>
        <v>45404.878290046297</v>
      </c>
    </row>
    <row r="3854" spans="6:12" x14ac:dyDescent="0.25">
      <c r="F3854" s="11" t="str">
        <f>IF(ISBLANK(D3854),"",(VLOOKUP(D3854,Cardápio!$A$2:$B$16,2,0))*E3854)</f>
        <v/>
      </c>
      <c r="H3854" s="7" t="str">
        <f t="shared" si="240"/>
        <v/>
      </c>
      <c r="I3854" s="7" t="str">
        <f>IF(AND(ISBLANK(D3854),ISBLANK(C3854)),"",((VLOOKUP(D3854,Cardápio!$A$2:$C$16,3,0))*E3854)+IF(B3854="iFood",F3854*0.27,(VLOOKUP(VENDAS!C3854,Bairros!$A$2:$B$90,2,0))))</f>
        <v/>
      </c>
      <c r="J3854" s="7" t="str">
        <f t="shared" si="241"/>
        <v/>
      </c>
      <c r="K3854" s="9">
        <f t="shared" ca="1" si="242"/>
        <v>45404.878290162036</v>
      </c>
      <c r="L3854" s="10">
        <f t="shared" ca="1" si="243"/>
        <v>45404.878290046297</v>
      </c>
    </row>
    <row r="3855" spans="6:12" x14ac:dyDescent="0.25">
      <c r="F3855" s="11" t="str">
        <f>IF(ISBLANK(D3855),"",(VLOOKUP(D3855,Cardápio!$A$2:$B$16,2,0))*E3855)</f>
        <v/>
      </c>
      <c r="H3855" s="7" t="str">
        <f t="shared" si="240"/>
        <v/>
      </c>
      <c r="I3855" s="7" t="str">
        <f>IF(AND(ISBLANK(D3855),ISBLANK(C3855)),"",((VLOOKUP(D3855,Cardápio!$A$2:$C$16,3,0))*E3855)+IF(B3855="iFood",F3855*0.27,(VLOOKUP(VENDAS!C3855,Bairros!$A$2:$B$90,2,0))))</f>
        <v/>
      </c>
      <c r="J3855" s="7" t="str">
        <f t="shared" si="241"/>
        <v/>
      </c>
      <c r="K3855" s="9">
        <f t="shared" ca="1" si="242"/>
        <v>45404.878290162036</v>
      </c>
      <c r="L3855" s="10">
        <f t="shared" ca="1" si="243"/>
        <v>45404.878290162036</v>
      </c>
    </row>
    <row r="3856" spans="6:12" x14ac:dyDescent="0.25">
      <c r="F3856" s="11" t="str">
        <f>IF(ISBLANK(D3856),"",(VLOOKUP(D3856,Cardápio!$A$2:$B$16,2,0))*E3856)</f>
        <v/>
      </c>
      <c r="H3856" s="7" t="str">
        <f t="shared" si="240"/>
        <v/>
      </c>
      <c r="I3856" s="7" t="str">
        <f>IF(AND(ISBLANK(D3856),ISBLANK(C3856)),"",((VLOOKUP(D3856,Cardápio!$A$2:$C$16,3,0))*E3856)+IF(B3856="iFood",F3856*0.27,(VLOOKUP(VENDAS!C3856,Bairros!$A$2:$B$90,2,0))))</f>
        <v/>
      </c>
      <c r="J3856" s="7" t="str">
        <f t="shared" si="241"/>
        <v/>
      </c>
      <c r="K3856" s="9">
        <f t="shared" ca="1" si="242"/>
        <v>45404.878290162036</v>
      </c>
      <c r="L3856" s="10">
        <f t="shared" ca="1" si="243"/>
        <v>45404.878290046297</v>
      </c>
    </row>
    <row r="3857" spans="6:12" x14ac:dyDescent="0.25">
      <c r="F3857" s="11" t="str">
        <f>IF(ISBLANK(D3857),"",(VLOOKUP(D3857,Cardápio!$A$2:$B$16,2,0))*E3857)</f>
        <v/>
      </c>
      <c r="H3857" s="7" t="str">
        <f t="shared" si="240"/>
        <v/>
      </c>
      <c r="I3857" s="7" t="str">
        <f>IF(AND(ISBLANK(D3857),ISBLANK(C3857)),"",((VLOOKUP(D3857,Cardápio!$A$2:$C$16,3,0))*E3857)+IF(B3857="iFood",F3857*0.27,(VLOOKUP(VENDAS!C3857,Bairros!$A$2:$B$90,2,0))))</f>
        <v/>
      </c>
      <c r="J3857" s="7" t="str">
        <f t="shared" si="241"/>
        <v/>
      </c>
      <c r="K3857" s="9">
        <f t="shared" ca="1" si="242"/>
        <v>45404.878290277775</v>
      </c>
      <c r="L3857" s="10">
        <f t="shared" ca="1" si="243"/>
        <v>45404.878290046297</v>
      </c>
    </row>
    <row r="3858" spans="6:12" x14ac:dyDescent="0.25">
      <c r="F3858" s="11" t="str">
        <f>IF(ISBLANK(D3858),"",(VLOOKUP(D3858,Cardápio!$A$2:$B$16,2,0))*E3858)</f>
        <v/>
      </c>
      <c r="H3858" s="7" t="str">
        <f t="shared" si="240"/>
        <v/>
      </c>
      <c r="I3858" s="7" t="str">
        <f>IF(AND(ISBLANK(D3858),ISBLANK(C3858)),"",((VLOOKUP(D3858,Cardápio!$A$2:$C$16,3,0))*E3858)+IF(B3858="iFood",F3858*0.27,(VLOOKUP(VENDAS!C3858,Bairros!$A$2:$B$90,2,0))))</f>
        <v/>
      </c>
      <c r="J3858" s="7" t="str">
        <f t="shared" si="241"/>
        <v/>
      </c>
      <c r="K3858" s="9">
        <f t="shared" ca="1" si="242"/>
        <v>45404.878290162036</v>
      </c>
      <c r="L3858" s="10">
        <f t="shared" ca="1" si="243"/>
        <v>45404.878290046297</v>
      </c>
    </row>
    <row r="3859" spans="6:12" x14ac:dyDescent="0.25">
      <c r="F3859" s="11" t="str">
        <f>IF(ISBLANK(D3859),"",(VLOOKUP(D3859,Cardápio!$A$2:$B$16,2,0))*E3859)</f>
        <v/>
      </c>
      <c r="H3859" s="7" t="str">
        <f t="shared" si="240"/>
        <v/>
      </c>
      <c r="I3859" s="7" t="str">
        <f>IF(AND(ISBLANK(D3859),ISBLANK(C3859)),"",((VLOOKUP(D3859,Cardápio!$A$2:$C$16,3,0))*E3859)+IF(B3859="iFood",F3859*0.27,(VLOOKUP(VENDAS!C3859,Bairros!$A$2:$B$90,2,0))))</f>
        <v/>
      </c>
      <c r="J3859" s="7" t="str">
        <f t="shared" si="241"/>
        <v/>
      </c>
      <c r="K3859" s="9">
        <f t="shared" ca="1" si="242"/>
        <v>45404.878290162036</v>
      </c>
      <c r="L3859" s="10">
        <f t="shared" ca="1" si="243"/>
        <v>45404.878290162036</v>
      </c>
    </row>
    <row r="3860" spans="6:12" x14ac:dyDescent="0.25">
      <c r="F3860" s="11" t="str">
        <f>IF(ISBLANK(D3860),"",(VLOOKUP(D3860,Cardápio!$A$2:$B$16,2,0))*E3860)</f>
        <v/>
      </c>
      <c r="H3860" s="7" t="str">
        <f t="shared" si="240"/>
        <v/>
      </c>
      <c r="I3860" s="7" t="str">
        <f>IF(AND(ISBLANK(D3860),ISBLANK(C3860)),"",((VLOOKUP(D3860,Cardápio!$A$2:$C$16,3,0))*E3860)+IF(B3860="iFood",F3860*0.27,(VLOOKUP(VENDAS!C3860,Bairros!$A$2:$B$90,2,0))))</f>
        <v/>
      </c>
      <c r="J3860" s="7" t="str">
        <f t="shared" si="241"/>
        <v/>
      </c>
      <c r="K3860" s="9">
        <f t="shared" ca="1" si="242"/>
        <v>45404.878290162036</v>
      </c>
      <c r="L3860" s="10">
        <f t="shared" ca="1" si="243"/>
        <v>45404.878290046297</v>
      </c>
    </row>
    <row r="3861" spans="6:12" x14ac:dyDescent="0.25">
      <c r="F3861" s="11" t="str">
        <f>IF(ISBLANK(D3861),"",(VLOOKUP(D3861,Cardápio!$A$2:$B$16,2,0))*E3861)</f>
        <v/>
      </c>
      <c r="H3861" s="7" t="str">
        <f t="shared" si="240"/>
        <v/>
      </c>
      <c r="I3861" s="7" t="str">
        <f>IF(AND(ISBLANK(D3861),ISBLANK(C3861)),"",((VLOOKUP(D3861,Cardápio!$A$2:$C$16,3,0))*E3861)+IF(B3861="iFood",F3861*0.27,(VLOOKUP(VENDAS!C3861,Bairros!$A$2:$B$90,2,0))))</f>
        <v/>
      </c>
      <c r="J3861" s="7" t="str">
        <f t="shared" si="241"/>
        <v/>
      </c>
      <c r="K3861" s="9">
        <f t="shared" ca="1" si="242"/>
        <v>45404.878290277775</v>
      </c>
      <c r="L3861" s="10">
        <f t="shared" ca="1" si="243"/>
        <v>45404.878290046297</v>
      </c>
    </row>
    <row r="3862" spans="6:12" x14ac:dyDescent="0.25">
      <c r="F3862" s="11" t="str">
        <f>IF(ISBLANK(D3862),"",(VLOOKUP(D3862,Cardápio!$A$2:$B$16,2,0))*E3862)</f>
        <v/>
      </c>
      <c r="H3862" s="7" t="str">
        <f t="shared" si="240"/>
        <v/>
      </c>
      <c r="I3862" s="7" t="str">
        <f>IF(AND(ISBLANK(D3862),ISBLANK(C3862)),"",((VLOOKUP(D3862,Cardápio!$A$2:$C$16,3,0))*E3862)+IF(B3862="iFood",F3862*0.27,(VLOOKUP(VENDAS!C3862,Bairros!$A$2:$B$90,2,0))))</f>
        <v/>
      </c>
      <c r="J3862" s="7" t="str">
        <f t="shared" si="241"/>
        <v/>
      </c>
      <c r="K3862" s="9">
        <f t="shared" ca="1" si="242"/>
        <v>45404.878290162036</v>
      </c>
      <c r="L3862" s="10">
        <f t="shared" ca="1" si="243"/>
        <v>45404.878290046297</v>
      </c>
    </row>
    <row r="3863" spans="6:12" x14ac:dyDescent="0.25">
      <c r="F3863" s="11" t="str">
        <f>IF(ISBLANK(D3863),"",(VLOOKUP(D3863,Cardápio!$A$2:$B$16,2,0))*E3863)</f>
        <v/>
      </c>
      <c r="H3863" s="7" t="str">
        <f t="shared" si="240"/>
        <v/>
      </c>
      <c r="I3863" s="7" t="str">
        <f>IF(AND(ISBLANK(D3863),ISBLANK(C3863)),"",((VLOOKUP(D3863,Cardápio!$A$2:$C$16,3,0))*E3863)+IF(B3863="iFood",F3863*0.27,(VLOOKUP(VENDAS!C3863,Bairros!$A$2:$B$90,2,0))))</f>
        <v/>
      </c>
      <c r="J3863" s="7" t="str">
        <f t="shared" si="241"/>
        <v/>
      </c>
      <c r="K3863" s="9">
        <f t="shared" ca="1" si="242"/>
        <v>45404.878290162036</v>
      </c>
      <c r="L3863" s="10">
        <f t="shared" ca="1" si="243"/>
        <v>45404.878290162036</v>
      </c>
    </row>
    <row r="3864" spans="6:12" x14ac:dyDescent="0.25">
      <c r="F3864" s="11" t="str">
        <f>IF(ISBLANK(D3864),"",(VLOOKUP(D3864,Cardápio!$A$2:$B$16,2,0))*E3864)</f>
        <v/>
      </c>
      <c r="H3864" s="7" t="str">
        <f t="shared" si="240"/>
        <v/>
      </c>
      <c r="I3864" s="7" t="str">
        <f>IF(AND(ISBLANK(D3864),ISBLANK(C3864)),"",((VLOOKUP(D3864,Cardápio!$A$2:$C$16,3,0))*E3864)+IF(B3864="iFood",F3864*0.27,(VLOOKUP(VENDAS!C3864,Bairros!$A$2:$B$90,2,0))))</f>
        <v/>
      </c>
      <c r="J3864" s="7" t="str">
        <f t="shared" si="241"/>
        <v/>
      </c>
      <c r="K3864" s="9">
        <f t="shared" ca="1" si="242"/>
        <v>45404.878290162036</v>
      </c>
      <c r="L3864" s="10">
        <f t="shared" ca="1" si="243"/>
        <v>45404.878290046297</v>
      </c>
    </row>
    <row r="3865" spans="6:12" x14ac:dyDescent="0.25">
      <c r="F3865" s="11" t="str">
        <f>IF(ISBLANK(D3865),"",(VLOOKUP(D3865,Cardápio!$A$2:$B$16,2,0))*E3865)</f>
        <v/>
      </c>
      <c r="H3865" s="7" t="str">
        <f t="shared" si="240"/>
        <v/>
      </c>
      <c r="I3865" s="7" t="str">
        <f>IF(AND(ISBLANK(D3865),ISBLANK(C3865)),"",((VLOOKUP(D3865,Cardápio!$A$2:$C$16,3,0))*E3865)+IF(B3865="iFood",F3865*0.27,(VLOOKUP(VENDAS!C3865,Bairros!$A$2:$B$90,2,0))))</f>
        <v/>
      </c>
      <c r="J3865" s="7" t="str">
        <f t="shared" si="241"/>
        <v/>
      </c>
      <c r="K3865" s="9">
        <f t="shared" ca="1" si="242"/>
        <v>45404.878290277775</v>
      </c>
      <c r="L3865" s="10">
        <f t="shared" ca="1" si="243"/>
        <v>45404.878290046297</v>
      </c>
    </row>
    <row r="3866" spans="6:12" x14ac:dyDescent="0.25">
      <c r="F3866" s="11" t="str">
        <f>IF(ISBLANK(D3866),"",(VLOOKUP(D3866,Cardápio!$A$2:$B$16,2,0))*E3866)</f>
        <v/>
      </c>
      <c r="H3866" s="7" t="str">
        <f t="shared" si="240"/>
        <v/>
      </c>
      <c r="I3866" s="7" t="str">
        <f>IF(AND(ISBLANK(D3866),ISBLANK(C3866)),"",((VLOOKUP(D3866,Cardápio!$A$2:$C$16,3,0))*E3866)+IF(B3866="iFood",F3866*0.27,(VLOOKUP(VENDAS!C3866,Bairros!$A$2:$B$90,2,0))))</f>
        <v/>
      </c>
      <c r="J3866" s="7" t="str">
        <f t="shared" si="241"/>
        <v/>
      </c>
      <c r="K3866" s="9">
        <f t="shared" ca="1" si="242"/>
        <v>45404.878290162036</v>
      </c>
      <c r="L3866" s="10">
        <f t="shared" ca="1" si="243"/>
        <v>45404.878290046297</v>
      </c>
    </row>
    <row r="3867" spans="6:12" x14ac:dyDescent="0.25">
      <c r="F3867" s="11" t="str">
        <f>IF(ISBLANK(D3867),"",(VLOOKUP(D3867,Cardápio!$A$2:$B$16,2,0))*E3867)</f>
        <v/>
      </c>
      <c r="H3867" s="7" t="str">
        <f t="shared" si="240"/>
        <v/>
      </c>
      <c r="I3867" s="7" t="str">
        <f>IF(AND(ISBLANK(D3867),ISBLANK(C3867)),"",((VLOOKUP(D3867,Cardápio!$A$2:$C$16,3,0))*E3867)+IF(B3867="iFood",F3867*0.27,(VLOOKUP(VENDAS!C3867,Bairros!$A$2:$B$90,2,0))))</f>
        <v/>
      </c>
      <c r="J3867" s="7" t="str">
        <f t="shared" si="241"/>
        <v/>
      </c>
      <c r="K3867" s="9">
        <f t="shared" ca="1" si="242"/>
        <v>45404.878290162036</v>
      </c>
      <c r="L3867" s="10">
        <f t="shared" ca="1" si="243"/>
        <v>45404.878290162036</v>
      </c>
    </row>
    <row r="3868" spans="6:12" x14ac:dyDescent="0.25">
      <c r="F3868" s="11" t="str">
        <f>IF(ISBLANK(D3868),"",(VLOOKUP(D3868,Cardápio!$A$2:$B$16,2,0))*E3868)</f>
        <v/>
      </c>
      <c r="H3868" s="7" t="str">
        <f t="shared" si="240"/>
        <v/>
      </c>
      <c r="I3868" s="7" t="str">
        <f>IF(AND(ISBLANK(D3868),ISBLANK(C3868)),"",((VLOOKUP(D3868,Cardápio!$A$2:$C$16,3,0))*E3868)+IF(B3868="iFood",F3868*0.27,(VLOOKUP(VENDAS!C3868,Bairros!$A$2:$B$90,2,0))))</f>
        <v/>
      </c>
      <c r="J3868" s="7" t="str">
        <f t="shared" si="241"/>
        <v/>
      </c>
      <c r="K3868" s="9">
        <f t="shared" ca="1" si="242"/>
        <v>45404.878290162036</v>
      </c>
      <c r="L3868" s="10">
        <f t="shared" ca="1" si="243"/>
        <v>45404.878290046297</v>
      </c>
    </row>
    <row r="3869" spans="6:12" x14ac:dyDescent="0.25">
      <c r="F3869" s="11" t="str">
        <f>IF(ISBLANK(D3869),"",(VLOOKUP(D3869,Cardápio!$A$2:$B$16,2,0))*E3869)</f>
        <v/>
      </c>
      <c r="H3869" s="7" t="str">
        <f t="shared" si="240"/>
        <v/>
      </c>
      <c r="I3869" s="7" t="str">
        <f>IF(AND(ISBLANK(D3869),ISBLANK(C3869)),"",((VLOOKUP(D3869,Cardápio!$A$2:$C$16,3,0))*E3869)+IF(B3869="iFood",F3869*0.27,(VLOOKUP(VENDAS!C3869,Bairros!$A$2:$B$90,2,0))))</f>
        <v/>
      </c>
      <c r="J3869" s="7" t="str">
        <f t="shared" si="241"/>
        <v/>
      </c>
      <c r="K3869" s="9">
        <f t="shared" ca="1" si="242"/>
        <v>45404.878290277775</v>
      </c>
      <c r="L3869" s="10">
        <f t="shared" ca="1" si="243"/>
        <v>45404.878290046297</v>
      </c>
    </row>
    <row r="3870" spans="6:12" x14ac:dyDescent="0.25">
      <c r="F3870" s="11" t="str">
        <f>IF(ISBLANK(D3870),"",(VLOOKUP(D3870,Cardápio!$A$2:$B$16,2,0))*E3870)</f>
        <v/>
      </c>
      <c r="H3870" s="7" t="str">
        <f t="shared" si="240"/>
        <v/>
      </c>
      <c r="I3870" s="7" t="str">
        <f>IF(AND(ISBLANK(D3870),ISBLANK(C3870)),"",((VLOOKUP(D3870,Cardápio!$A$2:$C$16,3,0))*E3870)+IF(B3870="iFood",F3870*0.27,(VLOOKUP(VENDAS!C3870,Bairros!$A$2:$B$90,2,0))))</f>
        <v/>
      </c>
      <c r="J3870" s="7" t="str">
        <f t="shared" si="241"/>
        <v/>
      </c>
      <c r="K3870" s="9">
        <f t="shared" ca="1" si="242"/>
        <v>45404.878290162036</v>
      </c>
      <c r="L3870" s="10">
        <f t="shared" ca="1" si="243"/>
        <v>45404.878290046297</v>
      </c>
    </row>
    <row r="3871" spans="6:12" x14ac:dyDescent="0.25">
      <c r="F3871" s="11" t="str">
        <f>IF(ISBLANK(D3871),"",(VLOOKUP(D3871,Cardápio!$A$2:$B$16,2,0))*E3871)</f>
        <v/>
      </c>
      <c r="H3871" s="7" t="str">
        <f t="shared" si="240"/>
        <v/>
      </c>
      <c r="I3871" s="7" t="str">
        <f>IF(AND(ISBLANK(D3871),ISBLANK(C3871)),"",((VLOOKUP(D3871,Cardápio!$A$2:$C$16,3,0))*E3871)+IF(B3871="iFood",F3871*0.27,(VLOOKUP(VENDAS!C3871,Bairros!$A$2:$B$90,2,0))))</f>
        <v/>
      </c>
      <c r="J3871" s="7" t="str">
        <f t="shared" si="241"/>
        <v/>
      </c>
      <c r="K3871" s="9">
        <f t="shared" ca="1" si="242"/>
        <v>45404.878290162036</v>
      </c>
      <c r="L3871" s="10">
        <f t="shared" ca="1" si="243"/>
        <v>45404.878290162036</v>
      </c>
    </row>
    <row r="3872" spans="6:12" x14ac:dyDescent="0.25">
      <c r="F3872" s="11" t="str">
        <f>IF(ISBLANK(D3872),"",(VLOOKUP(D3872,Cardápio!$A$2:$B$16,2,0))*E3872)</f>
        <v/>
      </c>
      <c r="H3872" s="7" t="str">
        <f t="shared" si="240"/>
        <v/>
      </c>
      <c r="I3872" s="7" t="str">
        <f>IF(AND(ISBLANK(D3872),ISBLANK(C3872)),"",((VLOOKUP(D3872,Cardápio!$A$2:$C$16,3,0))*E3872)+IF(B3872="iFood",F3872*0.27,(VLOOKUP(VENDAS!C3872,Bairros!$A$2:$B$90,2,0))))</f>
        <v/>
      </c>
      <c r="J3872" s="7" t="str">
        <f t="shared" si="241"/>
        <v/>
      </c>
      <c r="K3872" s="9">
        <f t="shared" ca="1" si="242"/>
        <v>45404.878290162036</v>
      </c>
      <c r="L3872" s="10">
        <f t="shared" ca="1" si="243"/>
        <v>45404.878290046297</v>
      </c>
    </row>
    <row r="3873" spans="6:12" x14ac:dyDescent="0.25">
      <c r="F3873" s="11" t="str">
        <f>IF(ISBLANK(D3873),"",(VLOOKUP(D3873,Cardápio!$A$2:$B$16,2,0))*E3873)</f>
        <v/>
      </c>
      <c r="H3873" s="7" t="str">
        <f t="shared" si="240"/>
        <v/>
      </c>
      <c r="I3873" s="7" t="str">
        <f>IF(AND(ISBLANK(D3873),ISBLANK(C3873)),"",((VLOOKUP(D3873,Cardápio!$A$2:$C$16,3,0))*E3873)+IF(B3873="iFood",F3873*0.27,(VLOOKUP(VENDAS!C3873,Bairros!$A$2:$B$90,2,0))))</f>
        <v/>
      </c>
      <c r="J3873" s="7" t="str">
        <f t="shared" si="241"/>
        <v/>
      </c>
      <c r="K3873" s="9">
        <f t="shared" ca="1" si="242"/>
        <v>45404.878290277775</v>
      </c>
      <c r="L3873" s="10">
        <f t="shared" ca="1" si="243"/>
        <v>45404.878290046297</v>
      </c>
    </row>
    <row r="3874" spans="6:12" x14ac:dyDescent="0.25">
      <c r="F3874" s="11" t="str">
        <f>IF(ISBLANK(D3874),"",(VLOOKUP(D3874,Cardápio!$A$2:$B$16,2,0))*E3874)</f>
        <v/>
      </c>
      <c r="H3874" s="7" t="str">
        <f t="shared" si="240"/>
        <v/>
      </c>
      <c r="I3874" s="7" t="str">
        <f>IF(AND(ISBLANK(D3874),ISBLANK(C3874)),"",((VLOOKUP(D3874,Cardápio!$A$2:$C$16,3,0))*E3874)+IF(B3874="iFood",F3874*0.27,(VLOOKUP(VENDAS!C3874,Bairros!$A$2:$B$90,2,0))))</f>
        <v/>
      </c>
      <c r="J3874" s="7" t="str">
        <f t="shared" si="241"/>
        <v/>
      </c>
      <c r="K3874" s="9">
        <f t="shared" ca="1" si="242"/>
        <v>45404.878290162036</v>
      </c>
      <c r="L3874" s="10">
        <f t="shared" ca="1" si="243"/>
        <v>45404.878290046297</v>
      </c>
    </row>
    <row r="3875" spans="6:12" x14ac:dyDescent="0.25">
      <c r="F3875" s="11" t="str">
        <f>IF(ISBLANK(D3875),"",(VLOOKUP(D3875,Cardápio!$A$2:$B$16,2,0))*E3875)</f>
        <v/>
      </c>
      <c r="H3875" s="7" t="str">
        <f t="shared" si="240"/>
        <v/>
      </c>
      <c r="I3875" s="7" t="str">
        <f>IF(AND(ISBLANK(D3875),ISBLANK(C3875)),"",((VLOOKUP(D3875,Cardápio!$A$2:$C$16,3,0))*E3875)+IF(B3875="iFood",F3875*0.27,(VLOOKUP(VENDAS!C3875,Bairros!$A$2:$B$90,2,0))))</f>
        <v/>
      </c>
      <c r="J3875" s="7" t="str">
        <f t="shared" si="241"/>
        <v/>
      </c>
      <c r="K3875" s="9">
        <f t="shared" ca="1" si="242"/>
        <v>45404.878290162036</v>
      </c>
      <c r="L3875" s="10">
        <f t="shared" ca="1" si="243"/>
        <v>45404.878290162036</v>
      </c>
    </row>
    <row r="3876" spans="6:12" x14ac:dyDescent="0.25">
      <c r="F3876" s="11" t="str">
        <f>IF(ISBLANK(D3876),"",(VLOOKUP(D3876,Cardápio!$A$2:$B$16,2,0))*E3876)</f>
        <v/>
      </c>
      <c r="H3876" s="7" t="str">
        <f t="shared" si="240"/>
        <v/>
      </c>
      <c r="I3876" s="7" t="str">
        <f>IF(AND(ISBLANK(D3876),ISBLANK(C3876)),"",((VLOOKUP(D3876,Cardápio!$A$2:$C$16,3,0))*E3876)+IF(B3876="iFood",F3876*0.27,(VLOOKUP(VENDAS!C3876,Bairros!$A$2:$B$90,2,0))))</f>
        <v/>
      </c>
      <c r="J3876" s="7" t="str">
        <f t="shared" si="241"/>
        <v/>
      </c>
      <c r="K3876" s="9">
        <f t="shared" ca="1" si="242"/>
        <v>45404.878290162036</v>
      </c>
      <c r="L3876" s="10">
        <f t="shared" ca="1" si="243"/>
        <v>45404.878290046297</v>
      </c>
    </row>
    <row r="3877" spans="6:12" x14ac:dyDescent="0.25">
      <c r="F3877" s="11" t="str">
        <f>IF(ISBLANK(D3877),"",(VLOOKUP(D3877,Cardápio!$A$2:$B$16,2,0))*E3877)</f>
        <v/>
      </c>
      <c r="H3877" s="7" t="str">
        <f t="shared" si="240"/>
        <v/>
      </c>
      <c r="I3877" s="7" t="str">
        <f>IF(AND(ISBLANK(D3877),ISBLANK(C3877)),"",((VLOOKUP(D3877,Cardápio!$A$2:$C$16,3,0))*E3877)+IF(B3877="iFood",F3877*0.27,(VLOOKUP(VENDAS!C3877,Bairros!$A$2:$B$90,2,0))))</f>
        <v/>
      </c>
      <c r="J3877" s="7" t="str">
        <f t="shared" si="241"/>
        <v/>
      </c>
      <c r="K3877" s="9">
        <f t="shared" ca="1" si="242"/>
        <v>45404.878290277775</v>
      </c>
      <c r="L3877" s="10">
        <f t="shared" ca="1" si="243"/>
        <v>45404.878290046297</v>
      </c>
    </row>
    <row r="3878" spans="6:12" x14ac:dyDescent="0.25">
      <c r="F3878" s="11" t="str">
        <f>IF(ISBLANK(D3878),"",(VLOOKUP(D3878,Cardápio!$A$2:$B$16,2,0))*E3878)</f>
        <v/>
      </c>
      <c r="H3878" s="7" t="str">
        <f t="shared" si="240"/>
        <v/>
      </c>
      <c r="I3878" s="7" t="str">
        <f>IF(AND(ISBLANK(D3878),ISBLANK(C3878)),"",((VLOOKUP(D3878,Cardápio!$A$2:$C$16,3,0))*E3878)+IF(B3878="iFood",F3878*0.27,(VLOOKUP(VENDAS!C3878,Bairros!$A$2:$B$90,2,0))))</f>
        <v/>
      </c>
      <c r="J3878" s="7" t="str">
        <f t="shared" si="241"/>
        <v/>
      </c>
      <c r="K3878" s="9">
        <f t="shared" ca="1" si="242"/>
        <v>45404.878290162036</v>
      </c>
      <c r="L3878" s="10">
        <f t="shared" ca="1" si="243"/>
        <v>45404.878290046297</v>
      </c>
    </row>
    <row r="3879" spans="6:12" x14ac:dyDescent="0.25">
      <c r="F3879" s="11" t="str">
        <f>IF(ISBLANK(D3879),"",(VLOOKUP(D3879,Cardápio!$A$2:$B$16,2,0))*E3879)</f>
        <v/>
      </c>
      <c r="H3879" s="7" t="str">
        <f t="shared" si="240"/>
        <v/>
      </c>
      <c r="I3879" s="7" t="str">
        <f>IF(AND(ISBLANK(D3879),ISBLANK(C3879)),"",((VLOOKUP(D3879,Cardápio!$A$2:$C$16,3,0))*E3879)+IF(B3879="iFood",F3879*0.27,(VLOOKUP(VENDAS!C3879,Bairros!$A$2:$B$90,2,0))))</f>
        <v/>
      </c>
      <c r="J3879" s="7" t="str">
        <f t="shared" si="241"/>
        <v/>
      </c>
      <c r="K3879" s="9">
        <f t="shared" ca="1" si="242"/>
        <v>45404.878290162036</v>
      </c>
      <c r="L3879" s="10">
        <f t="shared" ca="1" si="243"/>
        <v>45404.878290162036</v>
      </c>
    </row>
    <row r="3880" spans="6:12" x14ac:dyDescent="0.25">
      <c r="F3880" s="11" t="str">
        <f>IF(ISBLANK(D3880),"",(VLOOKUP(D3880,Cardápio!$A$2:$B$16,2,0))*E3880)</f>
        <v/>
      </c>
      <c r="H3880" s="7" t="str">
        <f t="shared" si="240"/>
        <v/>
      </c>
      <c r="I3880" s="7" t="str">
        <f>IF(AND(ISBLANK(D3880),ISBLANK(C3880)),"",((VLOOKUP(D3880,Cardápio!$A$2:$C$16,3,0))*E3880)+IF(B3880="iFood",F3880*0.27,(VLOOKUP(VENDAS!C3880,Bairros!$A$2:$B$90,2,0))))</f>
        <v/>
      </c>
      <c r="J3880" s="7" t="str">
        <f t="shared" si="241"/>
        <v/>
      </c>
      <c r="K3880" s="9">
        <f t="shared" ca="1" si="242"/>
        <v>45404.878290162036</v>
      </c>
      <c r="L3880" s="10">
        <f t="shared" ca="1" si="243"/>
        <v>45404.878290046297</v>
      </c>
    </row>
    <row r="3881" spans="6:12" x14ac:dyDescent="0.25">
      <c r="F3881" s="11" t="str">
        <f>IF(ISBLANK(D3881),"",(VLOOKUP(D3881,Cardápio!$A$2:$B$16,2,0))*E3881)</f>
        <v/>
      </c>
      <c r="H3881" s="7" t="str">
        <f t="shared" si="240"/>
        <v/>
      </c>
      <c r="I3881" s="7" t="str">
        <f>IF(AND(ISBLANK(D3881),ISBLANK(C3881)),"",((VLOOKUP(D3881,Cardápio!$A$2:$C$16,3,0))*E3881)+IF(B3881="iFood",F3881*0.27,(VLOOKUP(VENDAS!C3881,Bairros!$A$2:$B$90,2,0))))</f>
        <v/>
      </c>
      <c r="J3881" s="7" t="str">
        <f t="shared" si="241"/>
        <v/>
      </c>
      <c r="K3881" s="9">
        <f t="shared" ca="1" si="242"/>
        <v>45404.878290277775</v>
      </c>
      <c r="L3881" s="10">
        <f t="shared" ca="1" si="243"/>
        <v>45404.878290046297</v>
      </c>
    </row>
    <row r="3882" spans="6:12" x14ac:dyDescent="0.25">
      <c r="F3882" s="11" t="str">
        <f>IF(ISBLANK(D3882),"",(VLOOKUP(D3882,Cardápio!$A$2:$B$16,2,0))*E3882)</f>
        <v/>
      </c>
      <c r="H3882" s="7" t="str">
        <f t="shared" si="240"/>
        <v/>
      </c>
      <c r="I3882" s="7" t="str">
        <f>IF(AND(ISBLANK(D3882),ISBLANK(C3882)),"",((VLOOKUP(D3882,Cardápio!$A$2:$C$16,3,0))*E3882)+IF(B3882="iFood",F3882*0.27,(VLOOKUP(VENDAS!C3882,Bairros!$A$2:$B$90,2,0))))</f>
        <v/>
      </c>
      <c r="J3882" s="7" t="str">
        <f t="shared" si="241"/>
        <v/>
      </c>
      <c r="K3882" s="9">
        <f t="shared" ca="1" si="242"/>
        <v>45404.878290162036</v>
      </c>
      <c r="L3882" s="10">
        <f t="shared" ca="1" si="243"/>
        <v>45404.878290046297</v>
      </c>
    </row>
    <row r="3883" spans="6:12" x14ac:dyDescent="0.25">
      <c r="F3883" s="11" t="str">
        <f>IF(ISBLANK(D3883),"",(VLOOKUP(D3883,Cardápio!$A$2:$B$16,2,0))*E3883)</f>
        <v/>
      </c>
      <c r="H3883" s="7" t="str">
        <f t="shared" si="240"/>
        <v/>
      </c>
      <c r="I3883" s="7" t="str">
        <f>IF(AND(ISBLANK(D3883),ISBLANK(C3883)),"",((VLOOKUP(D3883,Cardápio!$A$2:$C$16,3,0))*E3883)+IF(B3883="iFood",F3883*0.27,(VLOOKUP(VENDAS!C3883,Bairros!$A$2:$B$90,2,0))))</f>
        <v/>
      </c>
      <c r="J3883" s="7" t="str">
        <f t="shared" si="241"/>
        <v/>
      </c>
      <c r="K3883" s="9">
        <f t="shared" ca="1" si="242"/>
        <v>45404.878290162036</v>
      </c>
      <c r="L3883" s="10">
        <f t="shared" ca="1" si="243"/>
        <v>45404.878290162036</v>
      </c>
    </row>
    <row r="3884" spans="6:12" x14ac:dyDescent="0.25">
      <c r="F3884" s="11" t="str">
        <f>IF(ISBLANK(D3884),"",(VLOOKUP(D3884,Cardápio!$A$2:$B$16,2,0))*E3884)</f>
        <v/>
      </c>
      <c r="H3884" s="7" t="str">
        <f t="shared" si="240"/>
        <v/>
      </c>
      <c r="I3884" s="7" t="str">
        <f>IF(AND(ISBLANK(D3884),ISBLANK(C3884)),"",((VLOOKUP(D3884,Cardápio!$A$2:$C$16,3,0))*E3884)+IF(B3884="iFood",F3884*0.27,(VLOOKUP(VENDAS!C3884,Bairros!$A$2:$B$90,2,0))))</f>
        <v/>
      </c>
      <c r="J3884" s="7" t="str">
        <f t="shared" si="241"/>
        <v/>
      </c>
      <c r="K3884" s="9">
        <f t="shared" ca="1" si="242"/>
        <v>45404.878290162036</v>
      </c>
      <c r="L3884" s="10">
        <f t="shared" ca="1" si="243"/>
        <v>45404.878290046297</v>
      </c>
    </row>
    <row r="3885" spans="6:12" x14ac:dyDescent="0.25">
      <c r="F3885" s="11" t="str">
        <f>IF(ISBLANK(D3885),"",(VLOOKUP(D3885,Cardápio!$A$2:$B$16,2,0))*E3885)</f>
        <v/>
      </c>
      <c r="H3885" s="7" t="str">
        <f t="shared" si="240"/>
        <v/>
      </c>
      <c r="I3885" s="7" t="str">
        <f>IF(AND(ISBLANK(D3885),ISBLANK(C3885)),"",((VLOOKUP(D3885,Cardápio!$A$2:$C$16,3,0))*E3885)+IF(B3885="iFood",F3885*0.27,(VLOOKUP(VENDAS!C3885,Bairros!$A$2:$B$90,2,0))))</f>
        <v/>
      </c>
      <c r="J3885" s="7" t="str">
        <f t="shared" si="241"/>
        <v/>
      </c>
      <c r="K3885" s="9">
        <f t="shared" ca="1" si="242"/>
        <v>45404.878290277775</v>
      </c>
      <c r="L3885" s="10">
        <f t="shared" ca="1" si="243"/>
        <v>45404.878290046297</v>
      </c>
    </row>
    <row r="3886" spans="6:12" x14ac:dyDescent="0.25">
      <c r="F3886" s="11" t="str">
        <f>IF(ISBLANK(D3886),"",(VLOOKUP(D3886,Cardápio!$A$2:$B$16,2,0))*E3886)</f>
        <v/>
      </c>
      <c r="H3886" s="7" t="str">
        <f t="shared" si="240"/>
        <v/>
      </c>
      <c r="I3886" s="7" t="str">
        <f>IF(AND(ISBLANK(D3886),ISBLANK(C3886)),"",((VLOOKUP(D3886,Cardápio!$A$2:$C$16,3,0))*E3886)+IF(B3886="iFood",F3886*0.27,(VLOOKUP(VENDAS!C3886,Bairros!$A$2:$B$90,2,0))))</f>
        <v/>
      </c>
      <c r="J3886" s="7" t="str">
        <f t="shared" si="241"/>
        <v/>
      </c>
      <c r="K3886" s="9">
        <f t="shared" ca="1" si="242"/>
        <v>45404.878290162036</v>
      </c>
      <c r="L3886" s="10">
        <f t="shared" ca="1" si="243"/>
        <v>45404.878290046297</v>
      </c>
    </row>
    <row r="3887" spans="6:12" x14ac:dyDescent="0.25">
      <c r="F3887" s="11" t="str">
        <f>IF(ISBLANK(D3887),"",(VLOOKUP(D3887,Cardápio!$A$2:$B$16,2,0))*E3887)</f>
        <v/>
      </c>
      <c r="H3887" s="7" t="str">
        <f t="shared" si="240"/>
        <v/>
      </c>
      <c r="I3887" s="7" t="str">
        <f>IF(AND(ISBLANK(D3887),ISBLANK(C3887)),"",((VLOOKUP(D3887,Cardápio!$A$2:$C$16,3,0))*E3887)+IF(B3887="iFood",F3887*0.27,(VLOOKUP(VENDAS!C3887,Bairros!$A$2:$B$90,2,0))))</f>
        <v/>
      </c>
      <c r="J3887" s="7" t="str">
        <f t="shared" si="241"/>
        <v/>
      </c>
      <c r="K3887" s="9">
        <f t="shared" ca="1" si="242"/>
        <v>45404.878290162036</v>
      </c>
      <c r="L3887" s="10">
        <f t="shared" ca="1" si="243"/>
        <v>45404.878290162036</v>
      </c>
    </row>
    <row r="3888" spans="6:12" x14ac:dyDescent="0.25">
      <c r="F3888" s="11" t="str">
        <f>IF(ISBLANK(D3888),"",(VLOOKUP(D3888,Cardápio!$A$2:$B$16,2,0))*E3888)</f>
        <v/>
      </c>
      <c r="H3888" s="7" t="str">
        <f t="shared" si="240"/>
        <v/>
      </c>
      <c r="I3888" s="7" t="str">
        <f>IF(AND(ISBLANK(D3888),ISBLANK(C3888)),"",((VLOOKUP(D3888,Cardápio!$A$2:$C$16,3,0))*E3888)+IF(B3888="iFood",F3888*0.27,(VLOOKUP(VENDAS!C3888,Bairros!$A$2:$B$90,2,0))))</f>
        <v/>
      </c>
      <c r="J3888" s="7" t="str">
        <f t="shared" si="241"/>
        <v/>
      </c>
      <c r="K3888" s="9">
        <f t="shared" ca="1" si="242"/>
        <v>45404.878290162036</v>
      </c>
      <c r="L3888" s="10">
        <f t="shared" ca="1" si="243"/>
        <v>45404.878290046297</v>
      </c>
    </row>
    <row r="3889" spans="6:12" x14ac:dyDescent="0.25">
      <c r="F3889" s="11" t="str">
        <f>IF(ISBLANK(D3889),"",(VLOOKUP(D3889,Cardápio!$A$2:$B$16,2,0))*E3889)</f>
        <v/>
      </c>
      <c r="H3889" s="7" t="str">
        <f t="shared" si="240"/>
        <v/>
      </c>
      <c r="I3889" s="7" t="str">
        <f>IF(AND(ISBLANK(D3889),ISBLANK(C3889)),"",((VLOOKUP(D3889,Cardápio!$A$2:$C$16,3,0))*E3889)+IF(B3889="iFood",F3889*0.27,(VLOOKUP(VENDAS!C3889,Bairros!$A$2:$B$90,2,0))))</f>
        <v/>
      </c>
      <c r="J3889" s="7" t="str">
        <f t="shared" si="241"/>
        <v/>
      </c>
      <c r="K3889" s="9">
        <f t="shared" ca="1" si="242"/>
        <v>45404.878290277775</v>
      </c>
      <c r="L3889" s="10">
        <f t="shared" ca="1" si="243"/>
        <v>45404.878290046297</v>
      </c>
    </row>
    <row r="3890" spans="6:12" x14ac:dyDescent="0.25">
      <c r="F3890" s="11" t="str">
        <f>IF(ISBLANK(D3890),"",(VLOOKUP(D3890,Cardápio!$A$2:$B$16,2,0))*E3890)</f>
        <v/>
      </c>
      <c r="H3890" s="7" t="str">
        <f t="shared" si="240"/>
        <v/>
      </c>
      <c r="I3890" s="7" t="str">
        <f>IF(AND(ISBLANK(D3890),ISBLANK(C3890)),"",((VLOOKUP(D3890,Cardápio!$A$2:$C$16,3,0))*E3890)+IF(B3890="iFood",F3890*0.27,(VLOOKUP(VENDAS!C3890,Bairros!$A$2:$B$90,2,0))))</f>
        <v/>
      </c>
      <c r="J3890" s="7" t="str">
        <f t="shared" si="241"/>
        <v/>
      </c>
      <c r="K3890" s="9">
        <f t="shared" ca="1" si="242"/>
        <v>45404.878290162036</v>
      </c>
      <c r="L3890" s="10">
        <f t="shared" ca="1" si="243"/>
        <v>45404.878290046297</v>
      </c>
    </row>
    <row r="3891" spans="6:12" x14ac:dyDescent="0.25">
      <c r="F3891" s="11" t="str">
        <f>IF(ISBLANK(D3891),"",(VLOOKUP(D3891,Cardápio!$A$2:$B$16,2,0))*E3891)</f>
        <v/>
      </c>
      <c r="H3891" s="7" t="str">
        <f t="shared" si="240"/>
        <v/>
      </c>
      <c r="I3891" s="7" t="str">
        <f>IF(AND(ISBLANK(D3891),ISBLANK(C3891)),"",((VLOOKUP(D3891,Cardápio!$A$2:$C$16,3,0))*E3891)+IF(B3891="iFood",F3891*0.27,(VLOOKUP(VENDAS!C3891,Bairros!$A$2:$B$90,2,0))))</f>
        <v/>
      </c>
      <c r="J3891" s="7" t="str">
        <f t="shared" si="241"/>
        <v/>
      </c>
      <c r="K3891" s="9">
        <f t="shared" ca="1" si="242"/>
        <v>45404.878290162036</v>
      </c>
      <c r="L3891" s="10">
        <f t="shared" ca="1" si="243"/>
        <v>45404.878290162036</v>
      </c>
    </row>
    <row r="3892" spans="6:12" x14ac:dyDescent="0.25">
      <c r="F3892" s="11" t="str">
        <f>IF(ISBLANK(D3892),"",(VLOOKUP(D3892,Cardápio!$A$2:$B$16,2,0))*E3892)</f>
        <v/>
      </c>
      <c r="H3892" s="7" t="str">
        <f t="shared" si="240"/>
        <v/>
      </c>
      <c r="I3892" s="7" t="str">
        <f>IF(AND(ISBLANK(D3892),ISBLANK(C3892)),"",((VLOOKUP(D3892,Cardápio!$A$2:$C$16,3,0))*E3892)+IF(B3892="iFood",F3892*0.27,(VLOOKUP(VENDAS!C3892,Bairros!$A$2:$B$90,2,0))))</f>
        <v/>
      </c>
      <c r="J3892" s="7" t="str">
        <f t="shared" si="241"/>
        <v/>
      </c>
      <c r="K3892" s="9">
        <f t="shared" ca="1" si="242"/>
        <v>45404.878290162036</v>
      </c>
      <c r="L3892" s="10">
        <f t="shared" ca="1" si="243"/>
        <v>45404.878290046297</v>
      </c>
    </row>
    <row r="3893" spans="6:12" x14ac:dyDescent="0.25">
      <c r="F3893" s="11" t="str">
        <f>IF(ISBLANK(D3893),"",(VLOOKUP(D3893,Cardápio!$A$2:$B$16,2,0))*E3893)</f>
        <v/>
      </c>
      <c r="H3893" s="7" t="str">
        <f t="shared" ref="H3893:H3956" si="244">IF(ISBLANK(D3893),"",F3893-G3893)</f>
        <v/>
      </c>
      <c r="I3893" s="7" t="str">
        <f>IF(AND(ISBLANK(D3893),ISBLANK(C3893)),"",((VLOOKUP(D3893,Cardápio!$A$2:$C$16,3,0))*E3893)+IF(B3893="iFood",F3893*0.27,(VLOOKUP(VENDAS!C3893,Bairros!$A$2:$B$90,2,0))))</f>
        <v/>
      </c>
      <c r="J3893" s="7" t="str">
        <f t="shared" ref="J3893:J3956" si="245">IF(OR(AND(ISBLANK(H3893),ISBLANK(I3893)),(AND(H3893="",I3893=""))),"",H3893-I3893)</f>
        <v/>
      </c>
      <c r="K3893" s="9">
        <f t="shared" ref="K3893:K3956" ca="1" si="246">IF(D3893&lt;&gt;"",K3893,NOW())</f>
        <v>45404.878290277775</v>
      </c>
      <c r="L3893" s="10">
        <f t="shared" ref="L3893:L3956" ca="1" si="247">IF(D3893&lt;&gt;"",L3893,NOW())</f>
        <v>45404.878290046297</v>
      </c>
    </row>
    <row r="3894" spans="6:12" x14ac:dyDescent="0.25">
      <c r="F3894" s="11" t="str">
        <f>IF(ISBLANK(D3894),"",(VLOOKUP(D3894,Cardápio!$A$2:$B$16,2,0))*E3894)</f>
        <v/>
      </c>
      <c r="H3894" s="7" t="str">
        <f t="shared" si="244"/>
        <v/>
      </c>
      <c r="I3894" s="7" t="str">
        <f>IF(AND(ISBLANK(D3894),ISBLANK(C3894)),"",((VLOOKUP(D3894,Cardápio!$A$2:$C$16,3,0))*E3894)+IF(B3894="iFood",F3894*0.27,(VLOOKUP(VENDAS!C3894,Bairros!$A$2:$B$90,2,0))))</f>
        <v/>
      </c>
      <c r="J3894" s="7" t="str">
        <f t="shared" si="245"/>
        <v/>
      </c>
      <c r="K3894" s="9">
        <f t="shared" ca="1" si="246"/>
        <v>45404.878290162036</v>
      </c>
      <c r="L3894" s="10">
        <f t="shared" ca="1" si="247"/>
        <v>45404.878290046297</v>
      </c>
    </row>
    <row r="3895" spans="6:12" x14ac:dyDescent="0.25">
      <c r="F3895" s="11" t="str">
        <f>IF(ISBLANK(D3895),"",(VLOOKUP(D3895,Cardápio!$A$2:$B$16,2,0))*E3895)</f>
        <v/>
      </c>
      <c r="H3895" s="7" t="str">
        <f t="shared" si="244"/>
        <v/>
      </c>
      <c r="I3895" s="7" t="str">
        <f>IF(AND(ISBLANK(D3895),ISBLANK(C3895)),"",((VLOOKUP(D3895,Cardápio!$A$2:$C$16,3,0))*E3895)+IF(B3895="iFood",F3895*0.27,(VLOOKUP(VENDAS!C3895,Bairros!$A$2:$B$90,2,0))))</f>
        <v/>
      </c>
      <c r="J3895" s="7" t="str">
        <f t="shared" si="245"/>
        <v/>
      </c>
      <c r="K3895" s="9">
        <f t="shared" ca="1" si="246"/>
        <v>45404.878290162036</v>
      </c>
      <c r="L3895" s="10">
        <f t="shared" ca="1" si="247"/>
        <v>45404.878290162036</v>
      </c>
    </row>
    <row r="3896" spans="6:12" x14ac:dyDescent="0.25">
      <c r="F3896" s="11" t="str">
        <f>IF(ISBLANK(D3896),"",(VLOOKUP(D3896,Cardápio!$A$2:$B$16,2,0))*E3896)</f>
        <v/>
      </c>
      <c r="H3896" s="7" t="str">
        <f t="shared" si="244"/>
        <v/>
      </c>
      <c r="I3896" s="7" t="str">
        <f>IF(AND(ISBLANK(D3896),ISBLANK(C3896)),"",((VLOOKUP(D3896,Cardápio!$A$2:$C$16,3,0))*E3896)+IF(B3896="iFood",F3896*0.27,(VLOOKUP(VENDAS!C3896,Bairros!$A$2:$B$90,2,0))))</f>
        <v/>
      </c>
      <c r="J3896" s="7" t="str">
        <f t="shared" si="245"/>
        <v/>
      </c>
      <c r="K3896" s="9">
        <f t="shared" ca="1" si="246"/>
        <v>45404.878290162036</v>
      </c>
      <c r="L3896" s="10">
        <f t="shared" ca="1" si="247"/>
        <v>45404.878290046297</v>
      </c>
    </row>
    <row r="3897" spans="6:12" x14ac:dyDescent="0.25">
      <c r="F3897" s="11" t="str">
        <f>IF(ISBLANK(D3897),"",(VLOOKUP(D3897,Cardápio!$A$2:$B$16,2,0))*E3897)</f>
        <v/>
      </c>
      <c r="H3897" s="7" t="str">
        <f t="shared" si="244"/>
        <v/>
      </c>
      <c r="I3897" s="7" t="str">
        <f>IF(AND(ISBLANK(D3897),ISBLANK(C3897)),"",((VLOOKUP(D3897,Cardápio!$A$2:$C$16,3,0))*E3897)+IF(B3897="iFood",F3897*0.27,(VLOOKUP(VENDAS!C3897,Bairros!$A$2:$B$90,2,0))))</f>
        <v/>
      </c>
      <c r="J3897" s="7" t="str">
        <f t="shared" si="245"/>
        <v/>
      </c>
      <c r="K3897" s="9">
        <f t="shared" ca="1" si="246"/>
        <v>45404.878290277775</v>
      </c>
      <c r="L3897" s="10">
        <f t="shared" ca="1" si="247"/>
        <v>45404.878290046297</v>
      </c>
    </row>
    <row r="3898" spans="6:12" x14ac:dyDescent="0.25">
      <c r="F3898" s="11" t="str">
        <f>IF(ISBLANK(D3898),"",(VLOOKUP(D3898,Cardápio!$A$2:$B$16,2,0))*E3898)</f>
        <v/>
      </c>
      <c r="H3898" s="7" t="str">
        <f t="shared" si="244"/>
        <v/>
      </c>
      <c r="I3898" s="7" t="str">
        <f>IF(AND(ISBLANK(D3898),ISBLANK(C3898)),"",((VLOOKUP(D3898,Cardápio!$A$2:$C$16,3,0))*E3898)+IF(B3898="iFood",F3898*0.27,(VLOOKUP(VENDAS!C3898,Bairros!$A$2:$B$90,2,0))))</f>
        <v/>
      </c>
      <c r="J3898" s="7" t="str">
        <f t="shared" si="245"/>
        <v/>
      </c>
      <c r="K3898" s="9">
        <f t="shared" ca="1" si="246"/>
        <v>45404.878290162036</v>
      </c>
      <c r="L3898" s="10">
        <f t="shared" ca="1" si="247"/>
        <v>45404.878290046297</v>
      </c>
    </row>
    <row r="3899" spans="6:12" x14ac:dyDescent="0.25">
      <c r="F3899" s="11" t="str">
        <f>IF(ISBLANK(D3899),"",(VLOOKUP(D3899,Cardápio!$A$2:$B$16,2,0))*E3899)</f>
        <v/>
      </c>
      <c r="H3899" s="7" t="str">
        <f t="shared" si="244"/>
        <v/>
      </c>
      <c r="I3899" s="7" t="str">
        <f>IF(AND(ISBLANK(D3899),ISBLANK(C3899)),"",((VLOOKUP(D3899,Cardápio!$A$2:$C$16,3,0))*E3899)+IF(B3899="iFood",F3899*0.27,(VLOOKUP(VENDAS!C3899,Bairros!$A$2:$B$90,2,0))))</f>
        <v/>
      </c>
      <c r="J3899" s="7" t="str">
        <f t="shared" si="245"/>
        <v/>
      </c>
      <c r="K3899" s="9">
        <f t="shared" ca="1" si="246"/>
        <v>45404.878290162036</v>
      </c>
      <c r="L3899" s="10">
        <f t="shared" ca="1" si="247"/>
        <v>45404.878290162036</v>
      </c>
    </row>
    <row r="3900" spans="6:12" x14ac:dyDescent="0.25">
      <c r="F3900" s="11" t="str">
        <f>IF(ISBLANK(D3900),"",(VLOOKUP(D3900,Cardápio!$A$2:$B$16,2,0))*E3900)</f>
        <v/>
      </c>
      <c r="H3900" s="7" t="str">
        <f t="shared" si="244"/>
        <v/>
      </c>
      <c r="I3900" s="7" t="str">
        <f>IF(AND(ISBLANK(D3900),ISBLANK(C3900)),"",((VLOOKUP(D3900,Cardápio!$A$2:$C$16,3,0))*E3900)+IF(B3900="iFood",F3900*0.27,(VLOOKUP(VENDAS!C3900,Bairros!$A$2:$B$90,2,0))))</f>
        <v/>
      </c>
      <c r="J3900" s="7" t="str">
        <f t="shared" si="245"/>
        <v/>
      </c>
      <c r="K3900" s="9">
        <f t="shared" ca="1" si="246"/>
        <v>45404.878290162036</v>
      </c>
      <c r="L3900" s="10">
        <f t="shared" ca="1" si="247"/>
        <v>45404.878290046297</v>
      </c>
    </row>
    <row r="3901" spans="6:12" x14ac:dyDescent="0.25">
      <c r="F3901" s="11" t="str">
        <f>IF(ISBLANK(D3901),"",(VLOOKUP(D3901,Cardápio!$A$2:$B$16,2,0))*E3901)</f>
        <v/>
      </c>
      <c r="H3901" s="7" t="str">
        <f t="shared" si="244"/>
        <v/>
      </c>
      <c r="I3901" s="7" t="str">
        <f>IF(AND(ISBLANK(D3901),ISBLANK(C3901)),"",((VLOOKUP(D3901,Cardápio!$A$2:$C$16,3,0))*E3901)+IF(B3901="iFood",F3901*0.27,(VLOOKUP(VENDAS!C3901,Bairros!$A$2:$B$90,2,0))))</f>
        <v/>
      </c>
      <c r="J3901" s="7" t="str">
        <f t="shared" si="245"/>
        <v/>
      </c>
      <c r="K3901" s="9">
        <f t="shared" ca="1" si="246"/>
        <v>45404.878290277775</v>
      </c>
      <c r="L3901" s="10">
        <f t="shared" ca="1" si="247"/>
        <v>45404.878290046297</v>
      </c>
    </row>
    <row r="3902" spans="6:12" x14ac:dyDescent="0.25">
      <c r="F3902" s="11" t="str">
        <f>IF(ISBLANK(D3902),"",(VLOOKUP(D3902,Cardápio!$A$2:$B$16,2,0))*E3902)</f>
        <v/>
      </c>
      <c r="H3902" s="7" t="str">
        <f t="shared" si="244"/>
        <v/>
      </c>
      <c r="I3902" s="7" t="str">
        <f>IF(AND(ISBLANK(D3902),ISBLANK(C3902)),"",((VLOOKUP(D3902,Cardápio!$A$2:$C$16,3,0))*E3902)+IF(B3902="iFood",F3902*0.27,(VLOOKUP(VENDAS!C3902,Bairros!$A$2:$B$90,2,0))))</f>
        <v/>
      </c>
      <c r="J3902" s="7" t="str">
        <f t="shared" si="245"/>
        <v/>
      </c>
      <c r="K3902" s="9">
        <f t="shared" ca="1" si="246"/>
        <v>45404.878290162036</v>
      </c>
      <c r="L3902" s="10">
        <f t="shared" ca="1" si="247"/>
        <v>45404.878290046297</v>
      </c>
    </row>
    <row r="3903" spans="6:12" x14ac:dyDescent="0.25">
      <c r="F3903" s="11" t="str">
        <f>IF(ISBLANK(D3903),"",(VLOOKUP(D3903,Cardápio!$A$2:$B$16,2,0))*E3903)</f>
        <v/>
      </c>
      <c r="H3903" s="7" t="str">
        <f t="shared" si="244"/>
        <v/>
      </c>
      <c r="I3903" s="7" t="str">
        <f>IF(AND(ISBLANK(D3903),ISBLANK(C3903)),"",((VLOOKUP(D3903,Cardápio!$A$2:$C$16,3,0))*E3903)+IF(B3903="iFood",F3903*0.27,(VLOOKUP(VENDAS!C3903,Bairros!$A$2:$B$90,2,0))))</f>
        <v/>
      </c>
      <c r="J3903" s="7" t="str">
        <f t="shared" si="245"/>
        <v/>
      </c>
      <c r="K3903" s="9">
        <f t="shared" ca="1" si="246"/>
        <v>45404.878290162036</v>
      </c>
      <c r="L3903" s="10">
        <f t="shared" ca="1" si="247"/>
        <v>45404.878290162036</v>
      </c>
    </row>
    <row r="3904" spans="6:12" x14ac:dyDescent="0.25">
      <c r="F3904" s="11" t="str">
        <f>IF(ISBLANK(D3904),"",(VLOOKUP(D3904,Cardápio!$A$2:$B$16,2,0))*E3904)</f>
        <v/>
      </c>
      <c r="H3904" s="7" t="str">
        <f t="shared" si="244"/>
        <v/>
      </c>
      <c r="I3904" s="7" t="str">
        <f>IF(AND(ISBLANK(D3904),ISBLANK(C3904)),"",((VLOOKUP(D3904,Cardápio!$A$2:$C$16,3,0))*E3904)+IF(B3904="iFood",F3904*0.27,(VLOOKUP(VENDAS!C3904,Bairros!$A$2:$B$90,2,0))))</f>
        <v/>
      </c>
      <c r="J3904" s="7" t="str">
        <f t="shared" si="245"/>
        <v/>
      </c>
      <c r="K3904" s="9">
        <f t="shared" ca="1" si="246"/>
        <v>45404.878290162036</v>
      </c>
      <c r="L3904" s="10">
        <f t="shared" ca="1" si="247"/>
        <v>45404.878290046297</v>
      </c>
    </row>
    <row r="3905" spans="6:12" x14ac:dyDescent="0.25">
      <c r="F3905" s="11" t="str">
        <f>IF(ISBLANK(D3905),"",(VLOOKUP(D3905,Cardápio!$A$2:$B$16,2,0))*E3905)</f>
        <v/>
      </c>
      <c r="H3905" s="7" t="str">
        <f t="shared" si="244"/>
        <v/>
      </c>
      <c r="I3905" s="7" t="str">
        <f>IF(AND(ISBLANK(D3905),ISBLANK(C3905)),"",((VLOOKUP(D3905,Cardápio!$A$2:$C$16,3,0))*E3905)+IF(B3905="iFood",F3905*0.27,(VLOOKUP(VENDAS!C3905,Bairros!$A$2:$B$90,2,0))))</f>
        <v/>
      </c>
      <c r="J3905" s="7" t="str">
        <f t="shared" si="245"/>
        <v/>
      </c>
      <c r="K3905" s="9">
        <f t="shared" ca="1" si="246"/>
        <v>45404.878290277775</v>
      </c>
      <c r="L3905" s="10">
        <f t="shared" ca="1" si="247"/>
        <v>45404.878290046297</v>
      </c>
    </row>
    <row r="3906" spans="6:12" x14ac:dyDescent="0.25">
      <c r="F3906" s="11" t="str">
        <f>IF(ISBLANK(D3906),"",(VLOOKUP(D3906,Cardápio!$A$2:$B$16,2,0))*E3906)</f>
        <v/>
      </c>
      <c r="H3906" s="7" t="str">
        <f t="shared" si="244"/>
        <v/>
      </c>
      <c r="I3906" s="7" t="str">
        <f>IF(AND(ISBLANK(D3906),ISBLANK(C3906)),"",((VLOOKUP(D3906,Cardápio!$A$2:$C$16,3,0))*E3906)+IF(B3906="iFood",F3906*0.27,(VLOOKUP(VENDAS!C3906,Bairros!$A$2:$B$90,2,0))))</f>
        <v/>
      </c>
      <c r="J3906" s="7" t="str">
        <f t="shared" si="245"/>
        <v/>
      </c>
      <c r="K3906" s="9">
        <f t="shared" ca="1" si="246"/>
        <v>45404.878290162036</v>
      </c>
      <c r="L3906" s="10">
        <f t="shared" ca="1" si="247"/>
        <v>45404.878290046297</v>
      </c>
    </row>
    <row r="3907" spans="6:12" x14ac:dyDescent="0.25">
      <c r="F3907" s="11" t="str">
        <f>IF(ISBLANK(D3907),"",(VLOOKUP(D3907,Cardápio!$A$2:$B$16,2,0))*E3907)</f>
        <v/>
      </c>
      <c r="H3907" s="7" t="str">
        <f t="shared" si="244"/>
        <v/>
      </c>
      <c r="I3907" s="7" t="str">
        <f>IF(AND(ISBLANK(D3907),ISBLANK(C3907)),"",((VLOOKUP(D3907,Cardápio!$A$2:$C$16,3,0))*E3907)+IF(B3907="iFood",F3907*0.27,(VLOOKUP(VENDAS!C3907,Bairros!$A$2:$B$90,2,0))))</f>
        <v/>
      </c>
      <c r="J3907" s="7" t="str">
        <f t="shared" si="245"/>
        <v/>
      </c>
      <c r="K3907" s="9">
        <f t="shared" ca="1" si="246"/>
        <v>45404.878290162036</v>
      </c>
      <c r="L3907" s="10">
        <f t="shared" ca="1" si="247"/>
        <v>45404.878290162036</v>
      </c>
    </row>
    <row r="3908" spans="6:12" x14ac:dyDescent="0.25">
      <c r="F3908" s="11" t="str">
        <f>IF(ISBLANK(D3908),"",(VLOOKUP(D3908,Cardápio!$A$2:$B$16,2,0))*E3908)</f>
        <v/>
      </c>
      <c r="H3908" s="7" t="str">
        <f t="shared" si="244"/>
        <v/>
      </c>
      <c r="I3908" s="7" t="str">
        <f>IF(AND(ISBLANK(D3908),ISBLANK(C3908)),"",((VLOOKUP(D3908,Cardápio!$A$2:$C$16,3,0))*E3908)+IF(B3908="iFood",F3908*0.27,(VLOOKUP(VENDAS!C3908,Bairros!$A$2:$B$90,2,0))))</f>
        <v/>
      </c>
      <c r="J3908" s="7" t="str">
        <f t="shared" si="245"/>
        <v/>
      </c>
      <c r="K3908" s="9">
        <f t="shared" ca="1" si="246"/>
        <v>45404.878290162036</v>
      </c>
      <c r="L3908" s="10">
        <f t="shared" ca="1" si="247"/>
        <v>45404.878290046297</v>
      </c>
    </row>
    <row r="3909" spans="6:12" x14ac:dyDescent="0.25">
      <c r="F3909" s="11" t="str">
        <f>IF(ISBLANK(D3909),"",(VLOOKUP(D3909,Cardápio!$A$2:$B$16,2,0))*E3909)</f>
        <v/>
      </c>
      <c r="H3909" s="7" t="str">
        <f t="shared" si="244"/>
        <v/>
      </c>
      <c r="I3909" s="7" t="str">
        <f>IF(AND(ISBLANK(D3909),ISBLANK(C3909)),"",((VLOOKUP(D3909,Cardápio!$A$2:$C$16,3,0))*E3909)+IF(B3909="iFood",F3909*0.27,(VLOOKUP(VENDAS!C3909,Bairros!$A$2:$B$90,2,0))))</f>
        <v/>
      </c>
      <c r="J3909" s="7" t="str">
        <f t="shared" si="245"/>
        <v/>
      </c>
      <c r="K3909" s="9">
        <f t="shared" ca="1" si="246"/>
        <v>45404.878290277775</v>
      </c>
      <c r="L3909" s="10">
        <f t="shared" ca="1" si="247"/>
        <v>45404.878290046297</v>
      </c>
    </row>
    <row r="3910" spans="6:12" x14ac:dyDescent="0.25">
      <c r="F3910" s="11" t="str">
        <f>IF(ISBLANK(D3910),"",(VLOOKUP(D3910,Cardápio!$A$2:$B$16,2,0))*E3910)</f>
        <v/>
      </c>
      <c r="H3910" s="7" t="str">
        <f t="shared" si="244"/>
        <v/>
      </c>
      <c r="I3910" s="7" t="str">
        <f>IF(AND(ISBLANK(D3910),ISBLANK(C3910)),"",((VLOOKUP(D3910,Cardápio!$A$2:$C$16,3,0))*E3910)+IF(B3910="iFood",F3910*0.27,(VLOOKUP(VENDAS!C3910,Bairros!$A$2:$B$90,2,0))))</f>
        <v/>
      </c>
      <c r="J3910" s="7" t="str">
        <f t="shared" si="245"/>
        <v/>
      </c>
      <c r="K3910" s="9">
        <f t="shared" ca="1" si="246"/>
        <v>45404.878290162036</v>
      </c>
      <c r="L3910" s="10">
        <f t="shared" ca="1" si="247"/>
        <v>45404.878290046297</v>
      </c>
    </row>
    <row r="3911" spans="6:12" x14ac:dyDescent="0.25">
      <c r="F3911" s="11" t="str">
        <f>IF(ISBLANK(D3911),"",(VLOOKUP(D3911,Cardápio!$A$2:$B$16,2,0))*E3911)</f>
        <v/>
      </c>
      <c r="H3911" s="7" t="str">
        <f t="shared" si="244"/>
        <v/>
      </c>
      <c r="I3911" s="7" t="str">
        <f>IF(AND(ISBLANK(D3911),ISBLANK(C3911)),"",((VLOOKUP(D3911,Cardápio!$A$2:$C$16,3,0))*E3911)+IF(B3911="iFood",F3911*0.27,(VLOOKUP(VENDAS!C3911,Bairros!$A$2:$B$90,2,0))))</f>
        <v/>
      </c>
      <c r="J3911" s="7" t="str">
        <f t="shared" si="245"/>
        <v/>
      </c>
      <c r="K3911" s="9">
        <f t="shared" ca="1" si="246"/>
        <v>45404.878290162036</v>
      </c>
      <c r="L3911" s="10">
        <f t="shared" ca="1" si="247"/>
        <v>45404.878290162036</v>
      </c>
    </row>
    <row r="3912" spans="6:12" x14ac:dyDescent="0.25">
      <c r="F3912" s="11" t="str">
        <f>IF(ISBLANK(D3912),"",(VLOOKUP(D3912,Cardápio!$A$2:$B$16,2,0))*E3912)</f>
        <v/>
      </c>
      <c r="H3912" s="7" t="str">
        <f t="shared" si="244"/>
        <v/>
      </c>
      <c r="I3912" s="7" t="str">
        <f>IF(AND(ISBLANK(D3912),ISBLANK(C3912)),"",((VLOOKUP(D3912,Cardápio!$A$2:$C$16,3,0))*E3912)+IF(B3912="iFood",F3912*0.27,(VLOOKUP(VENDAS!C3912,Bairros!$A$2:$B$90,2,0))))</f>
        <v/>
      </c>
      <c r="J3912" s="7" t="str">
        <f t="shared" si="245"/>
        <v/>
      </c>
      <c r="K3912" s="9">
        <f t="shared" ca="1" si="246"/>
        <v>45404.878290162036</v>
      </c>
      <c r="L3912" s="10">
        <f t="shared" ca="1" si="247"/>
        <v>45404.878290046297</v>
      </c>
    </row>
    <row r="3913" spans="6:12" x14ac:dyDescent="0.25">
      <c r="F3913" s="11" t="str">
        <f>IF(ISBLANK(D3913),"",(VLOOKUP(D3913,Cardápio!$A$2:$B$16,2,0))*E3913)</f>
        <v/>
      </c>
      <c r="H3913" s="7" t="str">
        <f t="shared" si="244"/>
        <v/>
      </c>
      <c r="I3913" s="7" t="str">
        <f>IF(AND(ISBLANK(D3913),ISBLANK(C3913)),"",((VLOOKUP(D3913,Cardápio!$A$2:$C$16,3,0))*E3913)+IF(B3913="iFood",F3913*0.27,(VLOOKUP(VENDAS!C3913,Bairros!$A$2:$B$90,2,0))))</f>
        <v/>
      </c>
      <c r="J3913" s="7" t="str">
        <f t="shared" si="245"/>
        <v/>
      </c>
      <c r="K3913" s="9">
        <f t="shared" ca="1" si="246"/>
        <v>45404.878290277775</v>
      </c>
      <c r="L3913" s="10">
        <f t="shared" ca="1" si="247"/>
        <v>45404.878290046297</v>
      </c>
    </row>
    <row r="3914" spans="6:12" x14ac:dyDescent="0.25">
      <c r="F3914" s="11" t="str">
        <f>IF(ISBLANK(D3914),"",(VLOOKUP(D3914,Cardápio!$A$2:$B$16,2,0))*E3914)</f>
        <v/>
      </c>
      <c r="H3914" s="7" t="str">
        <f t="shared" si="244"/>
        <v/>
      </c>
      <c r="I3914" s="7" t="str">
        <f>IF(AND(ISBLANK(D3914),ISBLANK(C3914)),"",((VLOOKUP(D3914,Cardápio!$A$2:$C$16,3,0))*E3914)+IF(B3914="iFood",F3914*0.27,(VLOOKUP(VENDAS!C3914,Bairros!$A$2:$B$90,2,0))))</f>
        <v/>
      </c>
      <c r="J3914" s="7" t="str">
        <f t="shared" si="245"/>
        <v/>
      </c>
      <c r="K3914" s="9">
        <f t="shared" ca="1" si="246"/>
        <v>45404.878290162036</v>
      </c>
      <c r="L3914" s="10">
        <f t="shared" ca="1" si="247"/>
        <v>45404.878290046297</v>
      </c>
    </row>
    <row r="3915" spans="6:12" x14ac:dyDescent="0.25">
      <c r="F3915" s="11" t="str">
        <f>IF(ISBLANK(D3915),"",(VLOOKUP(D3915,Cardápio!$A$2:$B$16,2,0))*E3915)</f>
        <v/>
      </c>
      <c r="H3915" s="7" t="str">
        <f t="shared" si="244"/>
        <v/>
      </c>
      <c r="I3915" s="7" t="str">
        <f>IF(AND(ISBLANK(D3915),ISBLANK(C3915)),"",((VLOOKUP(D3915,Cardápio!$A$2:$C$16,3,0))*E3915)+IF(B3915="iFood",F3915*0.27,(VLOOKUP(VENDAS!C3915,Bairros!$A$2:$B$90,2,0))))</f>
        <v/>
      </c>
      <c r="J3915" s="7" t="str">
        <f t="shared" si="245"/>
        <v/>
      </c>
      <c r="K3915" s="9">
        <f t="shared" ca="1" si="246"/>
        <v>45404.878290162036</v>
      </c>
      <c r="L3915" s="10">
        <f t="shared" ca="1" si="247"/>
        <v>45404.878290162036</v>
      </c>
    </row>
    <row r="3916" spans="6:12" x14ac:dyDescent="0.25">
      <c r="F3916" s="11" t="str">
        <f>IF(ISBLANK(D3916),"",(VLOOKUP(D3916,Cardápio!$A$2:$B$16,2,0))*E3916)</f>
        <v/>
      </c>
      <c r="H3916" s="7" t="str">
        <f t="shared" si="244"/>
        <v/>
      </c>
      <c r="I3916" s="7" t="str">
        <f>IF(AND(ISBLANK(D3916),ISBLANK(C3916)),"",((VLOOKUP(D3916,Cardápio!$A$2:$C$16,3,0))*E3916)+IF(B3916="iFood",F3916*0.27,(VLOOKUP(VENDAS!C3916,Bairros!$A$2:$B$90,2,0))))</f>
        <v/>
      </c>
      <c r="J3916" s="7" t="str">
        <f t="shared" si="245"/>
        <v/>
      </c>
      <c r="K3916" s="9">
        <f t="shared" ca="1" si="246"/>
        <v>45404.878290162036</v>
      </c>
      <c r="L3916" s="10">
        <f t="shared" ca="1" si="247"/>
        <v>45404.878290046297</v>
      </c>
    </row>
    <row r="3917" spans="6:12" x14ac:dyDescent="0.25">
      <c r="F3917" s="11" t="str">
        <f>IF(ISBLANK(D3917),"",(VLOOKUP(D3917,Cardápio!$A$2:$B$16,2,0))*E3917)</f>
        <v/>
      </c>
      <c r="H3917" s="7" t="str">
        <f t="shared" si="244"/>
        <v/>
      </c>
      <c r="I3917" s="7" t="str">
        <f>IF(AND(ISBLANK(D3917),ISBLANK(C3917)),"",((VLOOKUP(D3917,Cardápio!$A$2:$C$16,3,0))*E3917)+IF(B3917="iFood",F3917*0.27,(VLOOKUP(VENDAS!C3917,Bairros!$A$2:$B$90,2,0))))</f>
        <v/>
      </c>
      <c r="J3917" s="7" t="str">
        <f t="shared" si="245"/>
        <v/>
      </c>
      <c r="K3917" s="9">
        <f t="shared" ca="1" si="246"/>
        <v>45404.878290277775</v>
      </c>
      <c r="L3917" s="10">
        <f t="shared" ca="1" si="247"/>
        <v>45404.878290046297</v>
      </c>
    </row>
    <row r="3918" spans="6:12" x14ac:dyDescent="0.25">
      <c r="F3918" s="11" t="str">
        <f>IF(ISBLANK(D3918),"",(VLOOKUP(D3918,Cardápio!$A$2:$B$16,2,0))*E3918)</f>
        <v/>
      </c>
      <c r="H3918" s="7" t="str">
        <f t="shared" si="244"/>
        <v/>
      </c>
      <c r="I3918" s="7" t="str">
        <f>IF(AND(ISBLANK(D3918),ISBLANK(C3918)),"",((VLOOKUP(D3918,Cardápio!$A$2:$C$16,3,0))*E3918)+IF(B3918="iFood",F3918*0.27,(VLOOKUP(VENDAS!C3918,Bairros!$A$2:$B$90,2,0))))</f>
        <v/>
      </c>
      <c r="J3918" s="7" t="str">
        <f t="shared" si="245"/>
        <v/>
      </c>
      <c r="K3918" s="9">
        <f t="shared" ca="1" si="246"/>
        <v>45404.878290162036</v>
      </c>
      <c r="L3918" s="10">
        <f t="shared" ca="1" si="247"/>
        <v>45404.878290046297</v>
      </c>
    </row>
    <row r="3919" spans="6:12" x14ac:dyDescent="0.25">
      <c r="F3919" s="11" t="str">
        <f>IF(ISBLANK(D3919),"",(VLOOKUP(D3919,Cardápio!$A$2:$B$16,2,0))*E3919)</f>
        <v/>
      </c>
      <c r="H3919" s="7" t="str">
        <f t="shared" si="244"/>
        <v/>
      </c>
      <c r="I3919" s="7" t="str">
        <f>IF(AND(ISBLANK(D3919),ISBLANK(C3919)),"",((VLOOKUP(D3919,Cardápio!$A$2:$C$16,3,0))*E3919)+IF(B3919="iFood",F3919*0.27,(VLOOKUP(VENDAS!C3919,Bairros!$A$2:$B$90,2,0))))</f>
        <v/>
      </c>
      <c r="J3919" s="7" t="str">
        <f t="shared" si="245"/>
        <v/>
      </c>
      <c r="K3919" s="9">
        <f t="shared" ca="1" si="246"/>
        <v>45404.878290162036</v>
      </c>
      <c r="L3919" s="10">
        <f t="shared" ca="1" si="247"/>
        <v>45404.878290162036</v>
      </c>
    </row>
    <row r="3920" spans="6:12" x14ac:dyDescent="0.25">
      <c r="F3920" s="11" t="str">
        <f>IF(ISBLANK(D3920),"",(VLOOKUP(D3920,Cardápio!$A$2:$B$16,2,0))*E3920)</f>
        <v/>
      </c>
      <c r="H3920" s="7" t="str">
        <f t="shared" si="244"/>
        <v/>
      </c>
      <c r="I3920" s="7" t="str">
        <f>IF(AND(ISBLANK(D3920),ISBLANK(C3920)),"",((VLOOKUP(D3920,Cardápio!$A$2:$C$16,3,0))*E3920)+IF(B3920="iFood",F3920*0.27,(VLOOKUP(VENDAS!C3920,Bairros!$A$2:$B$90,2,0))))</f>
        <v/>
      </c>
      <c r="J3920" s="7" t="str">
        <f t="shared" si="245"/>
        <v/>
      </c>
      <c r="K3920" s="9">
        <f t="shared" ca="1" si="246"/>
        <v>45404.878290162036</v>
      </c>
      <c r="L3920" s="10">
        <f t="shared" ca="1" si="247"/>
        <v>45404.878290046297</v>
      </c>
    </row>
    <row r="3921" spans="6:12" x14ac:dyDescent="0.25">
      <c r="F3921" s="11" t="str">
        <f>IF(ISBLANK(D3921),"",(VLOOKUP(D3921,Cardápio!$A$2:$B$16,2,0))*E3921)</f>
        <v/>
      </c>
      <c r="H3921" s="7" t="str">
        <f t="shared" si="244"/>
        <v/>
      </c>
      <c r="I3921" s="7" t="str">
        <f>IF(AND(ISBLANK(D3921),ISBLANK(C3921)),"",((VLOOKUP(D3921,Cardápio!$A$2:$C$16,3,0))*E3921)+IF(B3921="iFood",F3921*0.27,(VLOOKUP(VENDAS!C3921,Bairros!$A$2:$B$90,2,0))))</f>
        <v/>
      </c>
      <c r="J3921" s="7" t="str">
        <f t="shared" si="245"/>
        <v/>
      </c>
      <c r="K3921" s="9">
        <f t="shared" ca="1" si="246"/>
        <v>45404.878290277775</v>
      </c>
      <c r="L3921" s="10">
        <f t="shared" ca="1" si="247"/>
        <v>45404.878290046297</v>
      </c>
    </row>
    <row r="3922" spans="6:12" x14ac:dyDescent="0.25">
      <c r="F3922" s="11" t="str">
        <f>IF(ISBLANK(D3922),"",(VLOOKUP(D3922,Cardápio!$A$2:$B$16,2,0))*E3922)</f>
        <v/>
      </c>
      <c r="H3922" s="7" t="str">
        <f t="shared" si="244"/>
        <v/>
      </c>
      <c r="I3922" s="7" t="str">
        <f>IF(AND(ISBLANK(D3922),ISBLANK(C3922)),"",((VLOOKUP(D3922,Cardápio!$A$2:$C$16,3,0))*E3922)+IF(B3922="iFood",F3922*0.27,(VLOOKUP(VENDAS!C3922,Bairros!$A$2:$B$90,2,0))))</f>
        <v/>
      </c>
      <c r="J3922" s="7" t="str">
        <f t="shared" si="245"/>
        <v/>
      </c>
      <c r="K3922" s="9">
        <f t="shared" ca="1" si="246"/>
        <v>45404.878290162036</v>
      </c>
      <c r="L3922" s="10">
        <f t="shared" ca="1" si="247"/>
        <v>45404.878290046297</v>
      </c>
    </row>
    <row r="3923" spans="6:12" x14ac:dyDescent="0.25">
      <c r="F3923" s="11" t="str">
        <f>IF(ISBLANK(D3923),"",(VLOOKUP(D3923,Cardápio!$A$2:$B$16,2,0))*E3923)</f>
        <v/>
      </c>
      <c r="H3923" s="7" t="str">
        <f t="shared" si="244"/>
        <v/>
      </c>
      <c r="I3923" s="7" t="str">
        <f>IF(AND(ISBLANK(D3923),ISBLANK(C3923)),"",((VLOOKUP(D3923,Cardápio!$A$2:$C$16,3,0))*E3923)+IF(B3923="iFood",F3923*0.27,(VLOOKUP(VENDAS!C3923,Bairros!$A$2:$B$90,2,0))))</f>
        <v/>
      </c>
      <c r="J3923" s="7" t="str">
        <f t="shared" si="245"/>
        <v/>
      </c>
      <c r="K3923" s="9">
        <f t="shared" ca="1" si="246"/>
        <v>45404.878290162036</v>
      </c>
      <c r="L3923" s="10">
        <f t="shared" ca="1" si="247"/>
        <v>45404.878290162036</v>
      </c>
    </row>
    <row r="3924" spans="6:12" x14ac:dyDescent="0.25">
      <c r="F3924" s="11" t="str">
        <f>IF(ISBLANK(D3924),"",(VLOOKUP(D3924,Cardápio!$A$2:$B$16,2,0))*E3924)</f>
        <v/>
      </c>
      <c r="H3924" s="7" t="str">
        <f t="shared" si="244"/>
        <v/>
      </c>
      <c r="I3924" s="7" t="str">
        <f>IF(AND(ISBLANK(D3924),ISBLANK(C3924)),"",((VLOOKUP(D3924,Cardápio!$A$2:$C$16,3,0))*E3924)+IF(B3924="iFood",F3924*0.27,(VLOOKUP(VENDAS!C3924,Bairros!$A$2:$B$90,2,0))))</f>
        <v/>
      </c>
      <c r="J3924" s="7" t="str">
        <f t="shared" si="245"/>
        <v/>
      </c>
      <c r="K3924" s="9">
        <f t="shared" ca="1" si="246"/>
        <v>45404.878290162036</v>
      </c>
      <c r="L3924" s="10">
        <f t="shared" ca="1" si="247"/>
        <v>45404.878290046297</v>
      </c>
    </row>
    <row r="3925" spans="6:12" x14ac:dyDescent="0.25">
      <c r="F3925" s="11" t="str">
        <f>IF(ISBLANK(D3925),"",(VLOOKUP(D3925,Cardápio!$A$2:$B$16,2,0))*E3925)</f>
        <v/>
      </c>
      <c r="H3925" s="7" t="str">
        <f t="shared" si="244"/>
        <v/>
      </c>
      <c r="I3925" s="7" t="str">
        <f>IF(AND(ISBLANK(D3925),ISBLANK(C3925)),"",((VLOOKUP(D3925,Cardápio!$A$2:$C$16,3,0))*E3925)+IF(B3925="iFood",F3925*0.27,(VLOOKUP(VENDAS!C3925,Bairros!$A$2:$B$90,2,0))))</f>
        <v/>
      </c>
      <c r="J3925" s="7" t="str">
        <f t="shared" si="245"/>
        <v/>
      </c>
      <c r="K3925" s="9">
        <f t="shared" ca="1" si="246"/>
        <v>45404.878290277775</v>
      </c>
      <c r="L3925" s="10">
        <f t="shared" ca="1" si="247"/>
        <v>45404.878290046297</v>
      </c>
    </row>
    <row r="3926" spans="6:12" x14ac:dyDescent="0.25">
      <c r="F3926" s="11" t="str">
        <f>IF(ISBLANK(D3926),"",(VLOOKUP(D3926,Cardápio!$A$2:$B$16,2,0))*E3926)</f>
        <v/>
      </c>
      <c r="H3926" s="7" t="str">
        <f t="shared" si="244"/>
        <v/>
      </c>
      <c r="I3926" s="7" t="str">
        <f>IF(AND(ISBLANK(D3926),ISBLANK(C3926)),"",((VLOOKUP(D3926,Cardápio!$A$2:$C$16,3,0))*E3926)+IF(B3926="iFood",F3926*0.27,(VLOOKUP(VENDAS!C3926,Bairros!$A$2:$B$90,2,0))))</f>
        <v/>
      </c>
      <c r="J3926" s="7" t="str">
        <f t="shared" si="245"/>
        <v/>
      </c>
      <c r="K3926" s="9">
        <f t="shared" ca="1" si="246"/>
        <v>45404.878290162036</v>
      </c>
      <c r="L3926" s="10">
        <f t="shared" ca="1" si="247"/>
        <v>45404.878290046297</v>
      </c>
    </row>
    <row r="3927" spans="6:12" x14ac:dyDescent="0.25">
      <c r="F3927" s="11" t="str">
        <f>IF(ISBLANK(D3927),"",(VLOOKUP(D3927,Cardápio!$A$2:$B$16,2,0))*E3927)</f>
        <v/>
      </c>
      <c r="H3927" s="7" t="str">
        <f t="shared" si="244"/>
        <v/>
      </c>
      <c r="I3927" s="7" t="str">
        <f>IF(AND(ISBLANK(D3927),ISBLANK(C3927)),"",((VLOOKUP(D3927,Cardápio!$A$2:$C$16,3,0))*E3927)+IF(B3927="iFood",F3927*0.27,(VLOOKUP(VENDAS!C3927,Bairros!$A$2:$B$90,2,0))))</f>
        <v/>
      </c>
      <c r="J3927" s="7" t="str">
        <f t="shared" si="245"/>
        <v/>
      </c>
      <c r="K3927" s="9">
        <f t="shared" ca="1" si="246"/>
        <v>45404.878290162036</v>
      </c>
      <c r="L3927" s="10">
        <f t="shared" ca="1" si="247"/>
        <v>45404.878290162036</v>
      </c>
    </row>
    <row r="3928" spans="6:12" x14ac:dyDescent="0.25">
      <c r="F3928" s="11" t="str">
        <f>IF(ISBLANK(D3928),"",(VLOOKUP(D3928,Cardápio!$A$2:$B$16,2,0))*E3928)</f>
        <v/>
      </c>
      <c r="H3928" s="7" t="str">
        <f t="shared" si="244"/>
        <v/>
      </c>
      <c r="I3928" s="7" t="str">
        <f>IF(AND(ISBLANK(D3928),ISBLANK(C3928)),"",((VLOOKUP(D3928,Cardápio!$A$2:$C$16,3,0))*E3928)+IF(B3928="iFood",F3928*0.27,(VLOOKUP(VENDAS!C3928,Bairros!$A$2:$B$90,2,0))))</f>
        <v/>
      </c>
      <c r="J3928" s="7" t="str">
        <f t="shared" si="245"/>
        <v/>
      </c>
      <c r="K3928" s="9">
        <f t="shared" ca="1" si="246"/>
        <v>45404.878290162036</v>
      </c>
      <c r="L3928" s="10">
        <f t="shared" ca="1" si="247"/>
        <v>45404.878290046297</v>
      </c>
    </row>
    <row r="3929" spans="6:12" x14ac:dyDescent="0.25">
      <c r="F3929" s="11" t="str">
        <f>IF(ISBLANK(D3929),"",(VLOOKUP(D3929,Cardápio!$A$2:$B$16,2,0))*E3929)</f>
        <v/>
      </c>
      <c r="H3929" s="7" t="str">
        <f t="shared" si="244"/>
        <v/>
      </c>
      <c r="I3929" s="7" t="str">
        <f>IF(AND(ISBLANK(D3929),ISBLANK(C3929)),"",((VLOOKUP(D3929,Cardápio!$A$2:$C$16,3,0))*E3929)+IF(B3929="iFood",F3929*0.27,(VLOOKUP(VENDAS!C3929,Bairros!$A$2:$B$90,2,0))))</f>
        <v/>
      </c>
      <c r="J3929" s="7" t="str">
        <f t="shared" si="245"/>
        <v/>
      </c>
      <c r="K3929" s="9">
        <f t="shared" ca="1" si="246"/>
        <v>45404.878290277775</v>
      </c>
      <c r="L3929" s="10">
        <f t="shared" ca="1" si="247"/>
        <v>45404.878290046297</v>
      </c>
    </row>
    <row r="3930" spans="6:12" x14ac:dyDescent="0.25">
      <c r="F3930" s="11" t="str">
        <f>IF(ISBLANK(D3930),"",(VLOOKUP(D3930,Cardápio!$A$2:$B$16,2,0))*E3930)</f>
        <v/>
      </c>
      <c r="H3930" s="7" t="str">
        <f t="shared" si="244"/>
        <v/>
      </c>
      <c r="I3930" s="7" t="str">
        <f>IF(AND(ISBLANK(D3930),ISBLANK(C3930)),"",((VLOOKUP(D3930,Cardápio!$A$2:$C$16,3,0))*E3930)+IF(B3930="iFood",F3930*0.27,(VLOOKUP(VENDAS!C3930,Bairros!$A$2:$B$90,2,0))))</f>
        <v/>
      </c>
      <c r="J3930" s="7" t="str">
        <f t="shared" si="245"/>
        <v/>
      </c>
      <c r="K3930" s="9">
        <f t="shared" ca="1" si="246"/>
        <v>45404.878290162036</v>
      </c>
      <c r="L3930" s="10">
        <f t="shared" ca="1" si="247"/>
        <v>45404.878290046297</v>
      </c>
    </row>
    <row r="3931" spans="6:12" x14ac:dyDescent="0.25">
      <c r="F3931" s="11" t="str">
        <f>IF(ISBLANK(D3931),"",(VLOOKUP(D3931,Cardápio!$A$2:$B$16,2,0))*E3931)</f>
        <v/>
      </c>
      <c r="H3931" s="7" t="str">
        <f t="shared" si="244"/>
        <v/>
      </c>
      <c r="I3931" s="7" t="str">
        <f>IF(AND(ISBLANK(D3931),ISBLANK(C3931)),"",((VLOOKUP(D3931,Cardápio!$A$2:$C$16,3,0))*E3931)+IF(B3931="iFood",F3931*0.27,(VLOOKUP(VENDAS!C3931,Bairros!$A$2:$B$90,2,0))))</f>
        <v/>
      </c>
      <c r="J3931" s="7" t="str">
        <f t="shared" si="245"/>
        <v/>
      </c>
      <c r="K3931" s="9">
        <f t="shared" ca="1" si="246"/>
        <v>45404.878290162036</v>
      </c>
      <c r="L3931" s="10">
        <f t="shared" ca="1" si="247"/>
        <v>45404.878290162036</v>
      </c>
    </row>
    <row r="3932" spans="6:12" x14ac:dyDescent="0.25">
      <c r="F3932" s="11" t="str">
        <f>IF(ISBLANK(D3932),"",(VLOOKUP(D3932,Cardápio!$A$2:$B$16,2,0))*E3932)</f>
        <v/>
      </c>
      <c r="H3932" s="7" t="str">
        <f t="shared" si="244"/>
        <v/>
      </c>
      <c r="I3932" s="7" t="str">
        <f>IF(AND(ISBLANK(D3932),ISBLANK(C3932)),"",((VLOOKUP(D3932,Cardápio!$A$2:$C$16,3,0))*E3932)+IF(B3932="iFood",F3932*0.27,(VLOOKUP(VENDAS!C3932,Bairros!$A$2:$B$90,2,0))))</f>
        <v/>
      </c>
      <c r="J3932" s="7" t="str">
        <f t="shared" si="245"/>
        <v/>
      </c>
      <c r="K3932" s="9">
        <f t="shared" ca="1" si="246"/>
        <v>45404.878290162036</v>
      </c>
      <c r="L3932" s="10">
        <f t="shared" ca="1" si="247"/>
        <v>45404.878290046297</v>
      </c>
    </row>
    <row r="3933" spans="6:12" x14ac:dyDescent="0.25">
      <c r="F3933" s="11" t="str">
        <f>IF(ISBLANK(D3933),"",(VLOOKUP(D3933,Cardápio!$A$2:$B$16,2,0))*E3933)</f>
        <v/>
      </c>
      <c r="H3933" s="7" t="str">
        <f t="shared" si="244"/>
        <v/>
      </c>
      <c r="I3933" s="7" t="str">
        <f>IF(AND(ISBLANK(D3933),ISBLANK(C3933)),"",((VLOOKUP(D3933,Cardápio!$A$2:$C$16,3,0))*E3933)+IF(B3933="iFood",F3933*0.27,(VLOOKUP(VENDAS!C3933,Bairros!$A$2:$B$90,2,0))))</f>
        <v/>
      </c>
      <c r="J3933" s="7" t="str">
        <f t="shared" si="245"/>
        <v/>
      </c>
      <c r="K3933" s="9">
        <f t="shared" ca="1" si="246"/>
        <v>45404.878290277775</v>
      </c>
      <c r="L3933" s="10">
        <f t="shared" ca="1" si="247"/>
        <v>45404.878290046297</v>
      </c>
    </row>
    <row r="3934" spans="6:12" x14ac:dyDescent="0.25">
      <c r="F3934" s="11" t="str">
        <f>IF(ISBLANK(D3934),"",(VLOOKUP(D3934,Cardápio!$A$2:$B$16,2,0))*E3934)</f>
        <v/>
      </c>
      <c r="H3934" s="7" t="str">
        <f t="shared" si="244"/>
        <v/>
      </c>
      <c r="I3934" s="7" t="str">
        <f>IF(AND(ISBLANK(D3934),ISBLANK(C3934)),"",((VLOOKUP(D3934,Cardápio!$A$2:$C$16,3,0))*E3934)+IF(B3934="iFood",F3934*0.27,(VLOOKUP(VENDAS!C3934,Bairros!$A$2:$B$90,2,0))))</f>
        <v/>
      </c>
      <c r="J3934" s="7" t="str">
        <f t="shared" si="245"/>
        <v/>
      </c>
      <c r="K3934" s="9">
        <f t="shared" ca="1" si="246"/>
        <v>45404.878290162036</v>
      </c>
      <c r="L3934" s="10">
        <f t="shared" ca="1" si="247"/>
        <v>45404.878290046297</v>
      </c>
    </row>
    <row r="3935" spans="6:12" x14ac:dyDescent="0.25">
      <c r="F3935" s="11" t="str">
        <f>IF(ISBLANK(D3935),"",(VLOOKUP(D3935,Cardápio!$A$2:$B$16,2,0))*E3935)</f>
        <v/>
      </c>
      <c r="H3935" s="7" t="str">
        <f t="shared" si="244"/>
        <v/>
      </c>
      <c r="I3935" s="7" t="str">
        <f>IF(AND(ISBLANK(D3935),ISBLANK(C3935)),"",((VLOOKUP(D3935,Cardápio!$A$2:$C$16,3,0))*E3935)+IF(B3935="iFood",F3935*0.27,(VLOOKUP(VENDAS!C3935,Bairros!$A$2:$B$90,2,0))))</f>
        <v/>
      </c>
      <c r="J3935" s="7" t="str">
        <f t="shared" si="245"/>
        <v/>
      </c>
      <c r="K3935" s="9">
        <f t="shared" ca="1" si="246"/>
        <v>45404.878290162036</v>
      </c>
      <c r="L3935" s="10">
        <f t="shared" ca="1" si="247"/>
        <v>45404.878290162036</v>
      </c>
    </row>
    <row r="3936" spans="6:12" x14ac:dyDescent="0.25">
      <c r="F3936" s="11" t="str">
        <f>IF(ISBLANK(D3936),"",(VLOOKUP(D3936,Cardápio!$A$2:$B$16,2,0))*E3936)</f>
        <v/>
      </c>
      <c r="H3936" s="7" t="str">
        <f t="shared" si="244"/>
        <v/>
      </c>
      <c r="I3936" s="7" t="str">
        <f>IF(AND(ISBLANK(D3936),ISBLANK(C3936)),"",((VLOOKUP(D3936,Cardápio!$A$2:$C$16,3,0))*E3936)+IF(B3936="iFood",F3936*0.27,(VLOOKUP(VENDAS!C3936,Bairros!$A$2:$B$90,2,0))))</f>
        <v/>
      </c>
      <c r="J3936" s="7" t="str">
        <f t="shared" si="245"/>
        <v/>
      </c>
      <c r="K3936" s="9">
        <f t="shared" ca="1" si="246"/>
        <v>45404.878290162036</v>
      </c>
      <c r="L3936" s="10">
        <f t="shared" ca="1" si="247"/>
        <v>45404.878290046297</v>
      </c>
    </row>
    <row r="3937" spans="6:12" x14ac:dyDescent="0.25">
      <c r="F3937" s="11" t="str">
        <f>IF(ISBLANK(D3937),"",(VLOOKUP(D3937,Cardápio!$A$2:$B$16,2,0))*E3937)</f>
        <v/>
      </c>
      <c r="H3937" s="7" t="str">
        <f t="shared" si="244"/>
        <v/>
      </c>
      <c r="I3937" s="7" t="str">
        <f>IF(AND(ISBLANK(D3937),ISBLANK(C3937)),"",((VLOOKUP(D3937,Cardápio!$A$2:$C$16,3,0))*E3937)+IF(B3937="iFood",F3937*0.27,(VLOOKUP(VENDAS!C3937,Bairros!$A$2:$B$90,2,0))))</f>
        <v/>
      </c>
      <c r="J3937" s="7" t="str">
        <f t="shared" si="245"/>
        <v/>
      </c>
      <c r="K3937" s="9">
        <f t="shared" ca="1" si="246"/>
        <v>45404.878290277775</v>
      </c>
      <c r="L3937" s="10">
        <f t="shared" ca="1" si="247"/>
        <v>45404.878290046297</v>
      </c>
    </row>
    <row r="3938" spans="6:12" x14ac:dyDescent="0.25">
      <c r="F3938" s="11" t="str">
        <f>IF(ISBLANK(D3938),"",(VLOOKUP(D3938,Cardápio!$A$2:$B$16,2,0))*E3938)</f>
        <v/>
      </c>
      <c r="H3938" s="7" t="str">
        <f t="shared" si="244"/>
        <v/>
      </c>
      <c r="I3938" s="7" t="str">
        <f>IF(AND(ISBLANK(D3938),ISBLANK(C3938)),"",((VLOOKUP(D3938,Cardápio!$A$2:$C$16,3,0))*E3938)+IF(B3938="iFood",F3938*0.27,(VLOOKUP(VENDAS!C3938,Bairros!$A$2:$B$90,2,0))))</f>
        <v/>
      </c>
      <c r="J3938" s="7" t="str">
        <f t="shared" si="245"/>
        <v/>
      </c>
      <c r="K3938" s="9">
        <f t="shared" ca="1" si="246"/>
        <v>45404.878290162036</v>
      </c>
      <c r="L3938" s="10">
        <f t="shared" ca="1" si="247"/>
        <v>45404.878290046297</v>
      </c>
    </row>
    <row r="3939" spans="6:12" x14ac:dyDescent="0.25">
      <c r="F3939" s="11" t="str">
        <f>IF(ISBLANK(D3939),"",(VLOOKUP(D3939,Cardápio!$A$2:$B$16,2,0))*E3939)</f>
        <v/>
      </c>
      <c r="H3939" s="7" t="str">
        <f t="shared" si="244"/>
        <v/>
      </c>
      <c r="I3939" s="7" t="str">
        <f>IF(AND(ISBLANK(D3939),ISBLANK(C3939)),"",((VLOOKUP(D3939,Cardápio!$A$2:$C$16,3,0))*E3939)+IF(B3939="iFood",F3939*0.27,(VLOOKUP(VENDAS!C3939,Bairros!$A$2:$B$90,2,0))))</f>
        <v/>
      </c>
      <c r="J3939" s="7" t="str">
        <f t="shared" si="245"/>
        <v/>
      </c>
      <c r="K3939" s="9">
        <f t="shared" ca="1" si="246"/>
        <v>45404.878290162036</v>
      </c>
      <c r="L3939" s="10">
        <f t="shared" ca="1" si="247"/>
        <v>45404.878290162036</v>
      </c>
    </row>
    <row r="3940" spans="6:12" x14ac:dyDescent="0.25">
      <c r="F3940" s="11" t="str">
        <f>IF(ISBLANK(D3940),"",(VLOOKUP(D3940,Cardápio!$A$2:$B$16,2,0))*E3940)</f>
        <v/>
      </c>
      <c r="H3940" s="7" t="str">
        <f t="shared" si="244"/>
        <v/>
      </c>
      <c r="I3940" s="7" t="str">
        <f>IF(AND(ISBLANK(D3940),ISBLANK(C3940)),"",((VLOOKUP(D3940,Cardápio!$A$2:$C$16,3,0))*E3940)+IF(B3940="iFood",F3940*0.27,(VLOOKUP(VENDAS!C3940,Bairros!$A$2:$B$90,2,0))))</f>
        <v/>
      </c>
      <c r="J3940" s="7" t="str">
        <f t="shared" si="245"/>
        <v/>
      </c>
      <c r="K3940" s="9">
        <f t="shared" ca="1" si="246"/>
        <v>45404.878290162036</v>
      </c>
      <c r="L3940" s="10">
        <f t="shared" ca="1" si="247"/>
        <v>45404.878290046297</v>
      </c>
    </row>
    <row r="3941" spans="6:12" x14ac:dyDescent="0.25">
      <c r="F3941" s="11" t="str">
        <f>IF(ISBLANK(D3941),"",(VLOOKUP(D3941,Cardápio!$A$2:$B$16,2,0))*E3941)</f>
        <v/>
      </c>
      <c r="H3941" s="7" t="str">
        <f t="shared" si="244"/>
        <v/>
      </c>
      <c r="I3941" s="7" t="str">
        <f>IF(AND(ISBLANK(D3941),ISBLANK(C3941)),"",((VLOOKUP(D3941,Cardápio!$A$2:$C$16,3,0))*E3941)+IF(B3941="iFood",F3941*0.27,(VLOOKUP(VENDAS!C3941,Bairros!$A$2:$B$90,2,0))))</f>
        <v/>
      </c>
      <c r="J3941" s="7" t="str">
        <f t="shared" si="245"/>
        <v/>
      </c>
      <c r="K3941" s="9">
        <f t="shared" ca="1" si="246"/>
        <v>45404.878290277775</v>
      </c>
      <c r="L3941" s="10">
        <f t="shared" ca="1" si="247"/>
        <v>45404.878290046297</v>
      </c>
    </row>
    <row r="3942" spans="6:12" x14ac:dyDescent="0.25">
      <c r="F3942" s="11" t="str">
        <f>IF(ISBLANK(D3942),"",(VLOOKUP(D3942,Cardápio!$A$2:$B$16,2,0))*E3942)</f>
        <v/>
      </c>
      <c r="H3942" s="7" t="str">
        <f t="shared" si="244"/>
        <v/>
      </c>
      <c r="I3942" s="7" t="str">
        <f>IF(AND(ISBLANK(D3942),ISBLANK(C3942)),"",((VLOOKUP(D3942,Cardápio!$A$2:$C$16,3,0))*E3942)+IF(B3942="iFood",F3942*0.27,(VLOOKUP(VENDAS!C3942,Bairros!$A$2:$B$90,2,0))))</f>
        <v/>
      </c>
      <c r="J3942" s="7" t="str">
        <f t="shared" si="245"/>
        <v/>
      </c>
      <c r="K3942" s="9">
        <f t="shared" ca="1" si="246"/>
        <v>45404.878290162036</v>
      </c>
      <c r="L3942" s="10">
        <f t="shared" ca="1" si="247"/>
        <v>45404.878290046297</v>
      </c>
    </row>
    <row r="3943" spans="6:12" x14ac:dyDescent="0.25">
      <c r="F3943" s="11" t="str">
        <f>IF(ISBLANK(D3943),"",(VLOOKUP(D3943,Cardápio!$A$2:$B$16,2,0))*E3943)</f>
        <v/>
      </c>
      <c r="H3943" s="7" t="str">
        <f t="shared" si="244"/>
        <v/>
      </c>
      <c r="I3943" s="7" t="str">
        <f>IF(AND(ISBLANK(D3943),ISBLANK(C3943)),"",((VLOOKUP(D3943,Cardápio!$A$2:$C$16,3,0))*E3943)+IF(B3943="iFood",F3943*0.27,(VLOOKUP(VENDAS!C3943,Bairros!$A$2:$B$90,2,0))))</f>
        <v/>
      </c>
      <c r="J3943" s="7" t="str">
        <f t="shared" si="245"/>
        <v/>
      </c>
      <c r="K3943" s="9">
        <f t="shared" ca="1" si="246"/>
        <v>45404.878290162036</v>
      </c>
      <c r="L3943" s="10">
        <f t="shared" ca="1" si="247"/>
        <v>45404.878290162036</v>
      </c>
    </row>
    <row r="3944" spans="6:12" x14ac:dyDescent="0.25">
      <c r="F3944" s="11" t="str">
        <f>IF(ISBLANK(D3944),"",(VLOOKUP(D3944,Cardápio!$A$2:$B$16,2,0))*E3944)</f>
        <v/>
      </c>
      <c r="H3944" s="7" t="str">
        <f t="shared" si="244"/>
        <v/>
      </c>
      <c r="I3944" s="7" t="str">
        <f>IF(AND(ISBLANK(D3944),ISBLANK(C3944)),"",((VLOOKUP(D3944,Cardápio!$A$2:$C$16,3,0))*E3944)+IF(B3944="iFood",F3944*0.27,(VLOOKUP(VENDAS!C3944,Bairros!$A$2:$B$90,2,0))))</f>
        <v/>
      </c>
      <c r="J3944" s="7" t="str">
        <f t="shared" si="245"/>
        <v/>
      </c>
      <c r="K3944" s="9">
        <f t="shared" ca="1" si="246"/>
        <v>45404.878290162036</v>
      </c>
      <c r="L3944" s="10">
        <f t="shared" ca="1" si="247"/>
        <v>45404.878290046297</v>
      </c>
    </row>
    <row r="3945" spans="6:12" x14ac:dyDescent="0.25">
      <c r="F3945" s="11" t="str">
        <f>IF(ISBLANK(D3945),"",(VLOOKUP(D3945,Cardápio!$A$2:$B$16,2,0))*E3945)</f>
        <v/>
      </c>
      <c r="H3945" s="7" t="str">
        <f t="shared" si="244"/>
        <v/>
      </c>
      <c r="I3945" s="7" t="str">
        <f>IF(AND(ISBLANK(D3945),ISBLANK(C3945)),"",((VLOOKUP(D3945,Cardápio!$A$2:$C$16,3,0))*E3945)+IF(B3945="iFood",F3945*0.27,(VLOOKUP(VENDAS!C3945,Bairros!$A$2:$B$90,2,0))))</f>
        <v/>
      </c>
      <c r="J3945" s="7" t="str">
        <f t="shared" si="245"/>
        <v/>
      </c>
      <c r="K3945" s="9">
        <f t="shared" ca="1" si="246"/>
        <v>45404.878290277775</v>
      </c>
      <c r="L3945" s="10">
        <f t="shared" ca="1" si="247"/>
        <v>45404.878290046297</v>
      </c>
    </row>
    <row r="3946" spans="6:12" x14ac:dyDescent="0.25">
      <c r="F3946" s="11" t="str">
        <f>IF(ISBLANK(D3946),"",(VLOOKUP(D3946,Cardápio!$A$2:$B$16,2,0))*E3946)</f>
        <v/>
      </c>
      <c r="H3946" s="7" t="str">
        <f t="shared" si="244"/>
        <v/>
      </c>
      <c r="I3946" s="7" t="str">
        <f>IF(AND(ISBLANK(D3946),ISBLANK(C3946)),"",((VLOOKUP(D3946,Cardápio!$A$2:$C$16,3,0))*E3946)+IF(B3946="iFood",F3946*0.27,(VLOOKUP(VENDAS!C3946,Bairros!$A$2:$B$90,2,0))))</f>
        <v/>
      </c>
      <c r="J3946" s="7" t="str">
        <f t="shared" si="245"/>
        <v/>
      </c>
      <c r="K3946" s="9">
        <f t="shared" ca="1" si="246"/>
        <v>45404.878290162036</v>
      </c>
      <c r="L3946" s="10">
        <f t="shared" ca="1" si="247"/>
        <v>45404.878290046297</v>
      </c>
    </row>
    <row r="3947" spans="6:12" x14ac:dyDescent="0.25">
      <c r="F3947" s="11" t="str">
        <f>IF(ISBLANK(D3947),"",(VLOOKUP(D3947,Cardápio!$A$2:$B$16,2,0))*E3947)</f>
        <v/>
      </c>
      <c r="H3947" s="7" t="str">
        <f t="shared" si="244"/>
        <v/>
      </c>
      <c r="I3947" s="7" t="str">
        <f>IF(AND(ISBLANK(D3947),ISBLANK(C3947)),"",((VLOOKUP(D3947,Cardápio!$A$2:$C$16,3,0))*E3947)+IF(B3947="iFood",F3947*0.27,(VLOOKUP(VENDAS!C3947,Bairros!$A$2:$B$90,2,0))))</f>
        <v/>
      </c>
      <c r="J3947" s="7" t="str">
        <f t="shared" si="245"/>
        <v/>
      </c>
      <c r="K3947" s="9">
        <f t="shared" ca="1" si="246"/>
        <v>45404.878290162036</v>
      </c>
      <c r="L3947" s="10">
        <f t="shared" ca="1" si="247"/>
        <v>45404.878290162036</v>
      </c>
    </row>
    <row r="3948" spans="6:12" x14ac:dyDescent="0.25">
      <c r="F3948" s="11" t="str">
        <f>IF(ISBLANK(D3948),"",(VLOOKUP(D3948,Cardápio!$A$2:$B$16,2,0))*E3948)</f>
        <v/>
      </c>
      <c r="H3948" s="7" t="str">
        <f t="shared" si="244"/>
        <v/>
      </c>
      <c r="I3948" s="7" t="str">
        <f>IF(AND(ISBLANK(D3948),ISBLANK(C3948)),"",((VLOOKUP(D3948,Cardápio!$A$2:$C$16,3,0))*E3948)+IF(B3948="iFood",F3948*0.27,(VLOOKUP(VENDAS!C3948,Bairros!$A$2:$B$90,2,0))))</f>
        <v/>
      </c>
      <c r="J3948" s="7" t="str">
        <f t="shared" si="245"/>
        <v/>
      </c>
      <c r="K3948" s="9">
        <f t="shared" ca="1" si="246"/>
        <v>45404.878290162036</v>
      </c>
      <c r="L3948" s="10">
        <f t="shared" ca="1" si="247"/>
        <v>45404.878290046297</v>
      </c>
    </row>
    <row r="3949" spans="6:12" x14ac:dyDescent="0.25">
      <c r="F3949" s="11" t="str">
        <f>IF(ISBLANK(D3949),"",(VLOOKUP(D3949,Cardápio!$A$2:$B$16,2,0))*E3949)</f>
        <v/>
      </c>
      <c r="H3949" s="7" t="str">
        <f t="shared" si="244"/>
        <v/>
      </c>
      <c r="I3949" s="7" t="str">
        <f>IF(AND(ISBLANK(D3949),ISBLANK(C3949)),"",((VLOOKUP(D3949,Cardápio!$A$2:$C$16,3,0))*E3949)+IF(B3949="iFood",F3949*0.27,(VLOOKUP(VENDAS!C3949,Bairros!$A$2:$B$90,2,0))))</f>
        <v/>
      </c>
      <c r="J3949" s="7" t="str">
        <f t="shared" si="245"/>
        <v/>
      </c>
      <c r="K3949" s="9">
        <f t="shared" ca="1" si="246"/>
        <v>45404.878290277775</v>
      </c>
      <c r="L3949" s="10">
        <f t="shared" ca="1" si="247"/>
        <v>45404.878290046297</v>
      </c>
    </row>
    <row r="3950" spans="6:12" x14ac:dyDescent="0.25">
      <c r="F3950" s="11" t="str">
        <f>IF(ISBLANK(D3950),"",(VLOOKUP(D3950,Cardápio!$A$2:$B$16,2,0))*E3950)</f>
        <v/>
      </c>
      <c r="H3950" s="7" t="str">
        <f t="shared" si="244"/>
        <v/>
      </c>
      <c r="I3950" s="7" t="str">
        <f>IF(AND(ISBLANK(D3950),ISBLANK(C3950)),"",((VLOOKUP(D3950,Cardápio!$A$2:$C$16,3,0))*E3950)+IF(B3950="iFood",F3950*0.27,(VLOOKUP(VENDAS!C3950,Bairros!$A$2:$B$90,2,0))))</f>
        <v/>
      </c>
      <c r="J3950" s="7" t="str">
        <f t="shared" si="245"/>
        <v/>
      </c>
      <c r="K3950" s="9">
        <f t="shared" ca="1" si="246"/>
        <v>45404.878290162036</v>
      </c>
      <c r="L3950" s="10">
        <f t="shared" ca="1" si="247"/>
        <v>45404.878290046297</v>
      </c>
    </row>
    <row r="3951" spans="6:12" x14ac:dyDescent="0.25">
      <c r="F3951" s="11" t="str">
        <f>IF(ISBLANK(D3951),"",(VLOOKUP(D3951,Cardápio!$A$2:$B$16,2,0))*E3951)</f>
        <v/>
      </c>
      <c r="H3951" s="7" t="str">
        <f t="shared" si="244"/>
        <v/>
      </c>
      <c r="I3951" s="7" t="str">
        <f>IF(AND(ISBLANK(D3951),ISBLANK(C3951)),"",((VLOOKUP(D3951,Cardápio!$A$2:$C$16,3,0))*E3951)+IF(B3951="iFood",F3951*0.27,(VLOOKUP(VENDAS!C3951,Bairros!$A$2:$B$90,2,0))))</f>
        <v/>
      </c>
      <c r="J3951" s="7" t="str">
        <f t="shared" si="245"/>
        <v/>
      </c>
      <c r="K3951" s="9">
        <f t="shared" ca="1" si="246"/>
        <v>45404.878290162036</v>
      </c>
      <c r="L3951" s="10">
        <f t="shared" ca="1" si="247"/>
        <v>45404.878290162036</v>
      </c>
    </row>
    <row r="3952" spans="6:12" x14ac:dyDescent="0.25">
      <c r="F3952" s="11" t="str">
        <f>IF(ISBLANK(D3952),"",(VLOOKUP(D3952,Cardápio!$A$2:$B$16,2,0))*E3952)</f>
        <v/>
      </c>
      <c r="H3952" s="7" t="str">
        <f t="shared" si="244"/>
        <v/>
      </c>
      <c r="I3952" s="7" t="str">
        <f>IF(AND(ISBLANK(D3952),ISBLANK(C3952)),"",((VLOOKUP(D3952,Cardápio!$A$2:$C$16,3,0))*E3952)+IF(B3952="iFood",F3952*0.27,(VLOOKUP(VENDAS!C3952,Bairros!$A$2:$B$90,2,0))))</f>
        <v/>
      </c>
      <c r="J3952" s="7" t="str">
        <f t="shared" si="245"/>
        <v/>
      </c>
      <c r="K3952" s="9">
        <f t="shared" ca="1" si="246"/>
        <v>45404.878290162036</v>
      </c>
      <c r="L3952" s="10">
        <f t="shared" ca="1" si="247"/>
        <v>45404.878290046297</v>
      </c>
    </row>
    <row r="3953" spans="6:12" x14ac:dyDescent="0.25">
      <c r="F3953" s="11" t="str">
        <f>IF(ISBLANK(D3953),"",(VLOOKUP(D3953,Cardápio!$A$2:$B$16,2,0))*E3953)</f>
        <v/>
      </c>
      <c r="H3953" s="7" t="str">
        <f t="shared" si="244"/>
        <v/>
      </c>
      <c r="I3953" s="7" t="str">
        <f>IF(AND(ISBLANK(D3953),ISBLANK(C3953)),"",((VLOOKUP(D3953,Cardápio!$A$2:$C$16,3,0))*E3953)+IF(B3953="iFood",F3953*0.27,(VLOOKUP(VENDAS!C3953,Bairros!$A$2:$B$90,2,0))))</f>
        <v/>
      </c>
      <c r="J3953" s="7" t="str">
        <f t="shared" si="245"/>
        <v/>
      </c>
      <c r="K3953" s="9">
        <f t="shared" ca="1" si="246"/>
        <v>45404.878290277775</v>
      </c>
      <c r="L3953" s="10">
        <f t="shared" ca="1" si="247"/>
        <v>45404.878290046297</v>
      </c>
    </row>
    <row r="3954" spans="6:12" x14ac:dyDescent="0.25">
      <c r="F3954" s="11" t="str">
        <f>IF(ISBLANK(D3954),"",(VLOOKUP(D3954,Cardápio!$A$2:$B$16,2,0))*E3954)</f>
        <v/>
      </c>
      <c r="H3954" s="7" t="str">
        <f t="shared" si="244"/>
        <v/>
      </c>
      <c r="I3954" s="7" t="str">
        <f>IF(AND(ISBLANK(D3954),ISBLANK(C3954)),"",((VLOOKUP(D3954,Cardápio!$A$2:$C$16,3,0))*E3954)+IF(B3954="iFood",F3954*0.27,(VLOOKUP(VENDAS!C3954,Bairros!$A$2:$B$90,2,0))))</f>
        <v/>
      </c>
      <c r="J3954" s="7" t="str">
        <f t="shared" si="245"/>
        <v/>
      </c>
      <c r="K3954" s="9">
        <f t="shared" ca="1" si="246"/>
        <v>45404.878290162036</v>
      </c>
      <c r="L3954" s="10">
        <f t="shared" ca="1" si="247"/>
        <v>45404.878290046297</v>
      </c>
    </row>
    <row r="3955" spans="6:12" x14ac:dyDescent="0.25">
      <c r="F3955" s="11" t="str">
        <f>IF(ISBLANK(D3955),"",(VLOOKUP(D3955,Cardápio!$A$2:$B$16,2,0))*E3955)</f>
        <v/>
      </c>
      <c r="H3955" s="7" t="str">
        <f t="shared" si="244"/>
        <v/>
      </c>
      <c r="I3955" s="7" t="str">
        <f>IF(AND(ISBLANK(D3955),ISBLANK(C3955)),"",((VLOOKUP(D3955,Cardápio!$A$2:$C$16,3,0))*E3955)+IF(B3955="iFood",F3955*0.27,(VLOOKUP(VENDAS!C3955,Bairros!$A$2:$B$90,2,0))))</f>
        <v/>
      </c>
      <c r="J3955" s="7" t="str">
        <f t="shared" si="245"/>
        <v/>
      </c>
      <c r="K3955" s="9">
        <f t="shared" ca="1" si="246"/>
        <v>45404.878290162036</v>
      </c>
      <c r="L3955" s="10">
        <f t="shared" ca="1" si="247"/>
        <v>45404.878290162036</v>
      </c>
    </row>
    <row r="3956" spans="6:12" x14ac:dyDescent="0.25">
      <c r="F3956" s="11" t="str">
        <f>IF(ISBLANK(D3956),"",(VLOOKUP(D3956,Cardápio!$A$2:$B$16,2,0))*E3956)</f>
        <v/>
      </c>
      <c r="H3956" s="7" t="str">
        <f t="shared" si="244"/>
        <v/>
      </c>
      <c r="I3956" s="7" t="str">
        <f>IF(AND(ISBLANK(D3956),ISBLANK(C3956)),"",((VLOOKUP(D3956,Cardápio!$A$2:$C$16,3,0))*E3956)+IF(B3956="iFood",F3956*0.27,(VLOOKUP(VENDAS!C3956,Bairros!$A$2:$B$90,2,0))))</f>
        <v/>
      </c>
      <c r="J3956" s="7" t="str">
        <f t="shared" si="245"/>
        <v/>
      </c>
      <c r="K3956" s="9">
        <f t="shared" ca="1" si="246"/>
        <v>45404.878290162036</v>
      </c>
      <c r="L3956" s="10">
        <f t="shared" ca="1" si="247"/>
        <v>45404.878290046297</v>
      </c>
    </row>
    <row r="3957" spans="6:12" x14ac:dyDescent="0.25">
      <c r="F3957" s="11" t="str">
        <f>IF(ISBLANK(D3957),"",(VLOOKUP(D3957,Cardápio!$A$2:$B$16,2,0))*E3957)</f>
        <v/>
      </c>
      <c r="H3957" s="7" t="str">
        <f t="shared" ref="H3957:H4020" si="248">IF(ISBLANK(D3957),"",F3957-G3957)</f>
        <v/>
      </c>
      <c r="I3957" s="7" t="str">
        <f>IF(AND(ISBLANK(D3957),ISBLANK(C3957)),"",((VLOOKUP(D3957,Cardápio!$A$2:$C$16,3,0))*E3957)+IF(B3957="iFood",F3957*0.27,(VLOOKUP(VENDAS!C3957,Bairros!$A$2:$B$90,2,0))))</f>
        <v/>
      </c>
      <c r="J3957" s="7" t="str">
        <f t="shared" ref="J3957:J4020" si="249">IF(OR(AND(ISBLANK(H3957),ISBLANK(I3957)),(AND(H3957="",I3957=""))),"",H3957-I3957)</f>
        <v/>
      </c>
      <c r="K3957" s="9">
        <f t="shared" ref="K3957:K4020" ca="1" si="250">IF(D3957&lt;&gt;"",K3957,NOW())</f>
        <v>45404.878290277775</v>
      </c>
      <c r="L3957" s="10">
        <f t="shared" ref="L3957:L4020" ca="1" si="251">IF(D3957&lt;&gt;"",L3957,NOW())</f>
        <v>45404.878290046297</v>
      </c>
    </row>
    <row r="3958" spans="6:12" x14ac:dyDescent="0.25">
      <c r="F3958" s="11" t="str">
        <f>IF(ISBLANK(D3958),"",(VLOOKUP(D3958,Cardápio!$A$2:$B$16,2,0))*E3958)</f>
        <v/>
      </c>
      <c r="H3958" s="7" t="str">
        <f t="shared" si="248"/>
        <v/>
      </c>
      <c r="I3958" s="7" t="str">
        <f>IF(AND(ISBLANK(D3958),ISBLANK(C3958)),"",((VLOOKUP(D3958,Cardápio!$A$2:$C$16,3,0))*E3958)+IF(B3958="iFood",F3958*0.27,(VLOOKUP(VENDAS!C3958,Bairros!$A$2:$B$90,2,0))))</f>
        <v/>
      </c>
      <c r="J3958" s="7" t="str">
        <f t="shared" si="249"/>
        <v/>
      </c>
      <c r="K3958" s="9">
        <f t="shared" ca="1" si="250"/>
        <v>45404.878290162036</v>
      </c>
      <c r="L3958" s="10">
        <f t="shared" ca="1" si="251"/>
        <v>45404.878290046297</v>
      </c>
    </row>
    <row r="3959" spans="6:12" x14ac:dyDescent="0.25">
      <c r="F3959" s="11" t="str">
        <f>IF(ISBLANK(D3959),"",(VLOOKUP(D3959,Cardápio!$A$2:$B$16,2,0))*E3959)</f>
        <v/>
      </c>
      <c r="H3959" s="7" t="str">
        <f t="shared" si="248"/>
        <v/>
      </c>
      <c r="I3959" s="7" t="str">
        <f>IF(AND(ISBLANK(D3959),ISBLANK(C3959)),"",((VLOOKUP(D3959,Cardápio!$A$2:$C$16,3,0))*E3959)+IF(B3959="iFood",F3959*0.27,(VLOOKUP(VENDAS!C3959,Bairros!$A$2:$B$90,2,0))))</f>
        <v/>
      </c>
      <c r="J3959" s="7" t="str">
        <f t="shared" si="249"/>
        <v/>
      </c>
      <c r="K3959" s="9">
        <f t="shared" ca="1" si="250"/>
        <v>45404.878290162036</v>
      </c>
      <c r="L3959" s="10">
        <f t="shared" ca="1" si="251"/>
        <v>45404.878290162036</v>
      </c>
    </row>
    <row r="3960" spans="6:12" x14ac:dyDescent="0.25">
      <c r="F3960" s="11" t="str">
        <f>IF(ISBLANK(D3960),"",(VLOOKUP(D3960,Cardápio!$A$2:$B$16,2,0))*E3960)</f>
        <v/>
      </c>
      <c r="H3960" s="7" t="str">
        <f t="shared" si="248"/>
        <v/>
      </c>
      <c r="I3960" s="7" t="str">
        <f>IF(AND(ISBLANK(D3960),ISBLANK(C3960)),"",((VLOOKUP(D3960,Cardápio!$A$2:$C$16,3,0))*E3960)+IF(B3960="iFood",F3960*0.27,(VLOOKUP(VENDAS!C3960,Bairros!$A$2:$B$90,2,0))))</f>
        <v/>
      </c>
      <c r="J3960" s="7" t="str">
        <f t="shared" si="249"/>
        <v/>
      </c>
      <c r="K3960" s="9">
        <f t="shared" ca="1" si="250"/>
        <v>45404.878290162036</v>
      </c>
      <c r="L3960" s="10">
        <f t="shared" ca="1" si="251"/>
        <v>45404.878290046297</v>
      </c>
    </row>
    <row r="3961" spans="6:12" x14ac:dyDescent="0.25">
      <c r="F3961" s="11" t="str">
        <f>IF(ISBLANK(D3961),"",(VLOOKUP(D3961,Cardápio!$A$2:$B$16,2,0))*E3961)</f>
        <v/>
      </c>
      <c r="H3961" s="7" t="str">
        <f t="shared" si="248"/>
        <v/>
      </c>
      <c r="I3961" s="7" t="str">
        <f>IF(AND(ISBLANK(D3961),ISBLANK(C3961)),"",((VLOOKUP(D3961,Cardápio!$A$2:$C$16,3,0))*E3961)+IF(B3961="iFood",F3961*0.27,(VLOOKUP(VENDAS!C3961,Bairros!$A$2:$B$90,2,0))))</f>
        <v/>
      </c>
      <c r="J3961" s="7" t="str">
        <f t="shared" si="249"/>
        <v/>
      </c>
      <c r="K3961" s="9">
        <f t="shared" ca="1" si="250"/>
        <v>45404.878290277775</v>
      </c>
      <c r="L3961" s="10">
        <f t="shared" ca="1" si="251"/>
        <v>45404.878290046297</v>
      </c>
    </row>
    <row r="3962" spans="6:12" x14ac:dyDescent="0.25">
      <c r="F3962" s="11" t="str">
        <f>IF(ISBLANK(D3962),"",(VLOOKUP(D3962,Cardápio!$A$2:$B$16,2,0))*E3962)</f>
        <v/>
      </c>
      <c r="H3962" s="7" t="str">
        <f t="shared" si="248"/>
        <v/>
      </c>
      <c r="I3962" s="7" t="str">
        <f>IF(AND(ISBLANK(D3962),ISBLANK(C3962)),"",((VLOOKUP(D3962,Cardápio!$A$2:$C$16,3,0))*E3962)+IF(B3962="iFood",F3962*0.27,(VLOOKUP(VENDAS!C3962,Bairros!$A$2:$B$90,2,0))))</f>
        <v/>
      </c>
      <c r="J3962" s="7" t="str">
        <f t="shared" si="249"/>
        <v/>
      </c>
      <c r="K3962" s="9">
        <f t="shared" ca="1" si="250"/>
        <v>45404.878290162036</v>
      </c>
      <c r="L3962" s="10">
        <f t="shared" ca="1" si="251"/>
        <v>45404.878290046297</v>
      </c>
    </row>
    <row r="3963" spans="6:12" x14ac:dyDescent="0.25">
      <c r="F3963" s="11" t="str">
        <f>IF(ISBLANK(D3963),"",(VLOOKUP(D3963,Cardápio!$A$2:$B$16,2,0))*E3963)</f>
        <v/>
      </c>
      <c r="H3963" s="7" t="str">
        <f t="shared" si="248"/>
        <v/>
      </c>
      <c r="I3963" s="7" t="str">
        <f>IF(AND(ISBLANK(D3963),ISBLANK(C3963)),"",((VLOOKUP(D3963,Cardápio!$A$2:$C$16,3,0))*E3963)+IF(B3963="iFood",F3963*0.27,(VLOOKUP(VENDAS!C3963,Bairros!$A$2:$B$90,2,0))))</f>
        <v/>
      </c>
      <c r="J3963" s="7" t="str">
        <f t="shared" si="249"/>
        <v/>
      </c>
      <c r="K3963" s="9">
        <f t="shared" ca="1" si="250"/>
        <v>45404.878290162036</v>
      </c>
      <c r="L3963" s="10">
        <f t="shared" ca="1" si="251"/>
        <v>45404.878290162036</v>
      </c>
    </row>
    <row r="3964" spans="6:12" x14ac:dyDescent="0.25">
      <c r="F3964" s="11" t="str">
        <f>IF(ISBLANK(D3964),"",(VLOOKUP(D3964,Cardápio!$A$2:$B$16,2,0))*E3964)</f>
        <v/>
      </c>
      <c r="H3964" s="7" t="str">
        <f t="shared" si="248"/>
        <v/>
      </c>
      <c r="I3964" s="7" t="str">
        <f>IF(AND(ISBLANK(D3964),ISBLANK(C3964)),"",((VLOOKUP(D3964,Cardápio!$A$2:$C$16,3,0))*E3964)+IF(B3964="iFood",F3964*0.27,(VLOOKUP(VENDAS!C3964,Bairros!$A$2:$B$90,2,0))))</f>
        <v/>
      </c>
      <c r="J3964" s="7" t="str">
        <f t="shared" si="249"/>
        <v/>
      </c>
      <c r="K3964" s="9">
        <f t="shared" ca="1" si="250"/>
        <v>45404.878290162036</v>
      </c>
      <c r="L3964" s="10">
        <f t="shared" ca="1" si="251"/>
        <v>45404.878290046297</v>
      </c>
    </row>
    <row r="3965" spans="6:12" x14ac:dyDescent="0.25">
      <c r="F3965" s="11" t="str">
        <f>IF(ISBLANK(D3965),"",(VLOOKUP(D3965,Cardápio!$A$2:$B$16,2,0))*E3965)</f>
        <v/>
      </c>
      <c r="H3965" s="7" t="str">
        <f t="shared" si="248"/>
        <v/>
      </c>
      <c r="I3965" s="7" t="str">
        <f>IF(AND(ISBLANK(D3965),ISBLANK(C3965)),"",((VLOOKUP(D3965,Cardápio!$A$2:$C$16,3,0))*E3965)+IF(B3965="iFood",F3965*0.27,(VLOOKUP(VENDAS!C3965,Bairros!$A$2:$B$90,2,0))))</f>
        <v/>
      </c>
      <c r="J3965" s="7" t="str">
        <f t="shared" si="249"/>
        <v/>
      </c>
      <c r="K3965" s="9">
        <f t="shared" ca="1" si="250"/>
        <v>45404.878290277775</v>
      </c>
      <c r="L3965" s="10">
        <f t="shared" ca="1" si="251"/>
        <v>45404.878290046297</v>
      </c>
    </row>
    <row r="3966" spans="6:12" x14ac:dyDescent="0.25">
      <c r="F3966" s="11" t="str">
        <f>IF(ISBLANK(D3966),"",(VLOOKUP(D3966,Cardápio!$A$2:$B$16,2,0))*E3966)</f>
        <v/>
      </c>
      <c r="H3966" s="7" t="str">
        <f t="shared" si="248"/>
        <v/>
      </c>
      <c r="I3966" s="7" t="str">
        <f>IF(AND(ISBLANK(D3966),ISBLANK(C3966)),"",((VLOOKUP(D3966,Cardápio!$A$2:$C$16,3,0))*E3966)+IF(B3966="iFood",F3966*0.27,(VLOOKUP(VENDAS!C3966,Bairros!$A$2:$B$90,2,0))))</f>
        <v/>
      </c>
      <c r="J3966" s="7" t="str">
        <f t="shared" si="249"/>
        <v/>
      </c>
      <c r="K3966" s="9">
        <f t="shared" ca="1" si="250"/>
        <v>45404.878290162036</v>
      </c>
      <c r="L3966" s="10">
        <f t="shared" ca="1" si="251"/>
        <v>45404.878290046297</v>
      </c>
    </row>
    <row r="3967" spans="6:12" x14ac:dyDescent="0.25">
      <c r="F3967" s="11" t="str">
        <f>IF(ISBLANK(D3967),"",(VLOOKUP(D3967,Cardápio!$A$2:$B$16,2,0))*E3967)</f>
        <v/>
      </c>
      <c r="H3967" s="7" t="str">
        <f t="shared" si="248"/>
        <v/>
      </c>
      <c r="I3967" s="7" t="str">
        <f>IF(AND(ISBLANK(D3967),ISBLANK(C3967)),"",((VLOOKUP(D3967,Cardápio!$A$2:$C$16,3,0))*E3967)+IF(B3967="iFood",F3967*0.27,(VLOOKUP(VENDAS!C3967,Bairros!$A$2:$B$90,2,0))))</f>
        <v/>
      </c>
      <c r="J3967" s="7" t="str">
        <f t="shared" si="249"/>
        <v/>
      </c>
      <c r="K3967" s="9">
        <f t="shared" ca="1" si="250"/>
        <v>45404.878290162036</v>
      </c>
      <c r="L3967" s="10">
        <f t="shared" ca="1" si="251"/>
        <v>45404.878290162036</v>
      </c>
    </row>
    <row r="3968" spans="6:12" x14ac:dyDescent="0.25">
      <c r="F3968" s="11" t="str">
        <f>IF(ISBLANK(D3968),"",(VLOOKUP(D3968,Cardápio!$A$2:$B$16,2,0))*E3968)</f>
        <v/>
      </c>
      <c r="H3968" s="7" t="str">
        <f t="shared" si="248"/>
        <v/>
      </c>
      <c r="I3968" s="7" t="str">
        <f>IF(AND(ISBLANK(D3968),ISBLANK(C3968)),"",((VLOOKUP(D3968,Cardápio!$A$2:$C$16,3,0))*E3968)+IF(B3968="iFood",F3968*0.27,(VLOOKUP(VENDAS!C3968,Bairros!$A$2:$B$90,2,0))))</f>
        <v/>
      </c>
      <c r="J3968" s="7" t="str">
        <f t="shared" si="249"/>
        <v/>
      </c>
      <c r="K3968" s="9">
        <f t="shared" ca="1" si="250"/>
        <v>45404.878290162036</v>
      </c>
      <c r="L3968" s="10">
        <f t="shared" ca="1" si="251"/>
        <v>45404.878290046297</v>
      </c>
    </row>
    <row r="3969" spans="6:12" x14ac:dyDescent="0.25">
      <c r="F3969" s="11" t="str">
        <f>IF(ISBLANK(D3969),"",(VLOOKUP(D3969,Cardápio!$A$2:$B$16,2,0))*E3969)</f>
        <v/>
      </c>
      <c r="H3969" s="7" t="str">
        <f t="shared" si="248"/>
        <v/>
      </c>
      <c r="I3969" s="7" t="str">
        <f>IF(AND(ISBLANK(D3969),ISBLANK(C3969)),"",((VLOOKUP(D3969,Cardápio!$A$2:$C$16,3,0))*E3969)+IF(B3969="iFood",F3969*0.27,(VLOOKUP(VENDAS!C3969,Bairros!$A$2:$B$90,2,0))))</f>
        <v/>
      </c>
      <c r="J3969" s="7" t="str">
        <f t="shared" si="249"/>
        <v/>
      </c>
      <c r="K3969" s="9">
        <f t="shared" ca="1" si="250"/>
        <v>45404.878290277775</v>
      </c>
      <c r="L3969" s="10">
        <f t="shared" ca="1" si="251"/>
        <v>45404.878290046297</v>
      </c>
    </row>
    <row r="3970" spans="6:12" x14ac:dyDescent="0.25">
      <c r="F3970" s="11" t="str">
        <f>IF(ISBLANK(D3970),"",(VLOOKUP(D3970,Cardápio!$A$2:$B$16,2,0))*E3970)</f>
        <v/>
      </c>
      <c r="H3970" s="7" t="str">
        <f t="shared" si="248"/>
        <v/>
      </c>
      <c r="I3970" s="7" t="str">
        <f>IF(AND(ISBLANK(D3970),ISBLANK(C3970)),"",((VLOOKUP(D3970,Cardápio!$A$2:$C$16,3,0))*E3970)+IF(B3970="iFood",F3970*0.27,(VLOOKUP(VENDAS!C3970,Bairros!$A$2:$B$90,2,0))))</f>
        <v/>
      </c>
      <c r="J3970" s="7" t="str">
        <f t="shared" si="249"/>
        <v/>
      </c>
      <c r="K3970" s="9">
        <f t="shared" ca="1" si="250"/>
        <v>45404.878290162036</v>
      </c>
      <c r="L3970" s="10">
        <f t="shared" ca="1" si="251"/>
        <v>45404.878290046297</v>
      </c>
    </row>
    <row r="3971" spans="6:12" x14ac:dyDescent="0.25">
      <c r="F3971" s="11" t="str">
        <f>IF(ISBLANK(D3971),"",(VLOOKUP(D3971,Cardápio!$A$2:$B$16,2,0))*E3971)</f>
        <v/>
      </c>
      <c r="H3971" s="7" t="str">
        <f t="shared" si="248"/>
        <v/>
      </c>
      <c r="I3971" s="7" t="str">
        <f>IF(AND(ISBLANK(D3971),ISBLANK(C3971)),"",((VLOOKUP(D3971,Cardápio!$A$2:$C$16,3,0))*E3971)+IF(B3971="iFood",F3971*0.27,(VLOOKUP(VENDAS!C3971,Bairros!$A$2:$B$90,2,0))))</f>
        <v/>
      </c>
      <c r="J3971" s="7" t="str">
        <f t="shared" si="249"/>
        <v/>
      </c>
      <c r="K3971" s="9">
        <f t="shared" ca="1" si="250"/>
        <v>45404.878290162036</v>
      </c>
      <c r="L3971" s="10">
        <f t="shared" ca="1" si="251"/>
        <v>45404.878290162036</v>
      </c>
    </row>
    <row r="3972" spans="6:12" x14ac:dyDescent="0.25">
      <c r="F3972" s="11" t="str">
        <f>IF(ISBLANK(D3972),"",(VLOOKUP(D3972,Cardápio!$A$2:$B$16,2,0))*E3972)</f>
        <v/>
      </c>
      <c r="H3972" s="7" t="str">
        <f t="shared" si="248"/>
        <v/>
      </c>
      <c r="I3972" s="7" t="str">
        <f>IF(AND(ISBLANK(D3972),ISBLANK(C3972)),"",((VLOOKUP(D3972,Cardápio!$A$2:$C$16,3,0))*E3972)+IF(B3972="iFood",F3972*0.27,(VLOOKUP(VENDAS!C3972,Bairros!$A$2:$B$90,2,0))))</f>
        <v/>
      </c>
      <c r="J3972" s="7" t="str">
        <f t="shared" si="249"/>
        <v/>
      </c>
      <c r="K3972" s="9">
        <f t="shared" ca="1" si="250"/>
        <v>45404.878290162036</v>
      </c>
      <c r="L3972" s="10">
        <f t="shared" ca="1" si="251"/>
        <v>45404.878290046297</v>
      </c>
    </row>
    <row r="3973" spans="6:12" x14ac:dyDescent="0.25">
      <c r="F3973" s="11" t="str">
        <f>IF(ISBLANK(D3973),"",(VLOOKUP(D3973,Cardápio!$A$2:$B$16,2,0))*E3973)</f>
        <v/>
      </c>
      <c r="H3973" s="7" t="str">
        <f t="shared" si="248"/>
        <v/>
      </c>
      <c r="I3973" s="7" t="str">
        <f>IF(AND(ISBLANK(D3973),ISBLANK(C3973)),"",((VLOOKUP(D3973,Cardápio!$A$2:$C$16,3,0))*E3973)+IF(B3973="iFood",F3973*0.27,(VLOOKUP(VENDAS!C3973,Bairros!$A$2:$B$90,2,0))))</f>
        <v/>
      </c>
      <c r="J3973" s="7" t="str">
        <f t="shared" si="249"/>
        <v/>
      </c>
      <c r="K3973" s="9">
        <f t="shared" ca="1" si="250"/>
        <v>45404.878290277775</v>
      </c>
      <c r="L3973" s="10">
        <f t="shared" ca="1" si="251"/>
        <v>45404.878290046297</v>
      </c>
    </row>
    <row r="3974" spans="6:12" x14ac:dyDescent="0.25">
      <c r="F3974" s="11" t="str">
        <f>IF(ISBLANK(D3974),"",(VLOOKUP(D3974,Cardápio!$A$2:$B$16,2,0))*E3974)</f>
        <v/>
      </c>
      <c r="H3974" s="7" t="str">
        <f t="shared" si="248"/>
        <v/>
      </c>
      <c r="I3974" s="7" t="str">
        <f>IF(AND(ISBLANK(D3974),ISBLANK(C3974)),"",((VLOOKUP(D3974,Cardápio!$A$2:$C$16,3,0))*E3974)+IF(B3974="iFood",F3974*0.27,(VLOOKUP(VENDAS!C3974,Bairros!$A$2:$B$90,2,0))))</f>
        <v/>
      </c>
      <c r="J3974" s="7" t="str">
        <f t="shared" si="249"/>
        <v/>
      </c>
      <c r="K3974" s="9">
        <f t="shared" ca="1" si="250"/>
        <v>45404.878290162036</v>
      </c>
      <c r="L3974" s="10">
        <f t="shared" ca="1" si="251"/>
        <v>45404.878290046297</v>
      </c>
    </row>
    <row r="3975" spans="6:12" x14ac:dyDescent="0.25">
      <c r="F3975" s="11" t="str">
        <f>IF(ISBLANK(D3975),"",(VLOOKUP(D3975,Cardápio!$A$2:$B$16,2,0))*E3975)</f>
        <v/>
      </c>
      <c r="H3975" s="7" t="str">
        <f t="shared" si="248"/>
        <v/>
      </c>
      <c r="I3975" s="7" t="str">
        <f>IF(AND(ISBLANK(D3975),ISBLANK(C3975)),"",((VLOOKUP(D3975,Cardápio!$A$2:$C$16,3,0))*E3975)+IF(B3975="iFood",F3975*0.27,(VLOOKUP(VENDAS!C3975,Bairros!$A$2:$B$90,2,0))))</f>
        <v/>
      </c>
      <c r="J3975" s="7" t="str">
        <f t="shared" si="249"/>
        <v/>
      </c>
      <c r="K3975" s="9">
        <f t="shared" ca="1" si="250"/>
        <v>45404.878290162036</v>
      </c>
      <c r="L3975" s="10">
        <f t="shared" ca="1" si="251"/>
        <v>45404.878290162036</v>
      </c>
    </row>
    <row r="3976" spans="6:12" x14ac:dyDescent="0.25">
      <c r="F3976" s="11" t="str">
        <f>IF(ISBLANK(D3976),"",(VLOOKUP(D3976,Cardápio!$A$2:$B$16,2,0))*E3976)</f>
        <v/>
      </c>
      <c r="H3976" s="7" t="str">
        <f t="shared" si="248"/>
        <v/>
      </c>
      <c r="I3976" s="7" t="str">
        <f>IF(AND(ISBLANK(D3976),ISBLANK(C3976)),"",((VLOOKUP(D3976,Cardápio!$A$2:$C$16,3,0))*E3976)+IF(B3976="iFood",F3976*0.27,(VLOOKUP(VENDAS!C3976,Bairros!$A$2:$B$90,2,0))))</f>
        <v/>
      </c>
      <c r="J3976" s="7" t="str">
        <f t="shared" si="249"/>
        <v/>
      </c>
      <c r="K3976" s="9">
        <f t="shared" ca="1" si="250"/>
        <v>45404.878290162036</v>
      </c>
      <c r="L3976" s="10">
        <f t="shared" ca="1" si="251"/>
        <v>45404.878290046297</v>
      </c>
    </row>
    <row r="3977" spans="6:12" x14ac:dyDescent="0.25">
      <c r="F3977" s="11" t="str">
        <f>IF(ISBLANK(D3977),"",(VLOOKUP(D3977,Cardápio!$A$2:$B$16,2,0))*E3977)</f>
        <v/>
      </c>
      <c r="H3977" s="7" t="str">
        <f t="shared" si="248"/>
        <v/>
      </c>
      <c r="I3977" s="7" t="str">
        <f>IF(AND(ISBLANK(D3977),ISBLANK(C3977)),"",((VLOOKUP(D3977,Cardápio!$A$2:$C$16,3,0))*E3977)+IF(B3977="iFood",F3977*0.27,(VLOOKUP(VENDAS!C3977,Bairros!$A$2:$B$90,2,0))))</f>
        <v/>
      </c>
      <c r="J3977" s="7" t="str">
        <f t="shared" si="249"/>
        <v/>
      </c>
      <c r="K3977" s="9">
        <f t="shared" ca="1" si="250"/>
        <v>45404.878290277775</v>
      </c>
      <c r="L3977" s="10">
        <f t="shared" ca="1" si="251"/>
        <v>45404.878290046297</v>
      </c>
    </row>
    <row r="3978" spans="6:12" x14ac:dyDescent="0.25">
      <c r="F3978" s="11" t="str">
        <f>IF(ISBLANK(D3978),"",(VLOOKUP(D3978,Cardápio!$A$2:$B$16,2,0))*E3978)</f>
        <v/>
      </c>
      <c r="H3978" s="7" t="str">
        <f t="shared" si="248"/>
        <v/>
      </c>
      <c r="I3978" s="7" t="str">
        <f>IF(AND(ISBLANK(D3978),ISBLANK(C3978)),"",((VLOOKUP(D3978,Cardápio!$A$2:$C$16,3,0))*E3978)+IF(B3978="iFood",F3978*0.27,(VLOOKUP(VENDAS!C3978,Bairros!$A$2:$B$90,2,0))))</f>
        <v/>
      </c>
      <c r="J3978" s="7" t="str">
        <f t="shared" si="249"/>
        <v/>
      </c>
      <c r="K3978" s="9">
        <f t="shared" ca="1" si="250"/>
        <v>45404.878290162036</v>
      </c>
      <c r="L3978" s="10">
        <f t="shared" ca="1" si="251"/>
        <v>45404.878290046297</v>
      </c>
    </row>
    <row r="3979" spans="6:12" x14ac:dyDescent="0.25">
      <c r="F3979" s="11" t="str">
        <f>IF(ISBLANK(D3979),"",(VLOOKUP(D3979,Cardápio!$A$2:$B$16,2,0))*E3979)</f>
        <v/>
      </c>
      <c r="H3979" s="7" t="str">
        <f t="shared" si="248"/>
        <v/>
      </c>
      <c r="I3979" s="7" t="str">
        <f>IF(AND(ISBLANK(D3979),ISBLANK(C3979)),"",((VLOOKUP(D3979,Cardápio!$A$2:$C$16,3,0))*E3979)+IF(B3979="iFood",F3979*0.27,(VLOOKUP(VENDAS!C3979,Bairros!$A$2:$B$90,2,0))))</f>
        <v/>
      </c>
      <c r="J3979" s="7" t="str">
        <f t="shared" si="249"/>
        <v/>
      </c>
      <c r="K3979" s="9">
        <f t="shared" ca="1" si="250"/>
        <v>45404.878290162036</v>
      </c>
      <c r="L3979" s="10">
        <f t="shared" ca="1" si="251"/>
        <v>45404.878290162036</v>
      </c>
    </row>
    <row r="3980" spans="6:12" x14ac:dyDescent="0.25">
      <c r="F3980" s="11" t="str">
        <f>IF(ISBLANK(D3980),"",(VLOOKUP(D3980,Cardápio!$A$2:$B$16,2,0))*E3980)</f>
        <v/>
      </c>
      <c r="H3980" s="7" t="str">
        <f t="shared" si="248"/>
        <v/>
      </c>
      <c r="I3980" s="7" t="str">
        <f>IF(AND(ISBLANK(D3980),ISBLANK(C3980)),"",((VLOOKUP(D3980,Cardápio!$A$2:$C$16,3,0))*E3980)+IF(B3980="iFood",F3980*0.27,(VLOOKUP(VENDAS!C3980,Bairros!$A$2:$B$90,2,0))))</f>
        <v/>
      </c>
      <c r="J3980" s="7" t="str">
        <f t="shared" si="249"/>
        <v/>
      </c>
      <c r="K3980" s="9">
        <f t="shared" ca="1" si="250"/>
        <v>45404.878290162036</v>
      </c>
      <c r="L3980" s="10">
        <f t="shared" ca="1" si="251"/>
        <v>45404.878290046297</v>
      </c>
    </row>
    <row r="3981" spans="6:12" x14ac:dyDescent="0.25">
      <c r="F3981" s="11" t="str">
        <f>IF(ISBLANK(D3981),"",(VLOOKUP(D3981,Cardápio!$A$2:$B$16,2,0))*E3981)</f>
        <v/>
      </c>
      <c r="H3981" s="7" t="str">
        <f t="shared" si="248"/>
        <v/>
      </c>
      <c r="I3981" s="7" t="str">
        <f>IF(AND(ISBLANK(D3981),ISBLANK(C3981)),"",((VLOOKUP(D3981,Cardápio!$A$2:$C$16,3,0))*E3981)+IF(B3981="iFood",F3981*0.27,(VLOOKUP(VENDAS!C3981,Bairros!$A$2:$B$90,2,0))))</f>
        <v/>
      </c>
      <c r="J3981" s="7" t="str">
        <f t="shared" si="249"/>
        <v/>
      </c>
      <c r="K3981" s="9">
        <f t="shared" ca="1" si="250"/>
        <v>45404.878290277775</v>
      </c>
      <c r="L3981" s="10">
        <f t="shared" ca="1" si="251"/>
        <v>45404.878290046297</v>
      </c>
    </row>
    <row r="3982" spans="6:12" x14ac:dyDescent="0.25">
      <c r="F3982" s="11" t="str">
        <f>IF(ISBLANK(D3982),"",(VLOOKUP(D3982,Cardápio!$A$2:$B$16,2,0))*E3982)</f>
        <v/>
      </c>
      <c r="H3982" s="7" t="str">
        <f t="shared" si="248"/>
        <v/>
      </c>
      <c r="I3982" s="7" t="str">
        <f>IF(AND(ISBLANK(D3982),ISBLANK(C3982)),"",((VLOOKUP(D3982,Cardápio!$A$2:$C$16,3,0))*E3982)+IF(B3982="iFood",F3982*0.27,(VLOOKUP(VENDAS!C3982,Bairros!$A$2:$B$90,2,0))))</f>
        <v/>
      </c>
      <c r="J3982" s="7" t="str">
        <f t="shared" si="249"/>
        <v/>
      </c>
      <c r="K3982" s="9">
        <f t="shared" ca="1" si="250"/>
        <v>45404.878290162036</v>
      </c>
      <c r="L3982" s="10">
        <f t="shared" ca="1" si="251"/>
        <v>45404.878290046297</v>
      </c>
    </row>
    <row r="3983" spans="6:12" x14ac:dyDescent="0.25">
      <c r="F3983" s="11" t="str">
        <f>IF(ISBLANK(D3983),"",(VLOOKUP(D3983,Cardápio!$A$2:$B$16,2,0))*E3983)</f>
        <v/>
      </c>
      <c r="H3983" s="7" t="str">
        <f t="shared" si="248"/>
        <v/>
      </c>
      <c r="I3983" s="7" t="str">
        <f>IF(AND(ISBLANK(D3983),ISBLANK(C3983)),"",((VLOOKUP(D3983,Cardápio!$A$2:$C$16,3,0))*E3983)+IF(B3983="iFood",F3983*0.27,(VLOOKUP(VENDAS!C3983,Bairros!$A$2:$B$90,2,0))))</f>
        <v/>
      </c>
      <c r="J3983" s="7" t="str">
        <f t="shared" si="249"/>
        <v/>
      </c>
      <c r="K3983" s="9">
        <f t="shared" ca="1" si="250"/>
        <v>45404.878290162036</v>
      </c>
      <c r="L3983" s="10">
        <f t="shared" ca="1" si="251"/>
        <v>45404.878290162036</v>
      </c>
    </row>
    <row r="3984" spans="6:12" x14ac:dyDescent="0.25">
      <c r="F3984" s="11" t="str">
        <f>IF(ISBLANK(D3984),"",(VLOOKUP(D3984,Cardápio!$A$2:$B$16,2,0))*E3984)</f>
        <v/>
      </c>
      <c r="H3984" s="7" t="str">
        <f t="shared" si="248"/>
        <v/>
      </c>
      <c r="I3984" s="7" t="str">
        <f>IF(AND(ISBLANK(D3984),ISBLANK(C3984)),"",((VLOOKUP(D3984,Cardápio!$A$2:$C$16,3,0))*E3984)+IF(B3984="iFood",F3984*0.27,(VLOOKUP(VENDAS!C3984,Bairros!$A$2:$B$90,2,0))))</f>
        <v/>
      </c>
      <c r="J3984" s="7" t="str">
        <f t="shared" si="249"/>
        <v/>
      </c>
      <c r="K3984" s="9">
        <f t="shared" ca="1" si="250"/>
        <v>45404.878290162036</v>
      </c>
      <c r="L3984" s="10">
        <f t="shared" ca="1" si="251"/>
        <v>45404.878290046297</v>
      </c>
    </row>
    <row r="3985" spans="6:12" x14ac:dyDescent="0.25">
      <c r="F3985" s="11" t="str">
        <f>IF(ISBLANK(D3985),"",(VLOOKUP(D3985,Cardápio!$A$2:$B$16,2,0))*E3985)</f>
        <v/>
      </c>
      <c r="H3985" s="7" t="str">
        <f t="shared" si="248"/>
        <v/>
      </c>
      <c r="I3985" s="7" t="str">
        <f>IF(AND(ISBLANK(D3985),ISBLANK(C3985)),"",((VLOOKUP(D3985,Cardápio!$A$2:$C$16,3,0))*E3985)+IF(B3985="iFood",F3985*0.27,(VLOOKUP(VENDAS!C3985,Bairros!$A$2:$B$90,2,0))))</f>
        <v/>
      </c>
      <c r="J3985" s="7" t="str">
        <f t="shared" si="249"/>
        <v/>
      </c>
      <c r="K3985" s="9">
        <f t="shared" ca="1" si="250"/>
        <v>45404.878290277775</v>
      </c>
      <c r="L3985" s="10">
        <f t="shared" ca="1" si="251"/>
        <v>45404.878290046297</v>
      </c>
    </row>
    <row r="3986" spans="6:12" x14ac:dyDescent="0.25">
      <c r="F3986" s="11" t="str">
        <f>IF(ISBLANK(D3986),"",(VLOOKUP(D3986,Cardápio!$A$2:$B$16,2,0))*E3986)</f>
        <v/>
      </c>
      <c r="H3986" s="7" t="str">
        <f t="shared" si="248"/>
        <v/>
      </c>
      <c r="I3986" s="7" t="str">
        <f>IF(AND(ISBLANK(D3986),ISBLANK(C3986)),"",((VLOOKUP(D3986,Cardápio!$A$2:$C$16,3,0))*E3986)+IF(B3986="iFood",F3986*0.27,(VLOOKUP(VENDAS!C3986,Bairros!$A$2:$B$90,2,0))))</f>
        <v/>
      </c>
      <c r="J3986" s="7" t="str">
        <f t="shared" si="249"/>
        <v/>
      </c>
      <c r="K3986" s="9">
        <f t="shared" ca="1" si="250"/>
        <v>45404.878290162036</v>
      </c>
      <c r="L3986" s="10">
        <f t="shared" ca="1" si="251"/>
        <v>45404.878290046297</v>
      </c>
    </row>
    <row r="3987" spans="6:12" x14ac:dyDescent="0.25">
      <c r="F3987" s="11" t="str">
        <f>IF(ISBLANK(D3987),"",(VLOOKUP(D3987,Cardápio!$A$2:$B$16,2,0))*E3987)</f>
        <v/>
      </c>
      <c r="H3987" s="7" t="str">
        <f t="shared" si="248"/>
        <v/>
      </c>
      <c r="I3987" s="7" t="str">
        <f>IF(AND(ISBLANK(D3987),ISBLANK(C3987)),"",((VLOOKUP(D3987,Cardápio!$A$2:$C$16,3,0))*E3987)+IF(B3987="iFood",F3987*0.27,(VLOOKUP(VENDAS!C3987,Bairros!$A$2:$B$90,2,0))))</f>
        <v/>
      </c>
      <c r="J3987" s="7" t="str">
        <f t="shared" si="249"/>
        <v/>
      </c>
      <c r="K3987" s="9">
        <f t="shared" ca="1" si="250"/>
        <v>45404.878290162036</v>
      </c>
      <c r="L3987" s="10">
        <f t="shared" ca="1" si="251"/>
        <v>45404.878290162036</v>
      </c>
    </row>
    <row r="3988" spans="6:12" x14ac:dyDescent="0.25">
      <c r="F3988" s="11" t="str">
        <f>IF(ISBLANK(D3988),"",(VLOOKUP(D3988,Cardápio!$A$2:$B$16,2,0))*E3988)</f>
        <v/>
      </c>
      <c r="H3988" s="7" t="str">
        <f t="shared" si="248"/>
        <v/>
      </c>
      <c r="I3988" s="7" t="str">
        <f>IF(AND(ISBLANK(D3988),ISBLANK(C3988)),"",((VLOOKUP(D3988,Cardápio!$A$2:$C$16,3,0))*E3988)+IF(B3988="iFood",F3988*0.27,(VLOOKUP(VENDAS!C3988,Bairros!$A$2:$B$90,2,0))))</f>
        <v/>
      </c>
      <c r="J3988" s="7" t="str">
        <f t="shared" si="249"/>
        <v/>
      </c>
      <c r="K3988" s="9">
        <f t="shared" ca="1" si="250"/>
        <v>45404.878290162036</v>
      </c>
      <c r="L3988" s="10">
        <f t="shared" ca="1" si="251"/>
        <v>45404.878290046297</v>
      </c>
    </row>
    <row r="3989" spans="6:12" x14ac:dyDescent="0.25">
      <c r="F3989" s="11" t="str">
        <f>IF(ISBLANK(D3989),"",(VLOOKUP(D3989,Cardápio!$A$2:$B$16,2,0))*E3989)</f>
        <v/>
      </c>
      <c r="H3989" s="7" t="str">
        <f t="shared" si="248"/>
        <v/>
      </c>
      <c r="I3989" s="7" t="str">
        <f>IF(AND(ISBLANK(D3989),ISBLANK(C3989)),"",((VLOOKUP(D3989,Cardápio!$A$2:$C$16,3,0))*E3989)+IF(B3989="iFood",F3989*0.27,(VLOOKUP(VENDAS!C3989,Bairros!$A$2:$B$90,2,0))))</f>
        <v/>
      </c>
      <c r="J3989" s="7" t="str">
        <f t="shared" si="249"/>
        <v/>
      </c>
      <c r="K3989" s="9">
        <f t="shared" ca="1" si="250"/>
        <v>45404.878290277775</v>
      </c>
      <c r="L3989" s="10">
        <f t="shared" ca="1" si="251"/>
        <v>45404.878290046297</v>
      </c>
    </row>
    <row r="3990" spans="6:12" x14ac:dyDescent="0.25">
      <c r="F3990" s="11" t="str">
        <f>IF(ISBLANK(D3990),"",(VLOOKUP(D3990,Cardápio!$A$2:$B$16,2,0))*E3990)</f>
        <v/>
      </c>
      <c r="H3990" s="7" t="str">
        <f t="shared" si="248"/>
        <v/>
      </c>
      <c r="I3990" s="7" t="str">
        <f>IF(AND(ISBLANK(D3990),ISBLANK(C3990)),"",((VLOOKUP(D3990,Cardápio!$A$2:$C$16,3,0))*E3990)+IF(B3990="iFood",F3990*0.27,(VLOOKUP(VENDAS!C3990,Bairros!$A$2:$B$90,2,0))))</f>
        <v/>
      </c>
      <c r="J3990" s="7" t="str">
        <f t="shared" si="249"/>
        <v/>
      </c>
      <c r="K3990" s="9">
        <f t="shared" ca="1" si="250"/>
        <v>45404.878290162036</v>
      </c>
      <c r="L3990" s="10">
        <f t="shared" ca="1" si="251"/>
        <v>45404.878290046297</v>
      </c>
    </row>
    <row r="3991" spans="6:12" x14ac:dyDescent="0.25">
      <c r="F3991" s="11" t="str">
        <f>IF(ISBLANK(D3991),"",(VLOOKUP(D3991,Cardápio!$A$2:$B$16,2,0))*E3991)</f>
        <v/>
      </c>
      <c r="H3991" s="7" t="str">
        <f t="shared" si="248"/>
        <v/>
      </c>
      <c r="I3991" s="7" t="str">
        <f>IF(AND(ISBLANK(D3991),ISBLANK(C3991)),"",((VLOOKUP(D3991,Cardápio!$A$2:$C$16,3,0))*E3991)+IF(B3991="iFood",F3991*0.27,(VLOOKUP(VENDAS!C3991,Bairros!$A$2:$B$90,2,0))))</f>
        <v/>
      </c>
      <c r="J3991" s="7" t="str">
        <f t="shared" si="249"/>
        <v/>
      </c>
      <c r="K3991" s="9">
        <f t="shared" ca="1" si="250"/>
        <v>45404.878290162036</v>
      </c>
      <c r="L3991" s="10">
        <f t="shared" ca="1" si="251"/>
        <v>45404.878290162036</v>
      </c>
    </row>
    <row r="3992" spans="6:12" x14ac:dyDescent="0.25">
      <c r="F3992" s="11" t="str">
        <f>IF(ISBLANK(D3992),"",(VLOOKUP(D3992,Cardápio!$A$2:$B$16,2,0))*E3992)</f>
        <v/>
      </c>
      <c r="H3992" s="7" t="str">
        <f t="shared" si="248"/>
        <v/>
      </c>
      <c r="I3992" s="7" t="str">
        <f>IF(AND(ISBLANK(D3992),ISBLANK(C3992)),"",((VLOOKUP(D3992,Cardápio!$A$2:$C$16,3,0))*E3992)+IF(B3992="iFood",F3992*0.27,(VLOOKUP(VENDAS!C3992,Bairros!$A$2:$B$90,2,0))))</f>
        <v/>
      </c>
      <c r="J3992" s="7" t="str">
        <f t="shared" si="249"/>
        <v/>
      </c>
      <c r="K3992" s="9">
        <f t="shared" ca="1" si="250"/>
        <v>45404.878290162036</v>
      </c>
      <c r="L3992" s="10">
        <f t="shared" ca="1" si="251"/>
        <v>45404.878290046297</v>
      </c>
    </row>
    <row r="3993" spans="6:12" x14ac:dyDescent="0.25">
      <c r="F3993" s="11" t="str">
        <f>IF(ISBLANK(D3993),"",(VLOOKUP(D3993,Cardápio!$A$2:$B$16,2,0))*E3993)</f>
        <v/>
      </c>
      <c r="H3993" s="7" t="str">
        <f t="shared" si="248"/>
        <v/>
      </c>
      <c r="I3993" s="7" t="str">
        <f>IF(AND(ISBLANK(D3993),ISBLANK(C3993)),"",((VLOOKUP(D3993,Cardápio!$A$2:$C$16,3,0))*E3993)+IF(B3993="iFood",F3993*0.27,(VLOOKUP(VENDAS!C3993,Bairros!$A$2:$B$90,2,0))))</f>
        <v/>
      </c>
      <c r="J3993" s="7" t="str">
        <f t="shared" si="249"/>
        <v/>
      </c>
      <c r="K3993" s="9">
        <f t="shared" ca="1" si="250"/>
        <v>45404.878290277775</v>
      </c>
      <c r="L3993" s="10">
        <f t="shared" ca="1" si="251"/>
        <v>45404.878290046297</v>
      </c>
    </row>
    <row r="3994" spans="6:12" x14ac:dyDescent="0.25">
      <c r="F3994" s="11" t="str">
        <f>IF(ISBLANK(D3994),"",(VLOOKUP(D3994,Cardápio!$A$2:$B$16,2,0))*E3994)</f>
        <v/>
      </c>
      <c r="H3994" s="7" t="str">
        <f t="shared" si="248"/>
        <v/>
      </c>
      <c r="I3994" s="7" t="str">
        <f>IF(AND(ISBLANK(D3994),ISBLANK(C3994)),"",((VLOOKUP(D3994,Cardápio!$A$2:$C$16,3,0))*E3994)+IF(B3994="iFood",F3994*0.27,(VLOOKUP(VENDAS!C3994,Bairros!$A$2:$B$90,2,0))))</f>
        <v/>
      </c>
      <c r="J3994" s="7" t="str">
        <f t="shared" si="249"/>
        <v/>
      </c>
      <c r="K3994" s="9">
        <f t="shared" ca="1" si="250"/>
        <v>45404.878290162036</v>
      </c>
      <c r="L3994" s="10">
        <f t="shared" ca="1" si="251"/>
        <v>45404.878290046297</v>
      </c>
    </row>
    <row r="3995" spans="6:12" x14ac:dyDescent="0.25">
      <c r="F3995" s="11" t="str">
        <f>IF(ISBLANK(D3995),"",(VLOOKUP(D3995,Cardápio!$A$2:$B$16,2,0))*E3995)</f>
        <v/>
      </c>
      <c r="H3995" s="7" t="str">
        <f t="shared" si="248"/>
        <v/>
      </c>
      <c r="I3995" s="7" t="str">
        <f>IF(AND(ISBLANK(D3995),ISBLANK(C3995)),"",((VLOOKUP(D3995,Cardápio!$A$2:$C$16,3,0))*E3995)+IF(B3995="iFood",F3995*0.27,(VLOOKUP(VENDAS!C3995,Bairros!$A$2:$B$90,2,0))))</f>
        <v/>
      </c>
      <c r="J3995" s="7" t="str">
        <f t="shared" si="249"/>
        <v/>
      </c>
      <c r="K3995" s="9">
        <f t="shared" ca="1" si="250"/>
        <v>45404.878290162036</v>
      </c>
      <c r="L3995" s="10">
        <f t="shared" ca="1" si="251"/>
        <v>45404.878290162036</v>
      </c>
    </row>
    <row r="3996" spans="6:12" x14ac:dyDescent="0.25">
      <c r="F3996" s="11" t="str">
        <f>IF(ISBLANK(D3996),"",(VLOOKUP(D3996,Cardápio!$A$2:$B$16,2,0))*E3996)</f>
        <v/>
      </c>
      <c r="H3996" s="7" t="str">
        <f t="shared" si="248"/>
        <v/>
      </c>
      <c r="I3996" s="7" t="str">
        <f>IF(AND(ISBLANK(D3996),ISBLANK(C3996)),"",((VLOOKUP(D3996,Cardápio!$A$2:$C$16,3,0))*E3996)+IF(B3996="iFood",F3996*0.27,(VLOOKUP(VENDAS!C3996,Bairros!$A$2:$B$90,2,0))))</f>
        <v/>
      </c>
      <c r="J3996" s="7" t="str">
        <f t="shared" si="249"/>
        <v/>
      </c>
      <c r="K3996" s="9">
        <f t="shared" ca="1" si="250"/>
        <v>45404.878290162036</v>
      </c>
      <c r="L3996" s="10">
        <f t="shared" ca="1" si="251"/>
        <v>45404.878290046297</v>
      </c>
    </row>
    <row r="3997" spans="6:12" x14ac:dyDescent="0.25">
      <c r="F3997" s="11" t="str">
        <f>IF(ISBLANK(D3997),"",(VLOOKUP(D3997,Cardápio!$A$2:$B$16,2,0))*E3997)</f>
        <v/>
      </c>
      <c r="H3997" s="7" t="str">
        <f t="shared" si="248"/>
        <v/>
      </c>
      <c r="I3997" s="7" t="str">
        <f>IF(AND(ISBLANK(D3997),ISBLANK(C3997)),"",((VLOOKUP(D3997,Cardápio!$A$2:$C$16,3,0))*E3997)+IF(B3997="iFood",F3997*0.27,(VLOOKUP(VENDAS!C3997,Bairros!$A$2:$B$90,2,0))))</f>
        <v/>
      </c>
      <c r="J3997" s="7" t="str">
        <f t="shared" si="249"/>
        <v/>
      </c>
      <c r="K3997" s="9">
        <f t="shared" ca="1" si="250"/>
        <v>45404.878290277775</v>
      </c>
      <c r="L3997" s="10">
        <f t="shared" ca="1" si="251"/>
        <v>45404.878290046297</v>
      </c>
    </row>
    <row r="3998" spans="6:12" x14ac:dyDescent="0.25">
      <c r="F3998" s="11" t="str">
        <f>IF(ISBLANK(D3998),"",(VLOOKUP(D3998,Cardápio!$A$2:$B$16,2,0))*E3998)</f>
        <v/>
      </c>
      <c r="H3998" s="7" t="str">
        <f t="shared" si="248"/>
        <v/>
      </c>
      <c r="I3998" s="7" t="str">
        <f>IF(AND(ISBLANK(D3998),ISBLANK(C3998)),"",((VLOOKUP(D3998,Cardápio!$A$2:$C$16,3,0))*E3998)+IF(B3998="iFood",F3998*0.27,(VLOOKUP(VENDAS!C3998,Bairros!$A$2:$B$90,2,0))))</f>
        <v/>
      </c>
      <c r="J3998" s="7" t="str">
        <f t="shared" si="249"/>
        <v/>
      </c>
      <c r="K3998" s="9">
        <f t="shared" ca="1" si="250"/>
        <v>45404.878290162036</v>
      </c>
      <c r="L3998" s="10">
        <f t="shared" ca="1" si="251"/>
        <v>45404.878290046297</v>
      </c>
    </row>
    <row r="3999" spans="6:12" x14ac:dyDescent="0.25">
      <c r="F3999" s="11" t="str">
        <f>IF(ISBLANK(D3999),"",(VLOOKUP(D3999,Cardápio!$A$2:$B$16,2,0))*E3999)</f>
        <v/>
      </c>
      <c r="H3999" s="7" t="str">
        <f t="shared" si="248"/>
        <v/>
      </c>
      <c r="I3999" s="7" t="str">
        <f>IF(AND(ISBLANK(D3999),ISBLANK(C3999)),"",((VLOOKUP(D3999,Cardápio!$A$2:$C$16,3,0))*E3999)+IF(B3999="iFood",F3999*0.27,(VLOOKUP(VENDAS!C3999,Bairros!$A$2:$B$90,2,0))))</f>
        <v/>
      </c>
      <c r="J3999" s="7" t="str">
        <f t="shared" si="249"/>
        <v/>
      </c>
      <c r="K3999" s="9">
        <f t="shared" ca="1" si="250"/>
        <v>45404.878290162036</v>
      </c>
      <c r="L3999" s="10">
        <f t="shared" ca="1" si="251"/>
        <v>45404.878290162036</v>
      </c>
    </row>
    <row r="4000" spans="6:12" x14ac:dyDescent="0.25">
      <c r="F4000" s="11" t="str">
        <f>IF(ISBLANK(D4000),"",(VLOOKUP(D4000,Cardápio!$A$2:$B$16,2,0))*E4000)</f>
        <v/>
      </c>
      <c r="H4000" s="7" t="str">
        <f t="shared" si="248"/>
        <v/>
      </c>
      <c r="I4000" s="7" t="str">
        <f>IF(AND(ISBLANK(D4000),ISBLANK(C4000)),"",((VLOOKUP(D4000,Cardápio!$A$2:$C$16,3,0))*E4000)+IF(B4000="iFood",F4000*0.27,(VLOOKUP(VENDAS!C4000,Bairros!$A$2:$B$90,2,0))))</f>
        <v/>
      </c>
      <c r="J4000" s="7" t="str">
        <f t="shared" si="249"/>
        <v/>
      </c>
      <c r="K4000" s="9">
        <f t="shared" ca="1" si="250"/>
        <v>45404.878290162036</v>
      </c>
      <c r="L4000" s="10">
        <f t="shared" ca="1" si="251"/>
        <v>45404.878290046297</v>
      </c>
    </row>
    <row r="4001" spans="6:12" x14ac:dyDescent="0.25">
      <c r="F4001" s="11" t="str">
        <f>IF(ISBLANK(D4001),"",(VLOOKUP(D4001,Cardápio!$A$2:$B$16,2,0))*E4001)</f>
        <v/>
      </c>
      <c r="H4001" s="7" t="str">
        <f t="shared" si="248"/>
        <v/>
      </c>
      <c r="I4001" s="7" t="str">
        <f>IF(AND(ISBLANK(D4001),ISBLANK(C4001)),"",((VLOOKUP(D4001,Cardápio!$A$2:$C$16,3,0))*E4001)+IF(B4001="iFood",F4001*0.27,(VLOOKUP(VENDAS!C4001,Bairros!$A$2:$B$90,2,0))))</f>
        <v/>
      </c>
      <c r="J4001" s="7" t="str">
        <f t="shared" si="249"/>
        <v/>
      </c>
      <c r="K4001" s="9">
        <f t="shared" ca="1" si="250"/>
        <v>45404.878290277775</v>
      </c>
      <c r="L4001" s="10">
        <f t="shared" ca="1" si="251"/>
        <v>45404.878290046297</v>
      </c>
    </row>
    <row r="4002" spans="6:12" x14ac:dyDescent="0.25">
      <c r="F4002" s="11" t="str">
        <f>IF(ISBLANK(D4002),"",(VLOOKUP(D4002,Cardápio!$A$2:$B$16,2,0))*E4002)</f>
        <v/>
      </c>
      <c r="H4002" s="7" t="str">
        <f t="shared" si="248"/>
        <v/>
      </c>
      <c r="I4002" s="7" t="str">
        <f>IF(AND(ISBLANK(D4002),ISBLANK(C4002)),"",((VLOOKUP(D4002,Cardápio!$A$2:$C$16,3,0))*E4002)+IF(B4002="iFood",F4002*0.27,(VLOOKUP(VENDAS!C4002,Bairros!$A$2:$B$90,2,0))))</f>
        <v/>
      </c>
      <c r="J4002" s="7" t="str">
        <f t="shared" si="249"/>
        <v/>
      </c>
      <c r="K4002" s="9">
        <f t="shared" ca="1" si="250"/>
        <v>45404.878290162036</v>
      </c>
      <c r="L4002" s="10">
        <f t="shared" ca="1" si="251"/>
        <v>45404.878290046297</v>
      </c>
    </row>
    <row r="4003" spans="6:12" x14ac:dyDescent="0.25">
      <c r="F4003" s="11" t="str">
        <f>IF(ISBLANK(D4003),"",(VLOOKUP(D4003,Cardápio!$A$2:$B$16,2,0))*E4003)</f>
        <v/>
      </c>
      <c r="H4003" s="7" t="str">
        <f t="shared" si="248"/>
        <v/>
      </c>
      <c r="I4003" s="7" t="str">
        <f>IF(AND(ISBLANK(D4003),ISBLANK(C4003)),"",((VLOOKUP(D4003,Cardápio!$A$2:$C$16,3,0))*E4003)+IF(B4003="iFood",F4003*0.27,(VLOOKUP(VENDAS!C4003,Bairros!$A$2:$B$90,2,0))))</f>
        <v/>
      </c>
      <c r="J4003" s="7" t="str">
        <f t="shared" si="249"/>
        <v/>
      </c>
      <c r="K4003" s="9">
        <f t="shared" ca="1" si="250"/>
        <v>45404.878290162036</v>
      </c>
      <c r="L4003" s="10">
        <f t="shared" ca="1" si="251"/>
        <v>45404.878290162036</v>
      </c>
    </row>
    <row r="4004" spans="6:12" x14ac:dyDescent="0.25">
      <c r="F4004" s="11" t="str">
        <f>IF(ISBLANK(D4004),"",(VLOOKUP(D4004,Cardápio!$A$2:$B$16,2,0))*E4004)</f>
        <v/>
      </c>
      <c r="H4004" s="7" t="str">
        <f t="shared" si="248"/>
        <v/>
      </c>
      <c r="I4004" s="7" t="str">
        <f>IF(AND(ISBLANK(D4004),ISBLANK(C4004)),"",((VLOOKUP(D4004,Cardápio!$A$2:$C$16,3,0))*E4004)+IF(B4004="iFood",F4004*0.27,(VLOOKUP(VENDAS!C4004,Bairros!$A$2:$B$90,2,0))))</f>
        <v/>
      </c>
      <c r="J4004" s="7" t="str">
        <f t="shared" si="249"/>
        <v/>
      </c>
      <c r="K4004" s="9">
        <f t="shared" ca="1" si="250"/>
        <v>45404.878290162036</v>
      </c>
      <c r="L4004" s="10">
        <f t="shared" ca="1" si="251"/>
        <v>45404.878290046297</v>
      </c>
    </row>
    <row r="4005" spans="6:12" x14ac:dyDescent="0.25">
      <c r="F4005" s="11" t="str">
        <f>IF(ISBLANK(D4005),"",(VLOOKUP(D4005,Cardápio!$A$2:$B$16,2,0))*E4005)</f>
        <v/>
      </c>
      <c r="H4005" s="7" t="str">
        <f t="shared" si="248"/>
        <v/>
      </c>
      <c r="I4005" s="7" t="str">
        <f>IF(AND(ISBLANK(D4005),ISBLANK(C4005)),"",((VLOOKUP(D4005,Cardápio!$A$2:$C$16,3,0))*E4005)+IF(B4005="iFood",F4005*0.27,(VLOOKUP(VENDAS!C4005,Bairros!$A$2:$B$90,2,0))))</f>
        <v/>
      </c>
      <c r="J4005" s="7" t="str">
        <f t="shared" si="249"/>
        <v/>
      </c>
      <c r="K4005" s="9">
        <f t="shared" ca="1" si="250"/>
        <v>45404.878290277775</v>
      </c>
      <c r="L4005" s="10">
        <f t="shared" ca="1" si="251"/>
        <v>45404.878290046297</v>
      </c>
    </row>
    <row r="4006" spans="6:12" x14ac:dyDescent="0.25">
      <c r="F4006" s="11" t="str">
        <f>IF(ISBLANK(D4006),"",(VLOOKUP(D4006,Cardápio!$A$2:$B$16,2,0))*E4006)</f>
        <v/>
      </c>
      <c r="H4006" s="7" t="str">
        <f t="shared" si="248"/>
        <v/>
      </c>
      <c r="I4006" s="7" t="str">
        <f>IF(AND(ISBLANK(D4006),ISBLANK(C4006)),"",((VLOOKUP(D4006,Cardápio!$A$2:$C$16,3,0))*E4006)+IF(B4006="iFood",F4006*0.27,(VLOOKUP(VENDAS!C4006,Bairros!$A$2:$B$90,2,0))))</f>
        <v/>
      </c>
      <c r="J4006" s="7" t="str">
        <f t="shared" si="249"/>
        <v/>
      </c>
      <c r="K4006" s="9">
        <f t="shared" ca="1" si="250"/>
        <v>45404.878290162036</v>
      </c>
      <c r="L4006" s="10">
        <f t="shared" ca="1" si="251"/>
        <v>45404.878290046297</v>
      </c>
    </row>
    <row r="4007" spans="6:12" x14ac:dyDescent="0.25">
      <c r="F4007" s="11" t="str">
        <f>IF(ISBLANK(D4007),"",(VLOOKUP(D4007,Cardápio!$A$2:$B$16,2,0))*E4007)</f>
        <v/>
      </c>
      <c r="H4007" s="7" t="str">
        <f t="shared" si="248"/>
        <v/>
      </c>
      <c r="I4007" s="7" t="str">
        <f>IF(AND(ISBLANK(D4007),ISBLANK(C4007)),"",((VLOOKUP(D4007,Cardápio!$A$2:$C$16,3,0))*E4007)+IF(B4007="iFood",F4007*0.27,(VLOOKUP(VENDAS!C4007,Bairros!$A$2:$B$90,2,0))))</f>
        <v/>
      </c>
      <c r="J4007" s="7" t="str">
        <f t="shared" si="249"/>
        <v/>
      </c>
      <c r="K4007" s="9">
        <f t="shared" ca="1" si="250"/>
        <v>45404.878290162036</v>
      </c>
      <c r="L4007" s="10">
        <f t="shared" ca="1" si="251"/>
        <v>45404.878290162036</v>
      </c>
    </row>
    <row r="4008" spans="6:12" x14ac:dyDescent="0.25">
      <c r="F4008" s="11" t="str">
        <f>IF(ISBLANK(D4008),"",(VLOOKUP(D4008,Cardápio!$A$2:$B$16,2,0))*E4008)</f>
        <v/>
      </c>
      <c r="H4008" s="7" t="str">
        <f t="shared" si="248"/>
        <v/>
      </c>
      <c r="I4008" s="7" t="str">
        <f>IF(AND(ISBLANK(D4008),ISBLANK(C4008)),"",((VLOOKUP(D4008,Cardápio!$A$2:$C$16,3,0))*E4008)+IF(B4008="iFood",F4008*0.27,(VLOOKUP(VENDAS!C4008,Bairros!$A$2:$B$90,2,0))))</f>
        <v/>
      </c>
      <c r="J4008" s="7" t="str">
        <f t="shared" si="249"/>
        <v/>
      </c>
      <c r="K4008" s="9">
        <f t="shared" ca="1" si="250"/>
        <v>45404.878290162036</v>
      </c>
      <c r="L4008" s="10">
        <f t="shared" ca="1" si="251"/>
        <v>45404.878290046297</v>
      </c>
    </row>
    <row r="4009" spans="6:12" x14ac:dyDescent="0.25">
      <c r="F4009" s="11" t="str">
        <f>IF(ISBLANK(D4009),"",(VLOOKUP(D4009,Cardápio!$A$2:$B$16,2,0))*E4009)</f>
        <v/>
      </c>
      <c r="H4009" s="7" t="str">
        <f t="shared" si="248"/>
        <v/>
      </c>
      <c r="I4009" s="7" t="str">
        <f>IF(AND(ISBLANK(D4009),ISBLANK(C4009)),"",((VLOOKUP(D4009,Cardápio!$A$2:$C$16,3,0))*E4009)+IF(B4009="iFood",F4009*0.27,(VLOOKUP(VENDAS!C4009,Bairros!$A$2:$B$90,2,0))))</f>
        <v/>
      </c>
      <c r="J4009" s="7" t="str">
        <f t="shared" si="249"/>
        <v/>
      </c>
      <c r="K4009" s="9">
        <f t="shared" ca="1" si="250"/>
        <v>45404.878290277775</v>
      </c>
      <c r="L4009" s="10">
        <f t="shared" ca="1" si="251"/>
        <v>45404.878290046297</v>
      </c>
    </row>
    <row r="4010" spans="6:12" x14ac:dyDescent="0.25">
      <c r="F4010" s="11" t="str">
        <f>IF(ISBLANK(D4010),"",(VLOOKUP(D4010,Cardápio!$A$2:$B$16,2,0))*E4010)</f>
        <v/>
      </c>
      <c r="H4010" s="7" t="str">
        <f t="shared" si="248"/>
        <v/>
      </c>
      <c r="I4010" s="7" t="str">
        <f>IF(AND(ISBLANK(D4010),ISBLANK(C4010)),"",((VLOOKUP(D4010,Cardápio!$A$2:$C$16,3,0))*E4010)+IF(B4010="iFood",F4010*0.27,(VLOOKUP(VENDAS!C4010,Bairros!$A$2:$B$90,2,0))))</f>
        <v/>
      </c>
      <c r="J4010" s="7" t="str">
        <f t="shared" si="249"/>
        <v/>
      </c>
      <c r="K4010" s="9">
        <f t="shared" ca="1" si="250"/>
        <v>45404.878290162036</v>
      </c>
      <c r="L4010" s="10">
        <f t="shared" ca="1" si="251"/>
        <v>45404.878290046297</v>
      </c>
    </row>
    <row r="4011" spans="6:12" x14ac:dyDescent="0.25">
      <c r="F4011" s="11" t="str">
        <f>IF(ISBLANK(D4011),"",(VLOOKUP(D4011,Cardápio!$A$2:$B$16,2,0))*E4011)</f>
        <v/>
      </c>
      <c r="H4011" s="7" t="str">
        <f t="shared" si="248"/>
        <v/>
      </c>
      <c r="I4011" s="7" t="str">
        <f>IF(AND(ISBLANK(D4011),ISBLANK(C4011)),"",((VLOOKUP(D4011,Cardápio!$A$2:$C$16,3,0))*E4011)+IF(B4011="iFood",F4011*0.27,(VLOOKUP(VENDAS!C4011,Bairros!$A$2:$B$90,2,0))))</f>
        <v/>
      </c>
      <c r="J4011" s="7" t="str">
        <f t="shared" si="249"/>
        <v/>
      </c>
      <c r="K4011" s="9">
        <f t="shared" ca="1" si="250"/>
        <v>45404.878290162036</v>
      </c>
      <c r="L4011" s="10">
        <f t="shared" ca="1" si="251"/>
        <v>45404.878290162036</v>
      </c>
    </row>
    <row r="4012" spans="6:12" x14ac:dyDescent="0.25">
      <c r="F4012" s="11" t="str">
        <f>IF(ISBLANK(D4012),"",(VLOOKUP(D4012,Cardápio!$A$2:$B$16,2,0))*E4012)</f>
        <v/>
      </c>
      <c r="H4012" s="7" t="str">
        <f t="shared" si="248"/>
        <v/>
      </c>
      <c r="I4012" s="7" t="str">
        <f>IF(AND(ISBLANK(D4012),ISBLANK(C4012)),"",((VLOOKUP(D4012,Cardápio!$A$2:$C$16,3,0))*E4012)+IF(B4012="iFood",F4012*0.27,(VLOOKUP(VENDAS!C4012,Bairros!$A$2:$B$90,2,0))))</f>
        <v/>
      </c>
      <c r="J4012" s="7" t="str">
        <f t="shared" si="249"/>
        <v/>
      </c>
      <c r="K4012" s="9">
        <f t="shared" ca="1" si="250"/>
        <v>45404.878290162036</v>
      </c>
      <c r="L4012" s="10">
        <f t="shared" ca="1" si="251"/>
        <v>45404.878290046297</v>
      </c>
    </row>
    <row r="4013" spans="6:12" x14ac:dyDescent="0.25">
      <c r="F4013" s="11" t="str">
        <f>IF(ISBLANK(D4013),"",(VLOOKUP(D4013,Cardápio!$A$2:$B$16,2,0))*E4013)</f>
        <v/>
      </c>
      <c r="H4013" s="7" t="str">
        <f t="shared" si="248"/>
        <v/>
      </c>
      <c r="I4013" s="7" t="str">
        <f>IF(AND(ISBLANK(D4013),ISBLANK(C4013)),"",((VLOOKUP(D4013,Cardápio!$A$2:$C$16,3,0))*E4013)+IF(B4013="iFood",F4013*0.27,(VLOOKUP(VENDAS!C4013,Bairros!$A$2:$B$90,2,0))))</f>
        <v/>
      </c>
      <c r="J4013" s="7" t="str">
        <f t="shared" si="249"/>
        <v/>
      </c>
      <c r="K4013" s="9">
        <f t="shared" ca="1" si="250"/>
        <v>45404.878290277775</v>
      </c>
      <c r="L4013" s="10">
        <f t="shared" ca="1" si="251"/>
        <v>45404.878290046297</v>
      </c>
    </row>
    <row r="4014" spans="6:12" x14ac:dyDescent="0.25">
      <c r="F4014" s="11" t="str">
        <f>IF(ISBLANK(D4014),"",(VLOOKUP(D4014,Cardápio!$A$2:$B$16,2,0))*E4014)</f>
        <v/>
      </c>
      <c r="H4014" s="7" t="str">
        <f t="shared" si="248"/>
        <v/>
      </c>
      <c r="I4014" s="7" t="str">
        <f>IF(AND(ISBLANK(D4014),ISBLANK(C4014)),"",((VLOOKUP(D4014,Cardápio!$A$2:$C$16,3,0))*E4014)+IF(B4014="iFood",F4014*0.27,(VLOOKUP(VENDAS!C4014,Bairros!$A$2:$B$90,2,0))))</f>
        <v/>
      </c>
      <c r="J4014" s="7" t="str">
        <f t="shared" si="249"/>
        <v/>
      </c>
      <c r="K4014" s="9">
        <f t="shared" ca="1" si="250"/>
        <v>45404.878290162036</v>
      </c>
      <c r="L4014" s="10">
        <f t="shared" ca="1" si="251"/>
        <v>45404.878290046297</v>
      </c>
    </row>
    <row r="4015" spans="6:12" x14ac:dyDescent="0.25">
      <c r="F4015" s="11" t="str">
        <f>IF(ISBLANK(D4015),"",(VLOOKUP(D4015,Cardápio!$A$2:$B$16,2,0))*E4015)</f>
        <v/>
      </c>
      <c r="H4015" s="7" t="str">
        <f t="shared" si="248"/>
        <v/>
      </c>
      <c r="I4015" s="7" t="str">
        <f>IF(AND(ISBLANK(D4015),ISBLANK(C4015)),"",((VLOOKUP(D4015,Cardápio!$A$2:$C$16,3,0))*E4015)+IF(B4015="iFood",F4015*0.27,(VLOOKUP(VENDAS!C4015,Bairros!$A$2:$B$90,2,0))))</f>
        <v/>
      </c>
      <c r="J4015" s="7" t="str">
        <f t="shared" si="249"/>
        <v/>
      </c>
      <c r="K4015" s="9">
        <f t="shared" ca="1" si="250"/>
        <v>45404.878290162036</v>
      </c>
      <c r="L4015" s="10">
        <f t="shared" ca="1" si="251"/>
        <v>45404.878290162036</v>
      </c>
    </row>
    <row r="4016" spans="6:12" x14ac:dyDescent="0.25">
      <c r="F4016" s="11" t="str">
        <f>IF(ISBLANK(D4016),"",(VLOOKUP(D4016,Cardápio!$A$2:$B$16,2,0))*E4016)</f>
        <v/>
      </c>
      <c r="H4016" s="7" t="str">
        <f t="shared" si="248"/>
        <v/>
      </c>
      <c r="I4016" s="7" t="str">
        <f>IF(AND(ISBLANK(D4016),ISBLANK(C4016)),"",((VLOOKUP(D4016,Cardápio!$A$2:$C$16,3,0))*E4016)+IF(B4016="iFood",F4016*0.27,(VLOOKUP(VENDAS!C4016,Bairros!$A$2:$B$90,2,0))))</f>
        <v/>
      </c>
      <c r="J4016" s="7" t="str">
        <f t="shared" si="249"/>
        <v/>
      </c>
      <c r="K4016" s="9">
        <f t="shared" ca="1" si="250"/>
        <v>45404.878290162036</v>
      </c>
      <c r="L4016" s="10">
        <f t="shared" ca="1" si="251"/>
        <v>45404.878290046297</v>
      </c>
    </row>
    <row r="4017" spans="6:12" x14ac:dyDescent="0.25">
      <c r="F4017" s="11" t="str">
        <f>IF(ISBLANK(D4017),"",(VLOOKUP(D4017,Cardápio!$A$2:$B$16,2,0))*E4017)</f>
        <v/>
      </c>
      <c r="H4017" s="7" t="str">
        <f t="shared" si="248"/>
        <v/>
      </c>
      <c r="I4017" s="7" t="str">
        <f>IF(AND(ISBLANK(D4017),ISBLANK(C4017)),"",((VLOOKUP(D4017,Cardápio!$A$2:$C$16,3,0))*E4017)+IF(B4017="iFood",F4017*0.27,(VLOOKUP(VENDAS!C4017,Bairros!$A$2:$B$90,2,0))))</f>
        <v/>
      </c>
      <c r="J4017" s="7" t="str">
        <f t="shared" si="249"/>
        <v/>
      </c>
      <c r="K4017" s="9">
        <f t="shared" ca="1" si="250"/>
        <v>45404.878290277775</v>
      </c>
      <c r="L4017" s="10">
        <f t="shared" ca="1" si="251"/>
        <v>45404.878290046297</v>
      </c>
    </row>
    <row r="4018" spans="6:12" x14ac:dyDescent="0.25">
      <c r="F4018" s="11" t="str">
        <f>IF(ISBLANK(D4018),"",(VLOOKUP(D4018,Cardápio!$A$2:$B$16,2,0))*E4018)</f>
        <v/>
      </c>
      <c r="H4018" s="7" t="str">
        <f t="shared" si="248"/>
        <v/>
      </c>
      <c r="I4018" s="7" t="str">
        <f>IF(AND(ISBLANK(D4018),ISBLANK(C4018)),"",((VLOOKUP(D4018,Cardápio!$A$2:$C$16,3,0))*E4018)+IF(B4018="iFood",F4018*0.27,(VLOOKUP(VENDAS!C4018,Bairros!$A$2:$B$90,2,0))))</f>
        <v/>
      </c>
      <c r="J4018" s="7" t="str">
        <f t="shared" si="249"/>
        <v/>
      </c>
      <c r="K4018" s="9">
        <f t="shared" ca="1" si="250"/>
        <v>45404.878290162036</v>
      </c>
      <c r="L4018" s="10">
        <f t="shared" ca="1" si="251"/>
        <v>45404.878290046297</v>
      </c>
    </row>
    <row r="4019" spans="6:12" x14ac:dyDescent="0.25">
      <c r="F4019" s="11" t="str">
        <f>IF(ISBLANK(D4019),"",(VLOOKUP(D4019,Cardápio!$A$2:$B$16,2,0))*E4019)</f>
        <v/>
      </c>
      <c r="H4019" s="7" t="str">
        <f t="shared" si="248"/>
        <v/>
      </c>
      <c r="I4019" s="7" t="str">
        <f>IF(AND(ISBLANK(D4019),ISBLANK(C4019)),"",((VLOOKUP(D4019,Cardápio!$A$2:$C$16,3,0))*E4019)+IF(B4019="iFood",F4019*0.27,(VLOOKUP(VENDAS!C4019,Bairros!$A$2:$B$90,2,0))))</f>
        <v/>
      </c>
      <c r="J4019" s="7" t="str">
        <f t="shared" si="249"/>
        <v/>
      </c>
      <c r="K4019" s="9">
        <f t="shared" ca="1" si="250"/>
        <v>45404.878290162036</v>
      </c>
      <c r="L4019" s="10">
        <f t="shared" ca="1" si="251"/>
        <v>45404.878290162036</v>
      </c>
    </row>
    <row r="4020" spans="6:12" x14ac:dyDescent="0.25">
      <c r="F4020" s="11" t="str">
        <f>IF(ISBLANK(D4020),"",(VLOOKUP(D4020,Cardápio!$A$2:$B$16,2,0))*E4020)</f>
        <v/>
      </c>
      <c r="H4020" s="7" t="str">
        <f t="shared" si="248"/>
        <v/>
      </c>
      <c r="I4020" s="7" t="str">
        <f>IF(AND(ISBLANK(D4020),ISBLANK(C4020)),"",((VLOOKUP(D4020,Cardápio!$A$2:$C$16,3,0))*E4020)+IF(B4020="iFood",F4020*0.27,(VLOOKUP(VENDAS!C4020,Bairros!$A$2:$B$90,2,0))))</f>
        <v/>
      </c>
      <c r="J4020" s="7" t="str">
        <f t="shared" si="249"/>
        <v/>
      </c>
      <c r="K4020" s="9">
        <f t="shared" ca="1" si="250"/>
        <v>45404.878290162036</v>
      </c>
      <c r="L4020" s="10">
        <f t="shared" ca="1" si="251"/>
        <v>45404.878290046297</v>
      </c>
    </row>
    <row r="4021" spans="6:12" x14ac:dyDescent="0.25">
      <c r="F4021" s="11" t="str">
        <f>IF(ISBLANK(D4021),"",(VLOOKUP(D4021,Cardápio!$A$2:$B$16,2,0))*E4021)</f>
        <v/>
      </c>
      <c r="H4021" s="7" t="str">
        <f t="shared" ref="H4021:H4084" si="252">IF(ISBLANK(D4021),"",F4021-G4021)</f>
        <v/>
      </c>
      <c r="I4021" s="7" t="str">
        <f>IF(AND(ISBLANK(D4021),ISBLANK(C4021)),"",((VLOOKUP(D4021,Cardápio!$A$2:$C$16,3,0))*E4021)+IF(B4021="iFood",F4021*0.27,(VLOOKUP(VENDAS!C4021,Bairros!$A$2:$B$90,2,0))))</f>
        <v/>
      </c>
      <c r="J4021" s="7" t="str">
        <f t="shared" ref="J4021:J4084" si="253">IF(OR(AND(ISBLANK(H4021),ISBLANK(I4021)),(AND(H4021="",I4021=""))),"",H4021-I4021)</f>
        <v/>
      </c>
      <c r="K4021" s="9">
        <f t="shared" ref="K4021:K4084" ca="1" si="254">IF(D4021&lt;&gt;"",K4021,NOW())</f>
        <v>45404.878290277775</v>
      </c>
      <c r="L4021" s="10">
        <f t="shared" ref="L4021:L4084" ca="1" si="255">IF(D4021&lt;&gt;"",L4021,NOW())</f>
        <v>45404.878290046297</v>
      </c>
    </row>
    <row r="4022" spans="6:12" x14ac:dyDescent="0.25">
      <c r="F4022" s="11" t="str">
        <f>IF(ISBLANK(D4022),"",(VLOOKUP(D4022,Cardápio!$A$2:$B$16,2,0))*E4022)</f>
        <v/>
      </c>
      <c r="H4022" s="7" t="str">
        <f t="shared" si="252"/>
        <v/>
      </c>
      <c r="I4022" s="7" t="str">
        <f>IF(AND(ISBLANK(D4022),ISBLANK(C4022)),"",((VLOOKUP(D4022,Cardápio!$A$2:$C$16,3,0))*E4022)+IF(B4022="iFood",F4022*0.27,(VLOOKUP(VENDAS!C4022,Bairros!$A$2:$B$90,2,0))))</f>
        <v/>
      </c>
      <c r="J4022" s="7" t="str">
        <f t="shared" si="253"/>
        <v/>
      </c>
      <c r="K4022" s="9">
        <f t="shared" ca="1" si="254"/>
        <v>45404.878290162036</v>
      </c>
      <c r="L4022" s="10">
        <f t="shared" ca="1" si="255"/>
        <v>45404.878290046297</v>
      </c>
    </row>
    <row r="4023" spans="6:12" x14ac:dyDescent="0.25">
      <c r="F4023" s="11" t="str">
        <f>IF(ISBLANK(D4023),"",(VLOOKUP(D4023,Cardápio!$A$2:$B$16,2,0))*E4023)</f>
        <v/>
      </c>
      <c r="H4023" s="7" t="str">
        <f t="shared" si="252"/>
        <v/>
      </c>
      <c r="I4023" s="7" t="str">
        <f>IF(AND(ISBLANK(D4023),ISBLANK(C4023)),"",((VLOOKUP(D4023,Cardápio!$A$2:$C$16,3,0))*E4023)+IF(B4023="iFood",F4023*0.27,(VLOOKUP(VENDAS!C4023,Bairros!$A$2:$B$90,2,0))))</f>
        <v/>
      </c>
      <c r="J4023" s="7" t="str">
        <f t="shared" si="253"/>
        <v/>
      </c>
      <c r="K4023" s="9">
        <f t="shared" ca="1" si="254"/>
        <v>45404.878290162036</v>
      </c>
      <c r="L4023" s="10">
        <f t="shared" ca="1" si="255"/>
        <v>45404.878290162036</v>
      </c>
    </row>
    <row r="4024" spans="6:12" x14ac:dyDescent="0.25">
      <c r="F4024" s="11" t="str">
        <f>IF(ISBLANK(D4024),"",(VLOOKUP(D4024,Cardápio!$A$2:$B$16,2,0))*E4024)</f>
        <v/>
      </c>
      <c r="H4024" s="7" t="str">
        <f t="shared" si="252"/>
        <v/>
      </c>
      <c r="I4024" s="7" t="str">
        <f>IF(AND(ISBLANK(D4024),ISBLANK(C4024)),"",((VLOOKUP(D4024,Cardápio!$A$2:$C$16,3,0))*E4024)+IF(B4024="iFood",F4024*0.27,(VLOOKUP(VENDAS!C4024,Bairros!$A$2:$B$90,2,0))))</f>
        <v/>
      </c>
      <c r="J4024" s="7" t="str">
        <f t="shared" si="253"/>
        <v/>
      </c>
      <c r="K4024" s="9">
        <f t="shared" ca="1" si="254"/>
        <v>45404.878290162036</v>
      </c>
      <c r="L4024" s="10">
        <f t="shared" ca="1" si="255"/>
        <v>45404.878290046297</v>
      </c>
    </row>
    <row r="4025" spans="6:12" x14ac:dyDescent="0.25">
      <c r="F4025" s="11" t="str">
        <f>IF(ISBLANK(D4025),"",(VLOOKUP(D4025,Cardápio!$A$2:$B$16,2,0))*E4025)</f>
        <v/>
      </c>
      <c r="H4025" s="7" t="str">
        <f t="shared" si="252"/>
        <v/>
      </c>
      <c r="I4025" s="7" t="str">
        <f>IF(AND(ISBLANK(D4025),ISBLANK(C4025)),"",((VLOOKUP(D4025,Cardápio!$A$2:$C$16,3,0))*E4025)+IF(B4025="iFood",F4025*0.27,(VLOOKUP(VENDAS!C4025,Bairros!$A$2:$B$90,2,0))))</f>
        <v/>
      </c>
      <c r="J4025" s="7" t="str">
        <f t="shared" si="253"/>
        <v/>
      </c>
      <c r="K4025" s="9">
        <f t="shared" ca="1" si="254"/>
        <v>45404.878290277775</v>
      </c>
      <c r="L4025" s="10">
        <f t="shared" ca="1" si="255"/>
        <v>45404.878290046297</v>
      </c>
    </row>
    <row r="4026" spans="6:12" x14ac:dyDescent="0.25">
      <c r="F4026" s="11" t="str">
        <f>IF(ISBLANK(D4026),"",(VLOOKUP(D4026,Cardápio!$A$2:$B$16,2,0))*E4026)</f>
        <v/>
      </c>
      <c r="H4026" s="7" t="str">
        <f t="shared" si="252"/>
        <v/>
      </c>
      <c r="I4026" s="7" t="str">
        <f>IF(AND(ISBLANK(D4026),ISBLANK(C4026)),"",((VLOOKUP(D4026,Cardápio!$A$2:$C$16,3,0))*E4026)+IF(B4026="iFood",F4026*0.27,(VLOOKUP(VENDAS!C4026,Bairros!$A$2:$B$90,2,0))))</f>
        <v/>
      </c>
      <c r="J4026" s="7" t="str">
        <f t="shared" si="253"/>
        <v/>
      </c>
      <c r="K4026" s="9">
        <f t="shared" ca="1" si="254"/>
        <v>45404.878290162036</v>
      </c>
      <c r="L4026" s="10">
        <f t="shared" ca="1" si="255"/>
        <v>45404.878290046297</v>
      </c>
    </row>
    <row r="4027" spans="6:12" x14ac:dyDescent="0.25">
      <c r="F4027" s="11" t="str">
        <f>IF(ISBLANK(D4027),"",(VLOOKUP(D4027,Cardápio!$A$2:$B$16,2,0))*E4027)</f>
        <v/>
      </c>
      <c r="H4027" s="7" t="str">
        <f t="shared" si="252"/>
        <v/>
      </c>
      <c r="I4027" s="7" t="str">
        <f>IF(AND(ISBLANK(D4027),ISBLANK(C4027)),"",((VLOOKUP(D4027,Cardápio!$A$2:$C$16,3,0))*E4027)+IF(B4027="iFood",F4027*0.27,(VLOOKUP(VENDAS!C4027,Bairros!$A$2:$B$90,2,0))))</f>
        <v/>
      </c>
      <c r="J4027" s="7" t="str">
        <f t="shared" si="253"/>
        <v/>
      </c>
      <c r="K4027" s="9">
        <f t="shared" ca="1" si="254"/>
        <v>45404.878290162036</v>
      </c>
      <c r="L4027" s="10">
        <f t="shared" ca="1" si="255"/>
        <v>45404.878290162036</v>
      </c>
    </row>
    <row r="4028" spans="6:12" x14ac:dyDescent="0.25">
      <c r="F4028" s="11" t="str">
        <f>IF(ISBLANK(D4028),"",(VLOOKUP(D4028,Cardápio!$A$2:$B$16,2,0))*E4028)</f>
        <v/>
      </c>
      <c r="H4028" s="7" t="str">
        <f t="shared" si="252"/>
        <v/>
      </c>
      <c r="I4028" s="7" t="str">
        <f>IF(AND(ISBLANK(D4028),ISBLANK(C4028)),"",((VLOOKUP(D4028,Cardápio!$A$2:$C$16,3,0))*E4028)+IF(B4028="iFood",F4028*0.27,(VLOOKUP(VENDAS!C4028,Bairros!$A$2:$B$90,2,0))))</f>
        <v/>
      </c>
      <c r="J4028" s="7" t="str">
        <f t="shared" si="253"/>
        <v/>
      </c>
      <c r="K4028" s="9">
        <f t="shared" ca="1" si="254"/>
        <v>45404.878290162036</v>
      </c>
      <c r="L4028" s="10">
        <f t="shared" ca="1" si="255"/>
        <v>45404.878290046297</v>
      </c>
    </row>
    <row r="4029" spans="6:12" x14ac:dyDescent="0.25">
      <c r="F4029" s="11" t="str">
        <f>IF(ISBLANK(D4029),"",(VLOOKUP(D4029,Cardápio!$A$2:$B$16,2,0))*E4029)</f>
        <v/>
      </c>
      <c r="H4029" s="7" t="str">
        <f t="shared" si="252"/>
        <v/>
      </c>
      <c r="I4029" s="7" t="str">
        <f>IF(AND(ISBLANK(D4029),ISBLANK(C4029)),"",((VLOOKUP(D4029,Cardápio!$A$2:$C$16,3,0))*E4029)+IF(B4029="iFood",F4029*0.27,(VLOOKUP(VENDAS!C4029,Bairros!$A$2:$B$90,2,0))))</f>
        <v/>
      </c>
      <c r="J4029" s="7" t="str">
        <f t="shared" si="253"/>
        <v/>
      </c>
      <c r="K4029" s="9">
        <f t="shared" ca="1" si="254"/>
        <v>45404.878290277775</v>
      </c>
      <c r="L4029" s="10">
        <f t="shared" ca="1" si="255"/>
        <v>45404.878290046297</v>
      </c>
    </row>
    <row r="4030" spans="6:12" x14ac:dyDescent="0.25">
      <c r="F4030" s="11" t="str">
        <f>IF(ISBLANK(D4030),"",(VLOOKUP(D4030,Cardápio!$A$2:$B$16,2,0))*E4030)</f>
        <v/>
      </c>
      <c r="H4030" s="7" t="str">
        <f t="shared" si="252"/>
        <v/>
      </c>
      <c r="I4030" s="7" t="str">
        <f>IF(AND(ISBLANK(D4030),ISBLANK(C4030)),"",((VLOOKUP(D4030,Cardápio!$A$2:$C$16,3,0))*E4030)+IF(B4030="iFood",F4030*0.27,(VLOOKUP(VENDAS!C4030,Bairros!$A$2:$B$90,2,0))))</f>
        <v/>
      </c>
      <c r="J4030" s="7" t="str">
        <f t="shared" si="253"/>
        <v/>
      </c>
      <c r="K4030" s="9">
        <f t="shared" ca="1" si="254"/>
        <v>45404.878290162036</v>
      </c>
      <c r="L4030" s="10">
        <f t="shared" ca="1" si="255"/>
        <v>45404.878290046297</v>
      </c>
    </row>
    <row r="4031" spans="6:12" x14ac:dyDescent="0.25">
      <c r="F4031" s="11" t="str">
        <f>IF(ISBLANK(D4031),"",(VLOOKUP(D4031,Cardápio!$A$2:$B$16,2,0))*E4031)</f>
        <v/>
      </c>
      <c r="H4031" s="7" t="str">
        <f t="shared" si="252"/>
        <v/>
      </c>
      <c r="I4031" s="7" t="str">
        <f>IF(AND(ISBLANK(D4031),ISBLANK(C4031)),"",((VLOOKUP(D4031,Cardápio!$A$2:$C$16,3,0))*E4031)+IF(B4031="iFood",F4031*0.27,(VLOOKUP(VENDAS!C4031,Bairros!$A$2:$B$90,2,0))))</f>
        <v/>
      </c>
      <c r="J4031" s="7" t="str">
        <f t="shared" si="253"/>
        <v/>
      </c>
      <c r="K4031" s="9">
        <f t="shared" ca="1" si="254"/>
        <v>45404.878290162036</v>
      </c>
      <c r="L4031" s="10">
        <f t="shared" ca="1" si="255"/>
        <v>45404.878290162036</v>
      </c>
    </row>
    <row r="4032" spans="6:12" x14ac:dyDescent="0.25">
      <c r="F4032" s="11" t="str">
        <f>IF(ISBLANK(D4032),"",(VLOOKUP(D4032,Cardápio!$A$2:$B$16,2,0))*E4032)</f>
        <v/>
      </c>
      <c r="H4032" s="7" t="str">
        <f t="shared" si="252"/>
        <v/>
      </c>
      <c r="I4032" s="7" t="str">
        <f>IF(AND(ISBLANK(D4032),ISBLANK(C4032)),"",((VLOOKUP(D4032,Cardápio!$A$2:$C$16,3,0))*E4032)+IF(B4032="iFood",F4032*0.27,(VLOOKUP(VENDAS!C4032,Bairros!$A$2:$B$90,2,0))))</f>
        <v/>
      </c>
      <c r="J4032" s="7" t="str">
        <f t="shared" si="253"/>
        <v/>
      </c>
      <c r="K4032" s="9">
        <f t="shared" ca="1" si="254"/>
        <v>45404.878290162036</v>
      </c>
      <c r="L4032" s="10">
        <f t="shared" ca="1" si="255"/>
        <v>45404.878290046297</v>
      </c>
    </row>
    <row r="4033" spans="6:12" x14ac:dyDescent="0.25">
      <c r="F4033" s="11" t="str">
        <f>IF(ISBLANK(D4033),"",(VLOOKUP(D4033,Cardápio!$A$2:$B$16,2,0))*E4033)</f>
        <v/>
      </c>
      <c r="H4033" s="7" t="str">
        <f t="shared" si="252"/>
        <v/>
      </c>
      <c r="I4033" s="7" t="str">
        <f>IF(AND(ISBLANK(D4033),ISBLANK(C4033)),"",((VLOOKUP(D4033,Cardápio!$A$2:$C$16,3,0))*E4033)+IF(B4033="iFood",F4033*0.27,(VLOOKUP(VENDAS!C4033,Bairros!$A$2:$B$90,2,0))))</f>
        <v/>
      </c>
      <c r="J4033" s="7" t="str">
        <f t="shared" si="253"/>
        <v/>
      </c>
      <c r="K4033" s="9">
        <f t="shared" ca="1" si="254"/>
        <v>45404.878290277775</v>
      </c>
      <c r="L4033" s="10">
        <f t="shared" ca="1" si="255"/>
        <v>45404.878290046297</v>
      </c>
    </row>
    <row r="4034" spans="6:12" x14ac:dyDescent="0.25">
      <c r="F4034" s="11" t="str">
        <f>IF(ISBLANK(D4034),"",(VLOOKUP(D4034,Cardápio!$A$2:$B$16,2,0))*E4034)</f>
        <v/>
      </c>
      <c r="H4034" s="7" t="str">
        <f t="shared" si="252"/>
        <v/>
      </c>
      <c r="I4034" s="7" t="str">
        <f>IF(AND(ISBLANK(D4034),ISBLANK(C4034)),"",((VLOOKUP(D4034,Cardápio!$A$2:$C$16,3,0))*E4034)+IF(B4034="iFood",F4034*0.27,(VLOOKUP(VENDAS!C4034,Bairros!$A$2:$B$90,2,0))))</f>
        <v/>
      </c>
      <c r="J4034" s="7" t="str">
        <f t="shared" si="253"/>
        <v/>
      </c>
      <c r="K4034" s="9">
        <f t="shared" ca="1" si="254"/>
        <v>45404.878290162036</v>
      </c>
      <c r="L4034" s="10">
        <f t="shared" ca="1" si="255"/>
        <v>45404.878290046297</v>
      </c>
    </row>
    <row r="4035" spans="6:12" x14ac:dyDescent="0.25">
      <c r="F4035" s="11" t="str">
        <f>IF(ISBLANK(D4035),"",(VLOOKUP(D4035,Cardápio!$A$2:$B$16,2,0))*E4035)</f>
        <v/>
      </c>
      <c r="H4035" s="7" t="str">
        <f t="shared" si="252"/>
        <v/>
      </c>
      <c r="I4035" s="7" t="str">
        <f>IF(AND(ISBLANK(D4035),ISBLANK(C4035)),"",((VLOOKUP(D4035,Cardápio!$A$2:$C$16,3,0))*E4035)+IF(B4035="iFood",F4035*0.27,(VLOOKUP(VENDAS!C4035,Bairros!$A$2:$B$90,2,0))))</f>
        <v/>
      </c>
      <c r="J4035" s="7" t="str">
        <f t="shared" si="253"/>
        <v/>
      </c>
      <c r="K4035" s="9">
        <f t="shared" ca="1" si="254"/>
        <v>45404.878290162036</v>
      </c>
      <c r="L4035" s="10">
        <f t="shared" ca="1" si="255"/>
        <v>45404.878290162036</v>
      </c>
    </row>
    <row r="4036" spans="6:12" x14ac:dyDescent="0.25">
      <c r="F4036" s="11" t="str">
        <f>IF(ISBLANK(D4036),"",(VLOOKUP(D4036,Cardápio!$A$2:$B$16,2,0))*E4036)</f>
        <v/>
      </c>
      <c r="H4036" s="7" t="str">
        <f t="shared" si="252"/>
        <v/>
      </c>
      <c r="I4036" s="7" t="str">
        <f>IF(AND(ISBLANK(D4036),ISBLANK(C4036)),"",((VLOOKUP(D4036,Cardápio!$A$2:$C$16,3,0))*E4036)+IF(B4036="iFood",F4036*0.27,(VLOOKUP(VENDAS!C4036,Bairros!$A$2:$B$90,2,0))))</f>
        <v/>
      </c>
      <c r="J4036" s="7" t="str">
        <f t="shared" si="253"/>
        <v/>
      </c>
      <c r="K4036" s="9">
        <f t="shared" ca="1" si="254"/>
        <v>45404.878290162036</v>
      </c>
      <c r="L4036" s="10">
        <f t="shared" ca="1" si="255"/>
        <v>45404.878290046297</v>
      </c>
    </row>
    <row r="4037" spans="6:12" x14ac:dyDescent="0.25">
      <c r="F4037" s="11" t="str">
        <f>IF(ISBLANK(D4037),"",(VLOOKUP(D4037,Cardápio!$A$2:$B$16,2,0))*E4037)</f>
        <v/>
      </c>
      <c r="H4037" s="7" t="str">
        <f t="shared" si="252"/>
        <v/>
      </c>
      <c r="I4037" s="7" t="str">
        <f>IF(AND(ISBLANK(D4037),ISBLANK(C4037)),"",((VLOOKUP(D4037,Cardápio!$A$2:$C$16,3,0))*E4037)+IF(B4037="iFood",F4037*0.27,(VLOOKUP(VENDAS!C4037,Bairros!$A$2:$B$90,2,0))))</f>
        <v/>
      </c>
      <c r="J4037" s="7" t="str">
        <f t="shared" si="253"/>
        <v/>
      </c>
      <c r="K4037" s="9">
        <f t="shared" ca="1" si="254"/>
        <v>45404.878290277775</v>
      </c>
      <c r="L4037" s="10">
        <f t="shared" ca="1" si="255"/>
        <v>45404.878290046297</v>
      </c>
    </row>
    <row r="4038" spans="6:12" x14ac:dyDescent="0.25">
      <c r="F4038" s="11" t="str">
        <f>IF(ISBLANK(D4038),"",(VLOOKUP(D4038,Cardápio!$A$2:$B$16,2,0))*E4038)</f>
        <v/>
      </c>
      <c r="H4038" s="7" t="str">
        <f t="shared" si="252"/>
        <v/>
      </c>
      <c r="I4038" s="7" t="str">
        <f>IF(AND(ISBLANK(D4038),ISBLANK(C4038)),"",((VLOOKUP(D4038,Cardápio!$A$2:$C$16,3,0))*E4038)+IF(B4038="iFood",F4038*0.27,(VLOOKUP(VENDAS!C4038,Bairros!$A$2:$B$90,2,0))))</f>
        <v/>
      </c>
      <c r="J4038" s="7" t="str">
        <f t="shared" si="253"/>
        <v/>
      </c>
      <c r="K4038" s="9">
        <f t="shared" ca="1" si="254"/>
        <v>45404.878290162036</v>
      </c>
      <c r="L4038" s="10">
        <f t="shared" ca="1" si="255"/>
        <v>45404.878290046297</v>
      </c>
    </row>
    <row r="4039" spans="6:12" x14ac:dyDescent="0.25">
      <c r="F4039" s="11" t="str">
        <f>IF(ISBLANK(D4039),"",(VLOOKUP(D4039,Cardápio!$A$2:$B$16,2,0))*E4039)</f>
        <v/>
      </c>
      <c r="H4039" s="7" t="str">
        <f t="shared" si="252"/>
        <v/>
      </c>
      <c r="I4039" s="7" t="str">
        <f>IF(AND(ISBLANK(D4039),ISBLANK(C4039)),"",((VLOOKUP(D4039,Cardápio!$A$2:$C$16,3,0))*E4039)+IF(B4039="iFood",F4039*0.27,(VLOOKUP(VENDAS!C4039,Bairros!$A$2:$B$90,2,0))))</f>
        <v/>
      </c>
      <c r="J4039" s="7" t="str">
        <f t="shared" si="253"/>
        <v/>
      </c>
      <c r="K4039" s="9">
        <f t="shared" ca="1" si="254"/>
        <v>45404.878290162036</v>
      </c>
      <c r="L4039" s="10">
        <f t="shared" ca="1" si="255"/>
        <v>45404.878290162036</v>
      </c>
    </row>
    <row r="4040" spans="6:12" x14ac:dyDescent="0.25">
      <c r="F4040" s="11" t="str">
        <f>IF(ISBLANK(D4040),"",(VLOOKUP(D4040,Cardápio!$A$2:$B$16,2,0))*E4040)</f>
        <v/>
      </c>
      <c r="H4040" s="7" t="str">
        <f t="shared" si="252"/>
        <v/>
      </c>
      <c r="I4040" s="7" t="str">
        <f>IF(AND(ISBLANK(D4040),ISBLANK(C4040)),"",((VLOOKUP(D4040,Cardápio!$A$2:$C$16,3,0))*E4040)+IF(B4040="iFood",F4040*0.27,(VLOOKUP(VENDAS!C4040,Bairros!$A$2:$B$90,2,0))))</f>
        <v/>
      </c>
      <c r="J4040" s="7" t="str">
        <f t="shared" si="253"/>
        <v/>
      </c>
      <c r="K4040" s="9">
        <f t="shared" ca="1" si="254"/>
        <v>45404.878290162036</v>
      </c>
      <c r="L4040" s="10">
        <f t="shared" ca="1" si="255"/>
        <v>45404.878290046297</v>
      </c>
    </row>
    <row r="4041" spans="6:12" x14ac:dyDescent="0.25">
      <c r="F4041" s="11" t="str">
        <f>IF(ISBLANK(D4041),"",(VLOOKUP(D4041,Cardápio!$A$2:$B$16,2,0))*E4041)</f>
        <v/>
      </c>
      <c r="H4041" s="7" t="str">
        <f t="shared" si="252"/>
        <v/>
      </c>
      <c r="I4041" s="7" t="str">
        <f>IF(AND(ISBLANK(D4041),ISBLANK(C4041)),"",((VLOOKUP(D4041,Cardápio!$A$2:$C$16,3,0))*E4041)+IF(B4041="iFood",F4041*0.27,(VLOOKUP(VENDAS!C4041,Bairros!$A$2:$B$90,2,0))))</f>
        <v/>
      </c>
      <c r="J4041" s="7" t="str">
        <f t="shared" si="253"/>
        <v/>
      </c>
      <c r="K4041" s="9">
        <f t="shared" ca="1" si="254"/>
        <v>45404.878290277775</v>
      </c>
      <c r="L4041" s="10">
        <f t="shared" ca="1" si="255"/>
        <v>45404.878290046297</v>
      </c>
    </row>
    <row r="4042" spans="6:12" x14ac:dyDescent="0.25">
      <c r="F4042" s="11" t="str">
        <f>IF(ISBLANK(D4042),"",(VLOOKUP(D4042,Cardápio!$A$2:$B$16,2,0))*E4042)</f>
        <v/>
      </c>
      <c r="H4042" s="7" t="str">
        <f t="shared" si="252"/>
        <v/>
      </c>
      <c r="I4042" s="7" t="str">
        <f>IF(AND(ISBLANK(D4042),ISBLANK(C4042)),"",((VLOOKUP(D4042,Cardápio!$A$2:$C$16,3,0))*E4042)+IF(B4042="iFood",F4042*0.27,(VLOOKUP(VENDAS!C4042,Bairros!$A$2:$B$90,2,0))))</f>
        <v/>
      </c>
      <c r="J4042" s="7" t="str">
        <f t="shared" si="253"/>
        <v/>
      </c>
      <c r="K4042" s="9">
        <f t="shared" ca="1" si="254"/>
        <v>45404.878290162036</v>
      </c>
      <c r="L4042" s="10">
        <f t="shared" ca="1" si="255"/>
        <v>45404.878290046297</v>
      </c>
    </row>
    <row r="4043" spans="6:12" x14ac:dyDescent="0.25">
      <c r="F4043" s="11" t="str">
        <f>IF(ISBLANK(D4043),"",(VLOOKUP(D4043,Cardápio!$A$2:$B$16,2,0))*E4043)</f>
        <v/>
      </c>
      <c r="H4043" s="7" t="str">
        <f t="shared" si="252"/>
        <v/>
      </c>
      <c r="I4043" s="7" t="str">
        <f>IF(AND(ISBLANK(D4043),ISBLANK(C4043)),"",((VLOOKUP(D4043,Cardápio!$A$2:$C$16,3,0))*E4043)+IF(B4043="iFood",F4043*0.27,(VLOOKUP(VENDAS!C4043,Bairros!$A$2:$B$90,2,0))))</f>
        <v/>
      </c>
      <c r="J4043" s="7" t="str">
        <f t="shared" si="253"/>
        <v/>
      </c>
      <c r="K4043" s="9">
        <f t="shared" ca="1" si="254"/>
        <v>45404.878290162036</v>
      </c>
      <c r="L4043" s="10">
        <f t="shared" ca="1" si="255"/>
        <v>45404.878290162036</v>
      </c>
    </row>
    <row r="4044" spans="6:12" x14ac:dyDescent="0.25">
      <c r="F4044" s="11" t="str">
        <f>IF(ISBLANK(D4044),"",(VLOOKUP(D4044,Cardápio!$A$2:$B$16,2,0))*E4044)</f>
        <v/>
      </c>
      <c r="H4044" s="7" t="str">
        <f t="shared" si="252"/>
        <v/>
      </c>
      <c r="I4044" s="7" t="str">
        <f>IF(AND(ISBLANK(D4044),ISBLANK(C4044)),"",((VLOOKUP(D4044,Cardápio!$A$2:$C$16,3,0))*E4044)+IF(B4044="iFood",F4044*0.27,(VLOOKUP(VENDAS!C4044,Bairros!$A$2:$B$90,2,0))))</f>
        <v/>
      </c>
      <c r="J4044" s="7" t="str">
        <f t="shared" si="253"/>
        <v/>
      </c>
      <c r="K4044" s="9">
        <f t="shared" ca="1" si="254"/>
        <v>45404.878290162036</v>
      </c>
      <c r="L4044" s="10">
        <f t="shared" ca="1" si="255"/>
        <v>45404.878290046297</v>
      </c>
    </row>
    <row r="4045" spans="6:12" x14ac:dyDescent="0.25">
      <c r="F4045" s="11" t="str">
        <f>IF(ISBLANK(D4045),"",(VLOOKUP(D4045,Cardápio!$A$2:$B$16,2,0))*E4045)</f>
        <v/>
      </c>
      <c r="H4045" s="7" t="str">
        <f t="shared" si="252"/>
        <v/>
      </c>
      <c r="I4045" s="7" t="str">
        <f>IF(AND(ISBLANK(D4045),ISBLANK(C4045)),"",((VLOOKUP(D4045,Cardápio!$A$2:$C$16,3,0))*E4045)+IF(B4045="iFood",F4045*0.27,(VLOOKUP(VENDAS!C4045,Bairros!$A$2:$B$90,2,0))))</f>
        <v/>
      </c>
      <c r="J4045" s="7" t="str">
        <f t="shared" si="253"/>
        <v/>
      </c>
      <c r="K4045" s="9">
        <f t="shared" ca="1" si="254"/>
        <v>45404.878290277775</v>
      </c>
      <c r="L4045" s="10">
        <f t="shared" ca="1" si="255"/>
        <v>45404.878290046297</v>
      </c>
    </row>
    <row r="4046" spans="6:12" x14ac:dyDescent="0.25">
      <c r="F4046" s="11" t="str">
        <f>IF(ISBLANK(D4046),"",(VLOOKUP(D4046,Cardápio!$A$2:$B$16,2,0))*E4046)</f>
        <v/>
      </c>
      <c r="H4046" s="7" t="str">
        <f t="shared" si="252"/>
        <v/>
      </c>
      <c r="I4046" s="7" t="str">
        <f>IF(AND(ISBLANK(D4046),ISBLANK(C4046)),"",((VLOOKUP(D4046,Cardápio!$A$2:$C$16,3,0))*E4046)+IF(B4046="iFood",F4046*0.27,(VLOOKUP(VENDAS!C4046,Bairros!$A$2:$B$90,2,0))))</f>
        <v/>
      </c>
      <c r="J4046" s="7" t="str">
        <f t="shared" si="253"/>
        <v/>
      </c>
      <c r="K4046" s="9">
        <f t="shared" ca="1" si="254"/>
        <v>45404.878290162036</v>
      </c>
      <c r="L4046" s="10">
        <f t="shared" ca="1" si="255"/>
        <v>45404.878290046297</v>
      </c>
    </row>
    <row r="4047" spans="6:12" x14ac:dyDescent="0.25">
      <c r="F4047" s="11" t="str">
        <f>IF(ISBLANK(D4047),"",(VLOOKUP(D4047,Cardápio!$A$2:$B$16,2,0))*E4047)</f>
        <v/>
      </c>
      <c r="H4047" s="7" t="str">
        <f t="shared" si="252"/>
        <v/>
      </c>
      <c r="I4047" s="7" t="str">
        <f>IF(AND(ISBLANK(D4047),ISBLANK(C4047)),"",((VLOOKUP(D4047,Cardápio!$A$2:$C$16,3,0))*E4047)+IF(B4047="iFood",F4047*0.27,(VLOOKUP(VENDAS!C4047,Bairros!$A$2:$B$90,2,0))))</f>
        <v/>
      </c>
      <c r="J4047" s="7" t="str">
        <f t="shared" si="253"/>
        <v/>
      </c>
      <c r="K4047" s="9">
        <f t="shared" ca="1" si="254"/>
        <v>45404.878290162036</v>
      </c>
      <c r="L4047" s="10">
        <f t="shared" ca="1" si="255"/>
        <v>45404.878290162036</v>
      </c>
    </row>
    <row r="4048" spans="6:12" x14ac:dyDescent="0.25">
      <c r="F4048" s="11" t="str">
        <f>IF(ISBLANK(D4048),"",(VLOOKUP(D4048,Cardápio!$A$2:$B$16,2,0))*E4048)</f>
        <v/>
      </c>
      <c r="H4048" s="7" t="str">
        <f t="shared" si="252"/>
        <v/>
      </c>
      <c r="I4048" s="7" t="str">
        <f>IF(AND(ISBLANK(D4048),ISBLANK(C4048)),"",((VLOOKUP(D4048,Cardápio!$A$2:$C$16,3,0))*E4048)+IF(B4048="iFood",F4048*0.27,(VLOOKUP(VENDAS!C4048,Bairros!$A$2:$B$90,2,0))))</f>
        <v/>
      </c>
      <c r="J4048" s="7" t="str">
        <f t="shared" si="253"/>
        <v/>
      </c>
      <c r="K4048" s="9">
        <f t="shared" ca="1" si="254"/>
        <v>45404.878290162036</v>
      </c>
      <c r="L4048" s="10">
        <f t="shared" ca="1" si="255"/>
        <v>45404.878290046297</v>
      </c>
    </row>
    <row r="4049" spans="6:12" x14ac:dyDescent="0.25">
      <c r="F4049" s="11" t="str">
        <f>IF(ISBLANK(D4049),"",(VLOOKUP(D4049,Cardápio!$A$2:$B$16,2,0))*E4049)</f>
        <v/>
      </c>
      <c r="H4049" s="7" t="str">
        <f t="shared" si="252"/>
        <v/>
      </c>
      <c r="I4049" s="7" t="str">
        <f>IF(AND(ISBLANK(D4049),ISBLANK(C4049)),"",((VLOOKUP(D4049,Cardápio!$A$2:$C$16,3,0))*E4049)+IF(B4049="iFood",F4049*0.27,(VLOOKUP(VENDAS!C4049,Bairros!$A$2:$B$90,2,0))))</f>
        <v/>
      </c>
      <c r="J4049" s="7" t="str">
        <f t="shared" si="253"/>
        <v/>
      </c>
      <c r="K4049" s="9">
        <f t="shared" ca="1" si="254"/>
        <v>45404.878290277775</v>
      </c>
      <c r="L4049" s="10">
        <f t="shared" ca="1" si="255"/>
        <v>45404.878290046297</v>
      </c>
    </row>
    <row r="4050" spans="6:12" x14ac:dyDescent="0.25">
      <c r="F4050" s="11" t="str">
        <f>IF(ISBLANK(D4050),"",(VLOOKUP(D4050,Cardápio!$A$2:$B$16,2,0))*E4050)</f>
        <v/>
      </c>
      <c r="H4050" s="7" t="str">
        <f t="shared" si="252"/>
        <v/>
      </c>
      <c r="I4050" s="7" t="str">
        <f>IF(AND(ISBLANK(D4050),ISBLANK(C4050)),"",((VLOOKUP(D4050,Cardápio!$A$2:$C$16,3,0))*E4050)+IF(B4050="iFood",F4050*0.27,(VLOOKUP(VENDAS!C4050,Bairros!$A$2:$B$90,2,0))))</f>
        <v/>
      </c>
      <c r="J4050" s="7" t="str">
        <f t="shared" si="253"/>
        <v/>
      </c>
      <c r="K4050" s="9">
        <f t="shared" ca="1" si="254"/>
        <v>45404.878290162036</v>
      </c>
      <c r="L4050" s="10">
        <f t="shared" ca="1" si="255"/>
        <v>45404.878290046297</v>
      </c>
    </row>
    <row r="4051" spans="6:12" x14ac:dyDescent="0.25">
      <c r="F4051" s="11" t="str">
        <f>IF(ISBLANK(D4051),"",(VLOOKUP(D4051,Cardápio!$A$2:$B$16,2,0))*E4051)</f>
        <v/>
      </c>
      <c r="H4051" s="7" t="str">
        <f t="shared" si="252"/>
        <v/>
      </c>
      <c r="I4051" s="7" t="str">
        <f>IF(AND(ISBLANK(D4051),ISBLANK(C4051)),"",((VLOOKUP(D4051,Cardápio!$A$2:$C$16,3,0))*E4051)+IF(B4051="iFood",F4051*0.27,(VLOOKUP(VENDAS!C4051,Bairros!$A$2:$B$90,2,0))))</f>
        <v/>
      </c>
      <c r="J4051" s="7" t="str">
        <f t="shared" si="253"/>
        <v/>
      </c>
      <c r="K4051" s="9">
        <f t="shared" ca="1" si="254"/>
        <v>45404.878290162036</v>
      </c>
      <c r="L4051" s="10">
        <f t="shared" ca="1" si="255"/>
        <v>45404.878290162036</v>
      </c>
    </row>
    <row r="4052" spans="6:12" x14ac:dyDescent="0.25">
      <c r="F4052" s="11" t="str">
        <f>IF(ISBLANK(D4052),"",(VLOOKUP(D4052,Cardápio!$A$2:$B$16,2,0))*E4052)</f>
        <v/>
      </c>
      <c r="H4052" s="7" t="str">
        <f t="shared" si="252"/>
        <v/>
      </c>
      <c r="I4052" s="7" t="str">
        <f>IF(AND(ISBLANK(D4052),ISBLANK(C4052)),"",((VLOOKUP(D4052,Cardápio!$A$2:$C$16,3,0))*E4052)+IF(B4052="iFood",F4052*0.27,(VLOOKUP(VENDAS!C4052,Bairros!$A$2:$B$90,2,0))))</f>
        <v/>
      </c>
      <c r="J4052" s="7" t="str">
        <f t="shared" si="253"/>
        <v/>
      </c>
      <c r="K4052" s="9">
        <f t="shared" ca="1" si="254"/>
        <v>45404.878290162036</v>
      </c>
      <c r="L4052" s="10">
        <f t="shared" ca="1" si="255"/>
        <v>45404.878290046297</v>
      </c>
    </row>
    <row r="4053" spans="6:12" x14ac:dyDescent="0.25">
      <c r="F4053" s="11" t="str">
        <f>IF(ISBLANK(D4053),"",(VLOOKUP(D4053,Cardápio!$A$2:$B$16,2,0))*E4053)</f>
        <v/>
      </c>
      <c r="H4053" s="7" t="str">
        <f t="shared" si="252"/>
        <v/>
      </c>
      <c r="I4053" s="7" t="str">
        <f>IF(AND(ISBLANK(D4053),ISBLANK(C4053)),"",((VLOOKUP(D4053,Cardápio!$A$2:$C$16,3,0))*E4053)+IF(B4053="iFood",F4053*0.27,(VLOOKUP(VENDAS!C4053,Bairros!$A$2:$B$90,2,0))))</f>
        <v/>
      </c>
      <c r="J4053" s="7" t="str">
        <f t="shared" si="253"/>
        <v/>
      </c>
      <c r="K4053" s="9">
        <f t="shared" ca="1" si="254"/>
        <v>45404.878290277775</v>
      </c>
      <c r="L4053" s="10">
        <f t="shared" ca="1" si="255"/>
        <v>45404.878290046297</v>
      </c>
    </row>
    <row r="4054" spans="6:12" x14ac:dyDescent="0.25">
      <c r="F4054" s="11" t="str">
        <f>IF(ISBLANK(D4054),"",(VLOOKUP(D4054,Cardápio!$A$2:$B$16,2,0))*E4054)</f>
        <v/>
      </c>
      <c r="H4054" s="7" t="str">
        <f t="shared" si="252"/>
        <v/>
      </c>
      <c r="I4054" s="7" t="str">
        <f>IF(AND(ISBLANK(D4054),ISBLANK(C4054)),"",((VLOOKUP(D4054,Cardápio!$A$2:$C$16,3,0))*E4054)+IF(B4054="iFood",F4054*0.27,(VLOOKUP(VENDAS!C4054,Bairros!$A$2:$B$90,2,0))))</f>
        <v/>
      </c>
      <c r="J4054" s="7" t="str">
        <f t="shared" si="253"/>
        <v/>
      </c>
      <c r="K4054" s="9">
        <f t="shared" ca="1" si="254"/>
        <v>45404.878290162036</v>
      </c>
      <c r="L4054" s="10">
        <f t="shared" ca="1" si="255"/>
        <v>45404.878290046297</v>
      </c>
    </row>
    <row r="4055" spans="6:12" x14ac:dyDescent="0.25">
      <c r="F4055" s="11" t="str">
        <f>IF(ISBLANK(D4055),"",(VLOOKUP(D4055,Cardápio!$A$2:$B$16,2,0))*E4055)</f>
        <v/>
      </c>
      <c r="H4055" s="7" t="str">
        <f t="shared" si="252"/>
        <v/>
      </c>
      <c r="I4055" s="7" t="str">
        <f>IF(AND(ISBLANK(D4055),ISBLANK(C4055)),"",((VLOOKUP(D4055,Cardápio!$A$2:$C$16,3,0))*E4055)+IF(B4055="iFood",F4055*0.27,(VLOOKUP(VENDAS!C4055,Bairros!$A$2:$B$90,2,0))))</f>
        <v/>
      </c>
      <c r="J4055" s="7" t="str">
        <f t="shared" si="253"/>
        <v/>
      </c>
      <c r="K4055" s="9">
        <f t="shared" ca="1" si="254"/>
        <v>45404.878290162036</v>
      </c>
      <c r="L4055" s="10">
        <f t="shared" ca="1" si="255"/>
        <v>45404.878290162036</v>
      </c>
    </row>
    <row r="4056" spans="6:12" x14ac:dyDescent="0.25">
      <c r="F4056" s="11" t="str">
        <f>IF(ISBLANK(D4056),"",(VLOOKUP(D4056,Cardápio!$A$2:$B$16,2,0))*E4056)</f>
        <v/>
      </c>
      <c r="H4056" s="7" t="str">
        <f t="shared" si="252"/>
        <v/>
      </c>
      <c r="I4056" s="7" t="str">
        <f>IF(AND(ISBLANK(D4056),ISBLANK(C4056)),"",((VLOOKUP(D4056,Cardápio!$A$2:$C$16,3,0))*E4056)+IF(B4056="iFood",F4056*0.27,(VLOOKUP(VENDAS!C4056,Bairros!$A$2:$B$90,2,0))))</f>
        <v/>
      </c>
      <c r="J4056" s="7" t="str">
        <f t="shared" si="253"/>
        <v/>
      </c>
      <c r="K4056" s="9">
        <f t="shared" ca="1" si="254"/>
        <v>45404.878290162036</v>
      </c>
      <c r="L4056" s="10">
        <f t="shared" ca="1" si="255"/>
        <v>45404.878290046297</v>
      </c>
    </row>
    <row r="4057" spans="6:12" x14ac:dyDescent="0.25">
      <c r="F4057" s="11" t="str">
        <f>IF(ISBLANK(D4057),"",(VLOOKUP(D4057,Cardápio!$A$2:$B$16,2,0))*E4057)</f>
        <v/>
      </c>
      <c r="H4057" s="7" t="str">
        <f t="shared" si="252"/>
        <v/>
      </c>
      <c r="I4057" s="7" t="str">
        <f>IF(AND(ISBLANK(D4057),ISBLANK(C4057)),"",((VLOOKUP(D4057,Cardápio!$A$2:$C$16,3,0))*E4057)+IF(B4057="iFood",F4057*0.27,(VLOOKUP(VENDAS!C4057,Bairros!$A$2:$B$90,2,0))))</f>
        <v/>
      </c>
      <c r="J4057" s="7" t="str">
        <f t="shared" si="253"/>
        <v/>
      </c>
      <c r="K4057" s="9">
        <f t="shared" ca="1" si="254"/>
        <v>45404.878290277775</v>
      </c>
      <c r="L4057" s="10">
        <f t="shared" ca="1" si="255"/>
        <v>45404.878290046297</v>
      </c>
    </row>
    <row r="4058" spans="6:12" x14ac:dyDescent="0.25">
      <c r="F4058" s="11" t="str">
        <f>IF(ISBLANK(D4058),"",(VLOOKUP(D4058,Cardápio!$A$2:$B$16,2,0))*E4058)</f>
        <v/>
      </c>
      <c r="H4058" s="7" t="str">
        <f t="shared" si="252"/>
        <v/>
      </c>
      <c r="I4058" s="7" t="str">
        <f>IF(AND(ISBLANK(D4058),ISBLANK(C4058)),"",((VLOOKUP(D4058,Cardápio!$A$2:$C$16,3,0))*E4058)+IF(B4058="iFood",F4058*0.27,(VLOOKUP(VENDAS!C4058,Bairros!$A$2:$B$90,2,0))))</f>
        <v/>
      </c>
      <c r="J4058" s="7" t="str">
        <f t="shared" si="253"/>
        <v/>
      </c>
      <c r="K4058" s="9">
        <f t="shared" ca="1" si="254"/>
        <v>45404.878290162036</v>
      </c>
      <c r="L4058" s="10">
        <f t="shared" ca="1" si="255"/>
        <v>45404.878290046297</v>
      </c>
    </row>
    <row r="4059" spans="6:12" x14ac:dyDescent="0.25">
      <c r="F4059" s="11" t="str">
        <f>IF(ISBLANK(D4059),"",(VLOOKUP(D4059,Cardápio!$A$2:$B$16,2,0))*E4059)</f>
        <v/>
      </c>
      <c r="H4059" s="7" t="str">
        <f t="shared" si="252"/>
        <v/>
      </c>
      <c r="I4059" s="7" t="str">
        <f>IF(AND(ISBLANK(D4059),ISBLANK(C4059)),"",((VLOOKUP(D4059,Cardápio!$A$2:$C$16,3,0))*E4059)+IF(B4059="iFood",F4059*0.27,(VLOOKUP(VENDAS!C4059,Bairros!$A$2:$B$90,2,0))))</f>
        <v/>
      </c>
      <c r="J4059" s="7" t="str">
        <f t="shared" si="253"/>
        <v/>
      </c>
      <c r="K4059" s="9">
        <f t="shared" ca="1" si="254"/>
        <v>45404.878290162036</v>
      </c>
      <c r="L4059" s="10">
        <f t="shared" ca="1" si="255"/>
        <v>45404.878290162036</v>
      </c>
    </row>
    <row r="4060" spans="6:12" x14ac:dyDescent="0.25">
      <c r="F4060" s="11" t="str">
        <f>IF(ISBLANK(D4060),"",(VLOOKUP(D4060,Cardápio!$A$2:$B$16,2,0))*E4060)</f>
        <v/>
      </c>
      <c r="H4060" s="7" t="str">
        <f t="shared" si="252"/>
        <v/>
      </c>
      <c r="I4060" s="7" t="str">
        <f>IF(AND(ISBLANK(D4060),ISBLANK(C4060)),"",((VLOOKUP(D4060,Cardápio!$A$2:$C$16,3,0))*E4060)+IF(B4060="iFood",F4060*0.27,(VLOOKUP(VENDAS!C4060,Bairros!$A$2:$B$90,2,0))))</f>
        <v/>
      </c>
      <c r="J4060" s="7" t="str">
        <f t="shared" si="253"/>
        <v/>
      </c>
      <c r="K4060" s="9">
        <f t="shared" ca="1" si="254"/>
        <v>45404.878290162036</v>
      </c>
      <c r="L4060" s="10">
        <f t="shared" ca="1" si="255"/>
        <v>45404.878290046297</v>
      </c>
    </row>
    <row r="4061" spans="6:12" x14ac:dyDescent="0.25">
      <c r="F4061" s="11" t="str">
        <f>IF(ISBLANK(D4061),"",(VLOOKUP(D4061,Cardápio!$A$2:$B$16,2,0))*E4061)</f>
        <v/>
      </c>
      <c r="H4061" s="7" t="str">
        <f t="shared" si="252"/>
        <v/>
      </c>
      <c r="I4061" s="7" t="str">
        <f>IF(AND(ISBLANK(D4061),ISBLANK(C4061)),"",((VLOOKUP(D4061,Cardápio!$A$2:$C$16,3,0))*E4061)+IF(B4061="iFood",F4061*0.27,(VLOOKUP(VENDAS!C4061,Bairros!$A$2:$B$90,2,0))))</f>
        <v/>
      </c>
      <c r="J4061" s="7" t="str">
        <f t="shared" si="253"/>
        <v/>
      </c>
      <c r="K4061" s="9">
        <f t="shared" ca="1" si="254"/>
        <v>45404.878290277775</v>
      </c>
      <c r="L4061" s="10">
        <f t="shared" ca="1" si="255"/>
        <v>45404.878290046297</v>
      </c>
    </row>
    <row r="4062" spans="6:12" x14ac:dyDescent="0.25">
      <c r="F4062" s="11" t="str">
        <f>IF(ISBLANK(D4062),"",(VLOOKUP(D4062,Cardápio!$A$2:$B$16,2,0))*E4062)</f>
        <v/>
      </c>
      <c r="H4062" s="7" t="str">
        <f t="shared" si="252"/>
        <v/>
      </c>
      <c r="I4062" s="7" t="str">
        <f>IF(AND(ISBLANK(D4062),ISBLANK(C4062)),"",((VLOOKUP(D4062,Cardápio!$A$2:$C$16,3,0))*E4062)+IF(B4062="iFood",F4062*0.27,(VLOOKUP(VENDAS!C4062,Bairros!$A$2:$B$90,2,0))))</f>
        <v/>
      </c>
      <c r="J4062" s="7" t="str">
        <f t="shared" si="253"/>
        <v/>
      </c>
      <c r="K4062" s="9">
        <f t="shared" ca="1" si="254"/>
        <v>45404.878290162036</v>
      </c>
      <c r="L4062" s="10">
        <f t="shared" ca="1" si="255"/>
        <v>45404.878290046297</v>
      </c>
    </row>
    <row r="4063" spans="6:12" x14ac:dyDescent="0.25">
      <c r="F4063" s="11" t="str">
        <f>IF(ISBLANK(D4063),"",(VLOOKUP(D4063,Cardápio!$A$2:$B$16,2,0))*E4063)</f>
        <v/>
      </c>
      <c r="H4063" s="7" t="str">
        <f t="shared" si="252"/>
        <v/>
      </c>
      <c r="I4063" s="7" t="str">
        <f>IF(AND(ISBLANK(D4063),ISBLANK(C4063)),"",((VLOOKUP(D4063,Cardápio!$A$2:$C$16,3,0))*E4063)+IF(B4063="iFood",F4063*0.27,(VLOOKUP(VENDAS!C4063,Bairros!$A$2:$B$90,2,0))))</f>
        <v/>
      </c>
      <c r="J4063" s="7" t="str">
        <f t="shared" si="253"/>
        <v/>
      </c>
      <c r="K4063" s="9">
        <f t="shared" ca="1" si="254"/>
        <v>45404.878290162036</v>
      </c>
      <c r="L4063" s="10">
        <f t="shared" ca="1" si="255"/>
        <v>45404.878290162036</v>
      </c>
    </row>
    <row r="4064" spans="6:12" x14ac:dyDescent="0.25">
      <c r="F4064" s="11" t="str">
        <f>IF(ISBLANK(D4064),"",(VLOOKUP(D4064,Cardápio!$A$2:$B$16,2,0))*E4064)</f>
        <v/>
      </c>
      <c r="H4064" s="7" t="str">
        <f t="shared" si="252"/>
        <v/>
      </c>
      <c r="I4064" s="7" t="str">
        <f>IF(AND(ISBLANK(D4064),ISBLANK(C4064)),"",((VLOOKUP(D4064,Cardápio!$A$2:$C$16,3,0))*E4064)+IF(B4064="iFood",F4064*0.27,(VLOOKUP(VENDAS!C4064,Bairros!$A$2:$B$90,2,0))))</f>
        <v/>
      </c>
      <c r="J4064" s="7" t="str">
        <f t="shared" si="253"/>
        <v/>
      </c>
      <c r="K4064" s="9">
        <f t="shared" ca="1" si="254"/>
        <v>45404.878290162036</v>
      </c>
      <c r="L4064" s="10">
        <f t="shared" ca="1" si="255"/>
        <v>45404.878290046297</v>
      </c>
    </row>
    <row r="4065" spans="6:12" x14ac:dyDescent="0.25">
      <c r="F4065" s="11" t="str">
        <f>IF(ISBLANK(D4065),"",(VLOOKUP(D4065,Cardápio!$A$2:$B$16,2,0))*E4065)</f>
        <v/>
      </c>
      <c r="H4065" s="7" t="str">
        <f t="shared" si="252"/>
        <v/>
      </c>
      <c r="I4065" s="7" t="str">
        <f>IF(AND(ISBLANK(D4065),ISBLANK(C4065)),"",((VLOOKUP(D4065,Cardápio!$A$2:$C$16,3,0))*E4065)+IF(B4065="iFood",F4065*0.27,(VLOOKUP(VENDAS!C4065,Bairros!$A$2:$B$90,2,0))))</f>
        <v/>
      </c>
      <c r="J4065" s="7" t="str">
        <f t="shared" si="253"/>
        <v/>
      </c>
      <c r="K4065" s="9">
        <f t="shared" ca="1" si="254"/>
        <v>45404.878290277775</v>
      </c>
      <c r="L4065" s="10">
        <f t="shared" ca="1" si="255"/>
        <v>45404.878290046297</v>
      </c>
    </row>
    <row r="4066" spans="6:12" x14ac:dyDescent="0.25">
      <c r="F4066" s="11" t="str">
        <f>IF(ISBLANK(D4066),"",(VLOOKUP(D4066,Cardápio!$A$2:$B$16,2,0))*E4066)</f>
        <v/>
      </c>
      <c r="H4066" s="7" t="str">
        <f t="shared" si="252"/>
        <v/>
      </c>
      <c r="I4066" s="7" t="str">
        <f>IF(AND(ISBLANK(D4066),ISBLANK(C4066)),"",((VLOOKUP(D4066,Cardápio!$A$2:$C$16,3,0))*E4066)+IF(B4066="iFood",F4066*0.27,(VLOOKUP(VENDAS!C4066,Bairros!$A$2:$B$90,2,0))))</f>
        <v/>
      </c>
      <c r="J4066" s="7" t="str">
        <f t="shared" si="253"/>
        <v/>
      </c>
      <c r="K4066" s="9">
        <f t="shared" ca="1" si="254"/>
        <v>45404.878290162036</v>
      </c>
      <c r="L4066" s="10">
        <f t="shared" ca="1" si="255"/>
        <v>45404.878290046297</v>
      </c>
    </row>
    <row r="4067" spans="6:12" x14ac:dyDescent="0.25">
      <c r="F4067" s="11" t="str">
        <f>IF(ISBLANK(D4067),"",(VLOOKUP(D4067,Cardápio!$A$2:$B$16,2,0))*E4067)</f>
        <v/>
      </c>
      <c r="H4067" s="7" t="str">
        <f t="shared" si="252"/>
        <v/>
      </c>
      <c r="I4067" s="7" t="str">
        <f>IF(AND(ISBLANK(D4067),ISBLANK(C4067)),"",((VLOOKUP(D4067,Cardápio!$A$2:$C$16,3,0))*E4067)+IF(B4067="iFood",F4067*0.27,(VLOOKUP(VENDAS!C4067,Bairros!$A$2:$B$90,2,0))))</f>
        <v/>
      </c>
      <c r="J4067" s="7" t="str">
        <f t="shared" si="253"/>
        <v/>
      </c>
      <c r="K4067" s="9">
        <f t="shared" ca="1" si="254"/>
        <v>45404.878290162036</v>
      </c>
      <c r="L4067" s="10">
        <f t="shared" ca="1" si="255"/>
        <v>45404.878290162036</v>
      </c>
    </row>
    <row r="4068" spans="6:12" x14ac:dyDescent="0.25">
      <c r="F4068" s="11" t="str">
        <f>IF(ISBLANK(D4068),"",(VLOOKUP(D4068,Cardápio!$A$2:$B$16,2,0))*E4068)</f>
        <v/>
      </c>
      <c r="H4068" s="7" t="str">
        <f t="shared" si="252"/>
        <v/>
      </c>
      <c r="I4068" s="7" t="str">
        <f>IF(AND(ISBLANK(D4068),ISBLANK(C4068)),"",((VLOOKUP(D4068,Cardápio!$A$2:$C$16,3,0))*E4068)+IF(B4068="iFood",F4068*0.27,(VLOOKUP(VENDAS!C4068,Bairros!$A$2:$B$90,2,0))))</f>
        <v/>
      </c>
      <c r="J4068" s="7" t="str">
        <f t="shared" si="253"/>
        <v/>
      </c>
      <c r="K4068" s="9">
        <f t="shared" ca="1" si="254"/>
        <v>45404.878290162036</v>
      </c>
      <c r="L4068" s="10">
        <f t="shared" ca="1" si="255"/>
        <v>45404.878290046297</v>
      </c>
    </row>
    <row r="4069" spans="6:12" x14ac:dyDescent="0.25">
      <c r="F4069" s="11" t="str">
        <f>IF(ISBLANK(D4069),"",(VLOOKUP(D4069,Cardápio!$A$2:$B$16,2,0))*E4069)</f>
        <v/>
      </c>
      <c r="H4069" s="7" t="str">
        <f t="shared" si="252"/>
        <v/>
      </c>
      <c r="I4069" s="7" t="str">
        <f>IF(AND(ISBLANK(D4069),ISBLANK(C4069)),"",((VLOOKUP(D4069,Cardápio!$A$2:$C$16,3,0))*E4069)+IF(B4069="iFood",F4069*0.27,(VLOOKUP(VENDAS!C4069,Bairros!$A$2:$B$90,2,0))))</f>
        <v/>
      </c>
      <c r="J4069" s="7" t="str">
        <f t="shared" si="253"/>
        <v/>
      </c>
      <c r="K4069" s="9">
        <f t="shared" ca="1" si="254"/>
        <v>45404.878290277775</v>
      </c>
      <c r="L4069" s="10">
        <f t="shared" ca="1" si="255"/>
        <v>45404.878290046297</v>
      </c>
    </row>
    <row r="4070" spans="6:12" x14ac:dyDescent="0.25">
      <c r="F4070" s="11" t="str">
        <f>IF(ISBLANK(D4070),"",(VLOOKUP(D4070,Cardápio!$A$2:$B$16,2,0))*E4070)</f>
        <v/>
      </c>
      <c r="H4070" s="7" t="str">
        <f t="shared" si="252"/>
        <v/>
      </c>
      <c r="I4070" s="7" t="str">
        <f>IF(AND(ISBLANK(D4070),ISBLANK(C4070)),"",((VLOOKUP(D4070,Cardápio!$A$2:$C$16,3,0))*E4070)+IF(B4070="iFood",F4070*0.27,(VLOOKUP(VENDAS!C4070,Bairros!$A$2:$B$90,2,0))))</f>
        <v/>
      </c>
      <c r="J4070" s="7" t="str">
        <f t="shared" si="253"/>
        <v/>
      </c>
      <c r="K4070" s="9">
        <f t="shared" ca="1" si="254"/>
        <v>45404.878290162036</v>
      </c>
      <c r="L4070" s="10">
        <f t="shared" ca="1" si="255"/>
        <v>45404.878290046297</v>
      </c>
    </row>
    <row r="4071" spans="6:12" x14ac:dyDescent="0.25">
      <c r="F4071" s="11" t="str">
        <f>IF(ISBLANK(D4071),"",(VLOOKUP(D4071,Cardápio!$A$2:$B$16,2,0))*E4071)</f>
        <v/>
      </c>
      <c r="H4071" s="7" t="str">
        <f t="shared" si="252"/>
        <v/>
      </c>
      <c r="I4071" s="7" t="str">
        <f>IF(AND(ISBLANK(D4071),ISBLANK(C4071)),"",((VLOOKUP(D4071,Cardápio!$A$2:$C$16,3,0))*E4071)+IF(B4071="iFood",F4071*0.27,(VLOOKUP(VENDAS!C4071,Bairros!$A$2:$B$90,2,0))))</f>
        <v/>
      </c>
      <c r="J4071" s="7" t="str">
        <f t="shared" si="253"/>
        <v/>
      </c>
      <c r="K4071" s="9">
        <f t="shared" ca="1" si="254"/>
        <v>45404.878290162036</v>
      </c>
      <c r="L4071" s="10">
        <f t="shared" ca="1" si="255"/>
        <v>45404.878290162036</v>
      </c>
    </row>
    <row r="4072" spans="6:12" x14ac:dyDescent="0.25">
      <c r="F4072" s="11" t="str">
        <f>IF(ISBLANK(D4072),"",(VLOOKUP(D4072,Cardápio!$A$2:$B$16,2,0))*E4072)</f>
        <v/>
      </c>
      <c r="H4072" s="7" t="str">
        <f t="shared" si="252"/>
        <v/>
      </c>
      <c r="I4072" s="7" t="str">
        <f>IF(AND(ISBLANK(D4072),ISBLANK(C4072)),"",((VLOOKUP(D4072,Cardápio!$A$2:$C$16,3,0))*E4072)+IF(B4072="iFood",F4072*0.27,(VLOOKUP(VENDAS!C4072,Bairros!$A$2:$B$90,2,0))))</f>
        <v/>
      </c>
      <c r="J4072" s="7" t="str">
        <f t="shared" si="253"/>
        <v/>
      </c>
      <c r="K4072" s="9">
        <f t="shared" ca="1" si="254"/>
        <v>45404.878290162036</v>
      </c>
      <c r="L4072" s="10">
        <f t="shared" ca="1" si="255"/>
        <v>45404.878290046297</v>
      </c>
    </row>
    <row r="4073" spans="6:12" x14ac:dyDescent="0.25">
      <c r="F4073" s="11" t="str">
        <f>IF(ISBLANK(D4073),"",(VLOOKUP(D4073,Cardápio!$A$2:$B$16,2,0))*E4073)</f>
        <v/>
      </c>
      <c r="H4073" s="7" t="str">
        <f t="shared" si="252"/>
        <v/>
      </c>
      <c r="I4073" s="7" t="str">
        <f>IF(AND(ISBLANK(D4073),ISBLANK(C4073)),"",((VLOOKUP(D4073,Cardápio!$A$2:$C$16,3,0))*E4073)+IF(B4073="iFood",F4073*0.27,(VLOOKUP(VENDAS!C4073,Bairros!$A$2:$B$90,2,0))))</f>
        <v/>
      </c>
      <c r="J4073" s="7" t="str">
        <f t="shared" si="253"/>
        <v/>
      </c>
      <c r="K4073" s="9">
        <f t="shared" ca="1" si="254"/>
        <v>45404.878290277775</v>
      </c>
      <c r="L4073" s="10">
        <f t="shared" ca="1" si="255"/>
        <v>45404.878290046297</v>
      </c>
    </row>
    <row r="4074" spans="6:12" x14ac:dyDescent="0.25">
      <c r="F4074" s="11" t="str">
        <f>IF(ISBLANK(D4074),"",(VLOOKUP(D4074,Cardápio!$A$2:$B$16,2,0))*E4074)</f>
        <v/>
      </c>
      <c r="H4074" s="7" t="str">
        <f t="shared" si="252"/>
        <v/>
      </c>
      <c r="I4074" s="7" t="str">
        <f>IF(AND(ISBLANK(D4074),ISBLANK(C4074)),"",((VLOOKUP(D4074,Cardápio!$A$2:$C$16,3,0))*E4074)+IF(B4074="iFood",F4074*0.27,(VLOOKUP(VENDAS!C4074,Bairros!$A$2:$B$90,2,0))))</f>
        <v/>
      </c>
      <c r="J4074" s="7" t="str">
        <f t="shared" si="253"/>
        <v/>
      </c>
      <c r="K4074" s="9">
        <f t="shared" ca="1" si="254"/>
        <v>45404.878290162036</v>
      </c>
      <c r="L4074" s="10">
        <f t="shared" ca="1" si="255"/>
        <v>45404.878290046297</v>
      </c>
    </row>
    <row r="4075" spans="6:12" x14ac:dyDescent="0.25">
      <c r="F4075" s="11" t="str">
        <f>IF(ISBLANK(D4075),"",(VLOOKUP(D4075,Cardápio!$A$2:$B$16,2,0))*E4075)</f>
        <v/>
      </c>
      <c r="H4075" s="7" t="str">
        <f t="shared" si="252"/>
        <v/>
      </c>
      <c r="I4075" s="7" t="str">
        <f>IF(AND(ISBLANK(D4075),ISBLANK(C4075)),"",((VLOOKUP(D4075,Cardápio!$A$2:$C$16,3,0))*E4075)+IF(B4075="iFood",F4075*0.27,(VLOOKUP(VENDAS!C4075,Bairros!$A$2:$B$90,2,0))))</f>
        <v/>
      </c>
      <c r="J4075" s="7" t="str">
        <f t="shared" si="253"/>
        <v/>
      </c>
      <c r="K4075" s="9">
        <f t="shared" ca="1" si="254"/>
        <v>45404.878290162036</v>
      </c>
      <c r="L4075" s="10">
        <f t="shared" ca="1" si="255"/>
        <v>45404.878290162036</v>
      </c>
    </row>
    <row r="4076" spans="6:12" x14ac:dyDescent="0.25">
      <c r="F4076" s="11" t="str">
        <f>IF(ISBLANK(D4076),"",(VLOOKUP(D4076,Cardápio!$A$2:$B$16,2,0))*E4076)</f>
        <v/>
      </c>
      <c r="H4076" s="7" t="str">
        <f t="shared" si="252"/>
        <v/>
      </c>
      <c r="I4076" s="7" t="str">
        <f>IF(AND(ISBLANK(D4076),ISBLANK(C4076)),"",((VLOOKUP(D4076,Cardápio!$A$2:$C$16,3,0))*E4076)+IF(B4076="iFood",F4076*0.27,(VLOOKUP(VENDAS!C4076,Bairros!$A$2:$B$90,2,0))))</f>
        <v/>
      </c>
      <c r="J4076" s="7" t="str">
        <f t="shared" si="253"/>
        <v/>
      </c>
      <c r="K4076" s="9">
        <f t="shared" ca="1" si="254"/>
        <v>45404.878290162036</v>
      </c>
      <c r="L4076" s="10">
        <f t="shared" ca="1" si="255"/>
        <v>45404.878290046297</v>
      </c>
    </row>
    <row r="4077" spans="6:12" x14ac:dyDescent="0.25">
      <c r="F4077" s="11" t="str">
        <f>IF(ISBLANK(D4077),"",(VLOOKUP(D4077,Cardápio!$A$2:$B$16,2,0))*E4077)</f>
        <v/>
      </c>
      <c r="H4077" s="7" t="str">
        <f t="shared" si="252"/>
        <v/>
      </c>
      <c r="I4077" s="7" t="str">
        <f>IF(AND(ISBLANK(D4077),ISBLANK(C4077)),"",((VLOOKUP(D4077,Cardápio!$A$2:$C$16,3,0))*E4077)+IF(B4077="iFood",F4077*0.27,(VLOOKUP(VENDAS!C4077,Bairros!$A$2:$B$90,2,0))))</f>
        <v/>
      </c>
      <c r="J4077" s="7" t="str">
        <f t="shared" si="253"/>
        <v/>
      </c>
      <c r="K4077" s="9">
        <f t="shared" ca="1" si="254"/>
        <v>45404.878290277775</v>
      </c>
      <c r="L4077" s="10">
        <f t="shared" ca="1" si="255"/>
        <v>45404.878290046297</v>
      </c>
    </row>
    <row r="4078" spans="6:12" x14ac:dyDescent="0.25">
      <c r="F4078" s="11" t="str">
        <f>IF(ISBLANK(D4078),"",(VLOOKUP(D4078,Cardápio!$A$2:$B$16,2,0))*E4078)</f>
        <v/>
      </c>
      <c r="H4078" s="7" t="str">
        <f t="shared" si="252"/>
        <v/>
      </c>
      <c r="I4078" s="7" t="str">
        <f>IF(AND(ISBLANK(D4078),ISBLANK(C4078)),"",((VLOOKUP(D4078,Cardápio!$A$2:$C$16,3,0))*E4078)+IF(B4078="iFood",F4078*0.27,(VLOOKUP(VENDAS!C4078,Bairros!$A$2:$B$90,2,0))))</f>
        <v/>
      </c>
      <c r="J4078" s="7" t="str">
        <f t="shared" si="253"/>
        <v/>
      </c>
      <c r="K4078" s="9">
        <f t="shared" ca="1" si="254"/>
        <v>45404.878290162036</v>
      </c>
      <c r="L4078" s="10">
        <f t="shared" ca="1" si="255"/>
        <v>45404.878290046297</v>
      </c>
    </row>
    <row r="4079" spans="6:12" x14ac:dyDescent="0.25">
      <c r="F4079" s="11" t="str">
        <f>IF(ISBLANK(D4079),"",(VLOOKUP(D4079,Cardápio!$A$2:$B$16,2,0))*E4079)</f>
        <v/>
      </c>
      <c r="H4079" s="7" t="str">
        <f t="shared" si="252"/>
        <v/>
      </c>
      <c r="I4079" s="7" t="str">
        <f>IF(AND(ISBLANK(D4079),ISBLANK(C4079)),"",((VLOOKUP(D4079,Cardápio!$A$2:$C$16,3,0))*E4079)+IF(B4079="iFood",F4079*0.27,(VLOOKUP(VENDAS!C4079,Bairros!$A$2:$B$90,2,0))))</f>
        <v/>
      </c>
      <c r="J4079" s="7" t="str">
        <f t="shared" si="253"/>
        <v/>
      </c>
      <c r="K4079" s="9">
        <f t="shared" ca="1" si="254"/>
        <v>45404.878290162036</v>
      </c>
      <c r="L4079" s="10">
        <f t="shared" ca="1" si="255"/>
        <v>45404.878290162036</v>
      </c>
    </row>
    <row r="4080" spans="6:12" x14ac:dyDescent="0.25">
      <c r="F4080" s="11" t="str">
        <f>IF(ISBLANK(D4080),"",(VLOOKUP(D4080,Cardápio!$A$2:$B$16,2,0))*E4080)</f>
        <v/>
      </c>
      <c r="H4080" s="7" t="str">
        <f t="shared" si="252"/>
        <v/>
      </c>
      <c r="I4080" s="7" t="str">
        <f>IF(AND(ISBLANK(D4080),ISBLANK(C4080)),"",((VLOOKUP(D4080,Cardápio!$A$2:$C$16,3,0))*E4080)+IF(B4080="iFood",F4080*0.27,(VLOOKUP(VENDAS!C4080,Bairros!$A$2:$B$90,2,0))))</f>
        <v/>
      </c>
      <c r="J4080" s="7" t="str">
        <f t="shared" si="253"/>
        <v/>
      </c>
      <c r="K4080" s="9">
        <f t="shared" ca="1" si="254"/>
        <v>45404.878290162036</v>
      </c>
      <c r="L4080" s="10">
        <f t="shared" ca="1" si="255"/>
        <v>45404.878290046297</v>
      </c>
    </row>
    <row r="4081" spans="6:12" x14ac:dyDescent="0.25">
      <c r="F4081" s="11" t="str">
        <f>IF(ISBLANK(D4081),"",(VLOOKUP(D4081,Cardápio!$A$2:$B$16,2,0))*E4081)</f>
        <v/>
      </c>
      <c r="H4081" s="7" t="str">
        <f t="shared" si="252"/>
        <v/>
      </c>
      <c r="I4081" s="7" t="str">
        <f>IF(AND(ISBLANK(D4081),ISBLANK(C4081)),"",((VLOOKUP(D4081,Cardápio!$A$2:$C$16,3,0))*E4081)+IF(B4081="iFood",F4081*0.27,(VLOOKUP(VENDAS!C4081,Bairros!$A$2:$B$90,2,0))))</f>
        <v/>
      </c>
      <c r="J4081" s="7" t="str">
        <f t="shared" si="253"/>
        <v/>
      </c>
      <c r="K4081" s="9">
        <f t="shared" ca="1" si="254"/>
        <v>45404.878290277775</v>
      </c>
      <c r="L4081" s="10">
        <f t="shared" ca="1" si="255"/>
        <v>45404.878290046297</v>
      </c>
    </row>
    <row r="4082" spans="6:12" x14ac:dyDescent="0.25">
      <c r="F4082" s="11" t="str">
        <f>IF(ISBLANK(D4082),"",(VLOOKUP(D4082,Cardápio!$A$2:$B$16,2,0))*E4082)</f>
        <v/>
      </c>
      <c r="H4082" s="7" t="str">
        <f t="shared" si="252"/>
        <v/>
      </c>
      <c r="I4082" s="7" t="str">
        <f>IF(AND(ISBLANK(D4082),ISBLANK(C4082)),"",((VLOOKUP(D4082,Cardápio!$A$2:$C$16,3,0))*E4082)+IF(B4082="iFood",F4082*0.27,(VLOOKUP(VENDAS!C4082,Bairros!$A$2:$B$90,2,0))))</f>
        <v/>
      </c>
      <c r="J4082" s="7" t="str">
        <f t="shared" si="253"/>
        <v/>
      </c>
      <c r="K4082" s="9">
        <f t="shared" ca="1" si="254"/>
        <v>45404.878290162036</v>
      </c>
      <c r="L4082" s="10">
        <f t="shared" ca="1" si="255"/>
        <v>45404.878290046297</v>
      </c>
    </row>
    <row r="4083" spans="6:12" x14ac:dyDescent="0.25">
      <c r="F4083" s="11" t="str">
        <f>IF(ISBLANK(D4083),"",(VLOOKUP(D4083,Cardápio!$A$2:$B$16,2,0))*E4083)</f>
        <v/>
      </c>
      <c r="H4083" s="7" t="str">
        <f t="shared" si="252"/>
        <v/>
      </c>
      <c r="I4083" s="7" t="str">
        <f>IF(AND(ISBLANK(D4083),ISBLANK(C4083)),"",((VLOOKUP(D4083,Cardápio!$A$2:$C$16,3,0))*E4083)+IF(B4083="iFood",F4083*0.27,(VLOOKUP(VENDAS!C4083,Bairros!$A$2:$B$90,2,0))))</f>
        <v/>
      </c>
      <c r="J4083" s="7" t="str">
        <f t="shared" si="253"/>
        <v/>
      </c>
      <c r="K4083" s="9">
        <f t="shared" ca="1" si="254"/>
        <v>45404.878290162036</v>
      </c>
      <c r="L4083" s="10">
        <f t="shared" ca="1" si="255"/>
        <v>45404.878290162036</v>
      </c>
    </row>
    <row r="4084" spans="6:12" x14ac:dyDescent="0.25">
      <c r="F4084" s="11" t="str">
        <f>IF(ISBLANK(D4084),"",(VLOOKUP(D4084,Cardápio!$A$2:$B$16,2,0))*E4084)</f>
        <v/>
      </c>
      <c r="H4084" s="7" t="str">
        <f t="shared" si="252"/>
        <v/>
      </c>
      <c r="I4084" s="7" t="str">
        <f>IF(AND(ISBLANK(D4084),ISBLANK(C4084)),"",((VLOOKUP(D4084,Cardápio!$A$2:$C$16,3,0))*E4084)+IF(B4084="iFood",F4084*0.27,(VLOOKUP(VENDAS!C4084,Bairros!$A$2:$B$90,2,0))))</f>
        <v/>
      </c>
      <c r="J4084" s="7" t="str">
        <f t="shared" si="253"/>
        <v/>
      </c>
      <c r="K4084" s="9">
        <f t="shared" ca="1" si="254"/>
        <v>45404.878290162036</v>
      </c>
      <c r="L4084" s="10">
        <f t="shared" ca="1" si="255"/>
        <v>45404.878290046297</v>
      </c>
    </row>
    <row r="4085" spans="6:12" x14ac:dyDescent="0.25">
      <c r="F4085" s="11" t="str">
        <f>IF(ISBLANK(D4085),"",(VLOOKUP(D4085,Cardápio!$A$2:$B$16,2,0))*E4085)</f>
        <v/>
      </c>
      <c r="H4085" s="7" t="str">
        <f t="shared" ref="H4085:H4148" si="256">IF(ISBLANK(D4085),"",F4085-G4085)</f>
        <v/>
      </c>
      <c r="I4085" s="7" t="str">
        <f>IF(AND(ISBLANK(D4085),ISBLANK(C4085)),"",((VLOOKUP(D4085,Cardápio!$A$2:$C$16,3,0))*E4085)+IF(B4085="iFood",F4085*0.27,(VLOOKUP(VENDAS!C4085,Bairros!$A$2:$B$90,2,0))))</f>
        <v/>
      </c>
      <c r="J4085" s="7" t="str">
        <f t="shared" ref="J4085:J4148" si="257">IF(OR(AND(ISBLANK(H4085),ISBLANK(I4085)),(AND(H4085="",I4085=""))),"",H4085-I4085)</f>
        <v/>
      </c>
      <c r="K4085" s="9">
        <f t="shared" ref="K4085:K4148" ca="1" si="258">IF(D4085&lt;&gt;"",K4085,NOW())</f>
        <v>45404.878290277775</v>
      </c>
      <c r="L4085" s="10">
        <f t="shared" ref="L4085:L4148" ca="1" si="259">IF(D4085&lt;&gt;"",L4085,NOW())</f>
        <v>45404.878290046297</v>
      </c>
    </row>
    <row r="4086" spans="6:12" x14ac:dyDescent="0.25">
      <c r="F4086" s="11" t="str">
        <f>IF(ISBLANK(D4086),"",(VLOOKUP(D4086,Cardápio!$A$2:$B$16,2,0))*E4086)</f>
        <v/>
      </c>
      <c r="H4086" s="7" t="str">
        <f t="shared" si="256"/>
        <v/>
      </c>
      <c r="I4086" s="7" t="str">
        <f>IF(AND(ISBLANK(D4086),ISBLANK(C4086)),"",((VLOOKUP(D4086,Cardápio!$A$2:$C$16,3,0))*E4086)+IF(B4086="iFood",F4086*0.27,(VLOOKUP(VENDAS!C4086,Bairros!$A$2:$B$90,2,0))))</f>
        <v/>
      </c>
      <c r="J4086" s="7" t="str">
        <f t="shared" si="257"/>
        <v/>
      </c>
      <c r="K4086" s="9">
        <f t="shared" ca="1" si="258"/>
        <v>45404.878290162036</v>
      </c>
      <c r="L4086" s="10">
        <f t="shared" ca="1" si="259"/>
        <v>45404.878290046297</v>
      </c>
    </row>
    <row r="4087" spans="6:12" x14ac:dyDescent="0.25">
      <c r="F4087" s="11" t="str">
        <f>IF(ISBLANK(D4087),"",(VLOOKUP(D4087,Cardápio!$A$2:$B$16,2,0))*E4087)</f>
        <v/>
      </c>
      <c r="H4087" s="7" t="str">
        <f t="shared" si="256"/>
        <v/>
      </c>
      <c r="I4087" s="7" t="str">
        <f>IF(AND(ISBLANK(D4087),ISBLANK(C4087)),"",((VLOOKUP(D4087,Cardápio!$A$2:$C$16,3,0))*E4087)+IF(B4087="iFood",F4087*0.27,(VLOOKUP(VENDAS!C4087,Bairros!$A$2:$B$90,2,0))))</f>
        <v/>
      </c>
      <c r="J4087" s="7" t="str">
        <f t="shared" si="257"/>
        <v/>
      </c>
      <c r="K4087" s="9">
        <f t="shared" ca="1" si="258"/>
        <v>45404.878290162036</v>
      </c>
      <c r="L4087" s="10">
        <f t="shared" ca="1" si="259"/>
        <v>45404.878290162036</v>
      </c>
    </row>
    <row r="4088" spans="6:12" x14ac:dyDescent="0.25">
      <c r="F4088" s="11" t="str">
        <f>IF(ISBLANK(D4088),"",(VLOOKUP(D4088,Cardápio!$A$2:$B$16,2,0))*E4088)</f>
        <v/>
      </c>
      <c r="H4088" s="7" t="str">
        <f t="shared" si="256"/>
        <v/>
      </c>
      <c r="I4088" s="7" t="str">
        <f>IF(AND(ISBLANK(D4088),ISBLANK(C4088)),"",((VLOOKUP(D4088,Cardápio!$A$2:$C$16,3,0))*E4088)+IF(B4088="iFood",F4088*0.27,(VLOOKUP(VENDAS!C4088,Bairros!$A$2:$B$90,2,0))))</f>
        <v/>
      </c>
      <c r="J4088" s="7" t="str">
        <f t="shared" si="257"/>
        <v/>
      </c>
      <c r="K4088" s="9">
        <f t="shared" ca="1" si="258"/>
        <v>45404.878290162036</v>
      </c>
      <c r="L4088" s="10">
        <f t="shared" ca="1" si="259"/>
        <v>45404.878290046297</v>
      </c>
    </row>
    <row r="4089" spans="6:12" x14ac:dyDescent="0.25">
      <c r="F4089" s="11" t="str">
        <f>IF(ISBLANK(D4089),"",(VLOOKUP(D4089,Cardápio!$A$2:$B$16,2,0))*E4089)</f>
        <v/>
      </c>
      <c r="H4089" s="7" t="str">
        <f t="shared" si="256"/>
        <v/>
      </c>
      <c r="I4089" s="7" t="str">
        <f>IF(AND(ISBLANK(D4089),ISBLANK(C4089)),"",((VLOOKUP(D4089,Cardápio!$A$2:$C$16,3,0))*E4089)+IF(B4089="iFood",F4089*0.27,(VLOOKUP(VENDAS!C4089,Bairros!$A$2:$B$90,2,0))))</f>
        <v/>
      </c>
      <c r="J4089" s="7" t="str">
        <f t="shared" si="257"/>
        <v/>
      </c>
      <c r="K4089" s="9">
        <f t="shared" ca="1" si="258"/>
        <v>45404.878290277775</v>
      </c>
      <c r="L4089" s="10">
        <f t="shared" ca="1" si="259"/>
        <v>45404.878290046297</v>
      </c>
    </row>
    <row r="4090" spans="6:12" x14ac:dyDescent="0.25">
      <c r="F4090" s="11" t="str">
        <f>IF(ISBLANK(D4090),"",(VLOOKUP(D4090,Cardápio!$A$2:$B$16,2,0))*E4090)</f>
        <v/>
      </c>
      <c r="H4090" s="7" t="str">
        <f t="shared" si="256"/>
        <v/>
      </c>
      <c r="I4090" s="7" t="str">
        <f>IF(AND(ISBLANK(D4090),ISBLANK(C4090)),"",((VLOOKUP(D4090,Cardápio!$A$2:$C$16,3,0))*E4090)+IF(B4090="iFood",F4090*0.27,(VLOOKUP(VENDAS!C4090,Bairros!$A$2:$B$90,2,0))))</f>
        <v/>
      </c>
      <c r="J4090" s="7" t="str">
        <f t="shared" si="257"/>
        <v/>
      </c>
      <c r="K4090" s="9">
        <f t="shared" ca="1" si="258"/>
        <v>45404.878290162036</v>
      </c>
      <c r="L4090" s="10">
        <f t="shared" ca="1" si="259"/>
        <v>45404.878290046297</v>
      </c>
    </row>
    <row r="4091" spans="6:12" x14ac:dyDescent="0.25">
      <c r="F4091" s="11" t="str">
        <f>IF(ISBLANK(D4091),"",(VLOOKUP(D4091,Cardápio!$A$2:$B$16,2,0))*E4091)</f>
        <v/>
      </c>
      <c r="H4091" s="7" t="str">
        <f t="shared" si="256"/>
        <v/>
      </c>
      <c r="I4091" s="7" t="str">
        <f>IF(AND(ISBLANK(D4091),ISBLANK(C4091)),"",((VLOOKUP(D4091,Cardápio!$A$2:$C$16,3,0))*E4091)+IF(B4091="iFood",F4091*0.27,(VLOOKUP(VENDAS!C4091,Bairros!$A$2:$B$90,2,0))))</f>
        <v/>
      </c>
      <c r="J4091" s="7" t="str">
        <f t="shared" si="257"/>
        <v/>
      </c>
      <c r="K4091" s="9">
        <f t="shared" ca="1" si="258"/>
        <v>45404.878290162036</v>
      </c>
      <c r="L4091" s="10">
        <f t="shared" ca="1" si="259"/>
        <v>45404.878290162036</v>
      </c>
    </row>
    <row r="4092" spans="6:12" x14ac:dyDescent="0.25">
      <c r="F4092" s="11" t="str">
        <f>IF(ISBLANK(D4092),"",(VLOOKUP(D4092,Cardápio!$A$2:$B$16,2,0))*E4092)</f>
        <v/>
      </c>
      <c r="H4092" s="7" t="str">
        <f t="shared" si="256"/>
        <v/>
      </c>
      <c r="I4092" s="7" t="str">
        <f>IF(AND(ISBLANK(D4092),ISBLANK(C4092)),"",((VLOOKUP(D4092,Cardápio!$A$2:$C$16,3,0))*E4092)+IF(B4092="iFood",F4092*0.27,(VLOOKUP(VENDAS!C4092,Bairros!$A$2:$B$90,2,0))))</f>
        <v/>
      </c>
      <c r="J4092" s="7" t="str">
        <f t="shared" si="257"/>
        <v/>
      </c>
      <c r="K4092" s="9">
        <f t="shared" ca="1" si="258"/>
        <v>45404.878290162036</v>
      </c>
      <c r="L4092" s="10">
        <f t="shared" ca="1" si="259"/>
        <v>45404.878290046297</v>
      </c>
    </row>
    <row r="4093" spans="6:12" x14ac:dyDescent="0.25">
      <c r="F4093" s="11" t="str">
        <f>IF(ISBLANK(D4093),"",(VLOOKUP(D4093,Cardápio!$A$2:$B$16,2,0))*E4093)</f>
        <v/>
      </c>
      <c r="H4093" s="7" t="str">
        <f t="shared" si="256"/>
        <v/>
      </c>
      <c r="I4093" s="7" t="str">
        <f>IF(AND(ISBLANK(D4093),ISBLANK(C4093)),"",((VLOOKUP(D4093,Cardápio!$A$2:$C$16,3,0))*E4093)+IF(B4093="iFood",F4093*0.27,(VLOOKUP(VENDAS!C4093,Bairros!$A$2:$B$90,2,0))))</f>
        <v/>
      </c>
      <c r="J4093" s="7" t="str">
        <f t="shared" si="257"/>
        <v/>
      </c>
      <c r="K4093" s="9">
        <f t="shared" ca="1" si="258"/>
        <v>45404.878290277775</v>
      </c>
      <c r="L4093" s="10">
        <f t="shared" ca="1" si="259"/>
        <v>45404.878290046297</v>
      </c>
    </row>
    <row r="4094" spans="6:12" x14ac:dyDescent="0.25">
      <c r="F4094" s="11" t="str">
        <f>IF(ISBLANK(D4094),"",(VLOOKUP(D4094,Cardápio!$A$2:$B$16,2,0))*E4094)</f>
        <v/>
      </c>
      <c r="H4094" s="7" t="str">
        <f t="shared" si="256"/>
        <v/>
      </c>
      <c r="I4094" s="7" t="str">
        <f>IF(AND(ISBLANK(D4094),ISBLANK(C4094)),"",((VLOOKUP(D4094,Cardápio!$A$2:$C$16,3,0))*E4094)+IF(B4094="iFood",F4094*0.27,(VLOOKUP(VENDAS!C4094,Bairros!$A$2:$B$90,2,0))))</f>
        <v/>
      </c>
      <c r="J4094" s="7" t="str">
        <f t="shared" si="257"/>
        <v/>
      </c>
      <c r="K4094" s="9">
        <f t="shared" ca="1" si="258"/>
        <v>45404.878290162036</v>
      </c>
      <c r="L4094" s="10">
        <f t="shared" ca="1" si="259"/>
        <v>45404.878290046297</v>
      </c>
    </row>
    <row r="4095" spans="6:12" x14ac:dyDescent="0.25">
      <c r="F4095" s="11" t="str">
        <f>IF(ISBLANK(D4095),"",(VLOOKUP(D4095,Cardápio!$A$2:$B$16,2,0))*E4095)</f>
        <v/>
      </c>
      <c r="H4095" s="7" t="str">
        <f t="shared" si="256"/>
        <v/>
      </c>
      <c r="I4095" s="7" t="str">
        <f>IF(AND(ISBLANK(D4095),ISBLANK(C4095)),"",((VLOOKUP(D4095,Cardápio!$A$2:$C$16,3,0))*E4095)+IF(B4095="iFood",F4095*0.27,(VLOOKUP(VENDAS!C4095,Bairros!$A$2:$B$90,2,0))))</f>
        <v/>
      </c>
      <c r="J4095" s="7" t="str">
        <f t="shared" si="257"/>
        <v/>
      </c>
      <c r="K4095" s="9">
        <f t="shared" ca="1" si="258"/>
        <v>45404.878290162036</v>
      </c>
      <c r="L4095" s="10">
        <f t="shared" ca="1" si="259"/>
        <v>45404.878290162036</v>
      </c>
    </row>
    <row r="4096" spans="6:12" x14ac:dyDescent="0.25">
      <c r="F4096" s="11" t="str">
        <f>IF(ISBLANK(D4096),"",(VLOOKUP(D4096,Cardápio!$A$2:$B$16,2,0))*E4096)</f>
        <v/>
      </c>
      <c r="H4096" s="7" t="str">
        <f t="shared" si="256"/>
        <v/>
      </c>
      <c r="I4096" s="7" t="str">
        <f>IF(AND(ISBLANK(D4096),ISBLANK(C4096)),"",((VLOOKUP(D4096,Cardápio!$A$2:$C$16,3,0))*E4096)+IF(B4096="iFood",F4096*0.27,(VLOOKUP(VENDAS!C4096,Bairros!$A$2:$B$90,2,0))))</f>
        <v/>
      </c>
      <c r="J4096" s="7" t="str">
        <f t="shared" si="257"/>
        <v/>
      </c>
      <c r="K4096" s="9">
        <f t="shared" ca="1" si="258"/>
        <v>45404.878290162036</v>
      </c>
      <c r="L4096" s="10">
        <f t="shared" ca="1" si="259"/>
        <v>45404.878290046297</v>
      </c>
    </row>
    <row r="4097" spans="6:12" x14ac:dyDescent="0.25">
      <c r="F4097" s="11" t="str">
        <f>IF(ISBLANK(D4097),"",(VLOOKUP(D4097,Cardápio!$A$2:$B$16,2,0))*E4097)</f>
        <v/>
      </c>
      <c r="H4097" s="7" t="str">
        <f t="shared" si="256"/>
        <v/>
      </c>
      <c r="I4097" s="7" t="str">
        <f>IF(AND(ISBLANK(D4097),ISBLANK(C4097)),"",((VLOOKUP(D4097,Cardápio!$A$2:$C$16,3,0))*E4097)+IF(B4097="iFood",F4097*0.27,(VLOOKUP(VENDAS!C4097,Bairros!$A$2:$B$90,2,0))))</f>
        <v/>
      </c>
      <c r="J4097" s="7" t="str">
        <f t="shared" si="257"/>
        <v/>
      </c>
      <c r="K4097" s="9">
        <f t="shared" ca="1" si="258"/>
        <v>45404.878290277775</v>
      </c>
      <c r="L4097" s="10">
        <f t="shared" ca="1" si="259"/>
        <v>45404.878290046297</v>
      </c>
    </row>
    <row r="4098" spans="6:12" x14ac:dyDescent="0.25">
      <c r="F4098" s="11" t="str">
        <f>IF(ISBLANK(D4098),"",(VLOOKUP(D4098,Cardápio!$A$2:$B$16,2,0))*E4098)</f>
        <v/>
      </c>
      <c r="H4098" s="7" t="str">
        <f t="shared" si="256"/>
        <v/>
      </c>
      <c r="I4098" s="7" t="str">
        <f>IF(AND(ISBLANK(D4098),ISBLANK(C4098)),"",((VLOOKUP(D4098,Cardápio!$A$2:$C$16,3,0))*E4098)+IF(B4098="iFood",F4098*0.27,(VLOOKUP(VENDAS!C4098,Bairros!$A$2:$B$90,2,0))))</f>
        <v/>
      </c>
      <c r="J4098" s="7" t="str">
        <f t="shared" si="257"/>
        <v/>
      </c>
      <c r="K4098" s="9">
        <f t="shared" ca="1" si="258"/>
        <v>45404.878290162036</v>
      </c>
      <c r="L4098" s="10">
        <f t="shared" ca="1" si="259"/>
        <v>45404.878290046297</v>
      </c>
    </row>
    <row r="4099" spans="6:12" x14ac:dyDescent="0.25">
      <c r="F4099" s="11" t="str">
        <f>IF(ISBLANK(D4099),"",(VLOOKUP(D4099,Cardápio!$A$2:$B$16,2,0))*E4099)</f>
        <v/>
      </c>
      <c r="H4099" s="7" t="str">
        <f t="shared" si="256"/>
        <v/>
      </c>
      <c r="I4099" s="7" t="str">
        <f>IF(AND(ISBLANK(D4099),ISBLANK(C4099)),"",((VLOOKUP(D4099,Cardápio!$A$2:$C$16,3,0))*E4099)+IF(B4099="iFood",F4099*0.27,(VLOOKUP(VENDAS!C4099,Bairros!$A$2:$B$90,2,0))))</f>
        <v/>
      </c>
      <c r="J4099" s="7" t="str">
        <f t="shared" si="257"/>
        <v/>
      </c>
      <c r="K4099" s="9">
        <f t="shared" ca="1" si="258"/>
        <v>45404.878290162036</v>
      </c>
      <c r="L4099" s="10">
        <f t="shared" ca="1" si="259"/>
        <v>45404.878290162036</v>
      </c>
    </row>
    <row r="4100" spans="6:12" x14ac:dyDescent="0.25">
      <c r="F4100" s="11" t="str">
        <f>IF(ISBLANK(D4100),"",(VLOOKUP(D4100,Cardápio!$A$2:$B$16,2,0))*E4100)</f>
        <v/>
      </c>
      <c r="H4100" s="7" t="str">
        <f t="shared" si="256"/>
        <v/>
      </c>
      <c r="I4100" s="7" t="str">
        <f>IF(AND(ISBLANK(D4100),ISBLANK(C4100)),"",((VLOOKUP(D4100,Cardápio!$A$2:$C$16,3,0))*E4100)+IF(B4100="iFood",F4100*0.27,(VLOOKUP(VENDAS!C4100,Bairros!$A$2:$B$90,2,0))))</f>
        <v/>
      </c>
      <c r="J4100" s="7" t="str">
        <f t="shared" si="257"/>
        <v/>
      </c>
      <c r="K4100" s="9">
        <f t="shared" ca="1" si="258"/>
        <v>45404.878290162036</v>
      </c>
      <c r="L4100" s="10">
        <f t="shared" ca="1" si="259"/>
        <v>45404.878290046297</v>
      </c>
    </row>
    <row r="4101" spans="6:12" x14ac:dyDescent="0.25">
      <c r="F4101" s="11" t="str">
        <f>IF(ISBLANK(D4101),"",(VLOOKUP(D4101,Cardápio!$A$2:$B$16,2,0))*E4101)</f>
        <v/>
      </c>
      <c r="H4101" s="7" t="str">
        <f t="shared" si="256"/>
        <v/>
      </c>
      <c r="I4101" s="7" t="str">
        <f>IF(AND(ISBLANK(D4101),ISBLANK(C4101)),"",((VLOOKUP(D4101,Cardápio!$A$2:$C$16,3,0))*E4101)+IF(B4101="iFood",F4101*0.27,(VLOOKUP(VENDAS!C4101,Bairros!$A$2:$B$90,2,0))))</f>
        <v/>
      </c>
      <c r="J4101" s="7" t="str">
        <f t="shared" si="257"/>
        <v/>
      </c>
      <c r="K4101" s="9">
        <f t="shared" ca="1" si="258"/>
        <v>45404.878290277775</v>
      </c>
      <c r="L4101" s="10">
        <f t="shared" ca="1" si="259"/>
        <v>45404.878290046297</v>
      </c>
    </row>
    <row r="4102" spans="6:12" x14ac:dyDescent="0.25">
      <c r="F4102" s="11" t="str">
        <f>IF(ISBLANK(D4102),"",(VLOOKUP(D4102,Cardápio!$A$2:$B$16,2,0))*E4102)</f>
        <v/>
      </c>
      <c r="H4102" s="7" t="str">
        <f t="shared" si="256"/>
        <v/>
      </c>
      <c r="I4102" s="7" t="str">
        <f>IF(AND(ISBLANK(D4102),ISBLANK(C4102)),"",((VLOOKUP(D4102,Cardápio!$A$2:$C$16,3,0))*E4102)+IF(B4102="iFood",F4102*0.27,(VLOOKUP(VENDAS!C4102,Bairros!$A$2:$B$90,2,0))))</f>
        <v/>
      </c>
      <c r="J4102" s="7" t="str">
        <f t="shared" si="257"/>
        <v/>
      </c>
      <c r="K4102" s="9">
        <f t="shared" ca="1" si="258"/>
        <v>45404.878290162036</v>
      </c>
      <c r="L4102" s="10">
        <f t="shared" ca="1" si="259"/>
        <v>45404.878290046297</v>
      </c>
    </row>
    <row r="4103" spans="6:12" x14ac:dyDescent="0.25">
      <c r="F4103" s="11" t="str">
        <f>IF(ISBLANK(D4103),"",(VLOOKUP(D4103,Cardápio!$A$2:$B$16,2,0))*E4103)</f>
        <v/>
      </c>
      <c r="H4103" s="7" t="str">
        <f t="shared" si="256"/>
        <v/>
      </c>
      <c r="I4103" s="7" t="str">
        <f>IF(AND(ISBLANK(D4103),ISBLANK(C4103)),"",((VLOOKUP(D4103,Cardápio!$A$2:$C$16,3,0))*E4103)+IF(B4103="iFood",F4103*0.27,(VLOOKUP(VENDAS!C4103,Bairros!$A$2:$B$90,2,0))))</f>
        <v/>
      </c>
      <c r="J4103" s="7" t="str">
        <f t="shared" si="257"/>
        <v/>
      </c>
      <c r="K4103" s="9">
        <f t="shared" ca="1" si="258"/>
        <v>45404.878290162036</v>
      </c>
      <c r="L4103" s="10">
        <f t="shared" ca="1" si="259"/>
        <v>45404.878290162036</v>
      </c>
    </row>
    <row r="4104" spans="6:12" x14ac:dyDescent="0.25">
      <c r="F4104" s="11" t="str">
        <f>IF(ISBLANK(D4104),"",(VLOOKUP(D4104,Cardápio!$A$2:$B$16,2,0))*E4104)</f>
        <v/>
      </c>
      <c r="H4104" s="7" t="str">
        <f t="shared" si="256"/>
        <v/>
      </c>
      <c r="I4104" s="7" t="str">
        <f>IF(AND(ISBLANK(D4104),ISBLANK(C4104)),"",((VLOOKUP(D4104,Cardápio!$A$2:$C$16,3,0))*E4104)+IF(B4104="iFood",F4104*0.27,(VLOOKUP(VENDAS!C4104,Bairros!$A$2:$B$90,2,0))))</f>
        <v/>
      </c>
      <c r="J4104" s="7" t="str">
        <f t="shared" si="257"/>
        <v/>
      </c>
      <c r="K4104" s="9">
        <f t="shared" ca="1" si="258"/>
        <v>45404.878290162036</v>
      </c>
      <c r="L4104" s="10">
        <f t="shared" ca="1" si="259"/>
        <v>45404.878290046297</v>
      </c>
    </row>
    <row r="4105" spans="6:12" x14ac:dyDescent="0.25">
      <c r="F4105" s="11" t="str">
        <f>IF(ISBLANK(D4105),"",(VLOOKUP(D4105,Cardápio!$A$2:$B$16,2,0))*E4105)</f>
        <v/>
      </c>
      <c r="H4105" s="7" t="str">
        <f t="shared" si="256"/>
        <v/>
      </c>
      <c r="I4105" s="7" t="str">
        <f>IF(AND(ISBLANK(D4105),ISBLANK(C4105)),"",((VLOOKUP(D4105,Cardápio!$A$2:$C$16,3,0))*E4105)+IF(B4105="iFood",F4105*0.27,(VLOOKUP(VENDAS!C4105,Bairros!$A$2:$B$90,2,0))))</f>
        <v/>
      </c>
      <c r="J4105" s="7" t="str">
        <f t="shared" si="257"/>
        <v/>
      </c>
      <c r="K4105" s="9">
        <f t="shared" ca="1" si="258"/>
        <v>45404.878290277775</v>
      </c>
      <c r="L4105" s="10">
        <f t="shared" ca="1" si="259"/>
        <v>45404.878290046297</v>
      </c>
    </row>
    <row r="4106" spans="6:12" x14ac:dyDescent="0.25">
      <c r="F4106" s="11" t="str">
        <f>IF(ISBLANK(D4106),"",(VLOOKUP(D4106,Cardápio!$A$2:$B$16,2,0))*E4106)</f>
        <v/>
      </c>
      <c r="H4106" s="7" t="str">
        <f t="shared" si="256"/>
        <v/>
      </c>
      <c r="I4106" s="7" t="str">
        <f>IF(AND(ISBLANK(D4106),ISBLANK(C4106)),"",((VLOOKUP(D4106,Cardápio!$A$2:$C$16,3,0))*E4106)+IF(B4106="iFood",F4106*0.27,(VLOOKUP(VENDAS!C4106,Bairros!$A$2:$B$90,2,0))))</f>
        <v/>
      </c>
      <c r="J4106" s="7" t="str">
        <f t="shared" si="257"/>
        <v/>
      </c>
      <c r="K4106" s="9">
        <f t="shared" ca="1" si="258"/>
        <v>45404.878290162036</v>
      </c>
      <c r="L4106" s="10">
        <f t="shared" ca="1" si="259"/>
        <v>45404.878290046297</v>
      </c>
    </row>
    <row r="4107" spans="6:12" x14ac:dyDescent="0.25">
      <c r="F4107" s="11" t="str">
        <f>IF(ISBLANK(D4107),"",(VLOOKUP(D4107,Cardápio!$A$2:$B$16,2,0))*E4107)</f>
        <v/>
      </c>
      <c r="H4107" s="7" t="str">
        <f t="shared" si="256"/>
        <v/>
      </c>
      <c r="I4107" s="7" t="str">
        <f>IF(AND(ISBLANK(D4107),ISBLANK(C4107)),"",((VLOOKUP(D4107,Cardápio!$A$2:$C$16,3,0))*E4107)+IF(B4107="iFood",F4107*0.27,(VLOOKUP(VENDAS!C4107,Bairros!$A$2:$B$90,2,0))))</f>
        <v/>
      </c>
      <c r="J4107" s="7" t="str">
        <f t="shared" si="257"/>
        <v/>
      </c>
      <c r="K4107" s="9">
        <f t="shared" ca="1" si="258"/>
        <v>45404.878290162036</v>
      </c>
      <c r="L4107" s="10">
        <f t="shared" ca="1" si="259"/>
        <v>45404.878290162036</v>
      </c>
    </row>
    <row r="4108" spans="6:12" x14ac:dyDescent="0.25">
      <c r="F4108" s="11" t="str">
        <f>IF(ISBLANK(D4108),"",(VLOOKUP(D4108,Cardápio!$A$2:$B$16,2,0))*E4108)</f>
        <v/>
      </c>
      <c r="H4108" s="7" t="str">
        <f t="shared" si="256"/>
        <v/>
      </c>
      <c r="I4108" s="7" t="str">
        <f>IF(AND(ISBLANK(D4108),ISBLANK(C4108)),"",((VLOOKUP(D4108,Cardápio!$A$2:$C$16,3,0))*E4108)+IF(B4108="iFood",F4108*0.27,(VLOOKUP(VENDAS!C4108,Bairros!$A$2:$B$90,2,0))))</f>
        <v/>
      </c>
      <c r="J4108" s="7" t="str">
        <f t="shared" si="257"/>
        <v/>
      </c>
      <c r="K4108" s="9">
        <f t="shared" ca="1" si="258"/>
        <v>45404.878290162036</v>
      </c>
      <c r="L4108" s="10">
        <f t="shared" ca="1" si="259"/>
        <v>45404.878290046297</v>
      </c>
    </row>
    <row r="4109" spans="6:12" x14ac:dyDescent="0.25">
      <c r="F4109" s="11" t="str">
        <f>IF(ISBLANK(D4109),"",(VLOOKUP(D4109,Cardápio!$A$2:$B$16,2,0))*E4109)</f>
        <v/>
      </c>
      <c r="H4109" s="7" t="str">
        <f t="shared" si="256"/>
        <v/>
      </c>
      <c r="I4109" s="7" t="str">
        <f>IF(AND(ISBLANK(D4109),ISBLANK(C4109)),"",((VLOOKUP(D4109,Cardápio!$A$2:$C$16,3,0))*E4109)+IF(B4109="iFood",F4109*0.27,(VLOOKUP(VENDAS!C4109,Bairros!$A$2:$B$90,2,0))))</f>
        <v/>
      </c>
      <c r="J4109" s="7" t="str">
        <f t="shared" si="257"/>
        <v/>
      </c>
      <c r="K4109" s="9">
        <f t="shared" ca="1" si="258"/>
        <v>45404.878290277775</v>
      </c>
      <c r="L4109" s="10">
        <f t="shared" ca="1" si="259"/>
        <v>45404.878290046297</v>
      </c>
    </row>
    <row r="4110" spans="6:12" x14ac:dyDescent="0.25">
      <c r="F4110" s="11" t="str">
        <f>IF(ISBLANK(D4110),"",(VLOOKUP(D4110,Cardápio!$A$2:$B$16,2,0))*E4110)</f>
        <v/>
      </c>
      <c r="H4110" s="7" t="str">
        <f t="shared" si="256"/>
        <v/>
      </c>
      <c r="I4110" s="7" t="str">
        <f>IF(AND(ISBLANK(D4110),ISBLANK(C4110)),"",((VLOOKUP(D4110,Cardápio!$A$2:$C$16,3,0))*E4110)+IF(B4110="iFood",F4110*0.27,(VLOOKUP(VENDAS!C4110,Bairros!$A$2:$B$90,2,0))))</f>
        <v/>
      </c>
      <c r="J4110" s="7" t="str">
        <f t="shared" si="257"/>
        <v/>
      </c>
      <c r="K4110" s="9">
        <f t="shared" ca="1" si="258"/>
        <v>45404.878290162036</v>
      </c>
      <c r="L4110" s="10">
        <f t="shared" ca="1" si="259"/>
        <v>45404.878290046297</v>
      </c>
    </row>
    <row r="4111" spans="6:12" x14ac:dyDescent="0.25">
      <c r="F4111" s="11" t="str">
        <f>IF(ISBLANK(D4111),"",(VLOOKUP(D4111,Cardápio!$A$2:$B$16,2,0))*E4111)</f>
        <v/>
      </c>
      <c r="H4111" s="7" t="str">
        <f t="shared" si="256"/>
        <v/>
      </c>
      <c r="I4111" s="7" t="str">
        <f>IF(AND(ISBLANK(D4111),ISBLANK(C4111)),"",((VLOOKUP(D4111,Cardápio!$A$2:$C$16,3,0))*E4111)+IF(B4111="iFood",F4111*0.27,(VLOOKUP(VENDAS!C4111,Bairros!$A$2:$B$90,2,0))))</f>
        <v/>
      </c>
      <c r="J4111" s="7" t="str">
        <f t="shared" si="257"/>
        <v/>
      </c>
      <c r="K4111" s="9">
        <f t="shared" ca="1" si="258"/>
        <v>45404.878290162036</v>
      </c>
      <c r="L4111" s="10">
        <f t="shared" ca="1" si="259"/>
        <v>45404.878290162036</v>
      </c>
    </row>
    <row r="4112" spans="6:12" x14ac:dyDescent="0.25">
      <c r="F4112" s="11" t="str">
        <f>IF(ISBLANK(D4112),"",(VLOOKUP(D4112,Cardápio!$A$2:$B$16,2,0))*E4112)</f>
        <v/>
      </c>
      <c r="H4112" s="7" t="str">
        <f t="shared" si="256"/>
        <v/>
      </c>
      <c r="I4112" s="7" t="str">
        <f>IF(AND(ISBLANK(D4112),ISBLANK(C4112)),"",((VLOOKUP(D4112,Cardápio!$A$2:$C$16,3,0))*E4112)+IF(B4112="iFood",F4112*0.27,(VLOOKUP(VENDAS!C4112,Bairros!$A$2:$B$90,2,0))))</f>
        <v/>
      </c>
      <c r="J4112" s="7" t="str">
        <f t="shared" si="257"/>
        <v/>
      </c>
      <c r="K4112" s="9">
        <f t="shared" ca="1" si="258"/>
        <v>45404.878290162036</v>
      </c>
      <c r="L4112" s="10">
        <f t="shared" ca="1" si="259"/>
        <v>45404.878290046297</v>
      </c>
    </row>
    <row r="4113" spans="6:12" x14ac:dyDescent="0.25">
      <c r="F4113" s="11" t="str">
        <f>IF(ISBLANK(D4113),"",(VLOOKUP(D4113,Cardápio!$A$2:$B$16,2,0))*E4113)</f>
        <v/>
      </c>
      <c r="H4113" s="7" t="str">
        <f t="shared" si="256"/>
        <v/>
      </c>
      <c r="I4113" s="7" t="str">
        <f>IF(AND(ISBLANK(D4113),ISBLANK(C4113)),"",((VLOOKUP(D4113,Cardápio!$A$2:$C$16,3,0))*E4113)+IF(B4113="iFood",F4113*0.27,(VLOOKUP(VENDAS!C4113,Bairros!$A$2:$B$90,2,0))))</f>
        <v/>
      </c>
      <c r="J4113" s="7" t="str">
        <f t="shared" si="257"/>
        <v/>
      </c>
      <c r="K4113" s="9">
        <f t="shared" ca="1" si="258"/>
        <v>45404.878290277775</v>
      </c>
      <c r="L4113" s="10">
        <f t="shared" ca="1" si="259"/>
        <v>45404.878290046297</v>
      </c>
    </row>
    <row r="4114" spans="6:12" x14ac:dyDescent="0.25">
      <c r="F4114" s="11" t="str">
        <f>IF(ISBLANK(D4114),"",(VLOOKUP(D4114,Cardápio!$A$2:$B$16,2,0))*E4114)</f>
        <v/>
      </c>
      <c r="H4114" s="7" t="str">
        <f t="shared" si="256"/>
        <v/>
      </c>
      <c r="I4114" s="7" t="str">
        <f>IF(AND(ISBLANK(D4114),ISBLANK(C4114)),"",((VLOOKUP(D4114,Cardápio!$A$2:$C$16,3,0))*E4114)+IF(B4114="iFood",F4114*0.27,(VLOOKUP(VENDAS!C4114,Bairros!$A$2:$B$90,2,0))))</f>
        <v/>
      </c>
      <c r="J4114" s="7" t="str">
        <f t="shared" si="257"/>
        <v/>
      </c>
      <c r="K4114" s="9">
        <f t="shared" ca="1" si="258"/>
        <v>45404.878290162036</v>
      </c>
      <c r="L4114" s="10">
        <f t="shared" ca="1" si="259"/>
        <v>45404.878290046297</v>
      </c>
    </row>
    <row r="4115" spans="6:12" x14ac:dyDescent="0.25">
      <c r="F4115" s="11" t="str">
        <f>IF(ISBLANK(D4115),"",(VLOOKUP(D4115,Cardápio!$A$2:$B$16,2,0))*E4115)</f>
        <v/>
      </c>
      <c r="H4115" s="7" t="str">
        <f t="shared" si="256"/>
        <v/>
      </c>
      <c r="I4115" s="7" t="str">
        <f>IF(AND(ISBLANK(D4115),ISBLANK(C4115)),"",((VLOOKUP(D4115,Cardápio!$A$2:$C$16,3,0))*E4115)+IF(B4115="iFood",F4115*0.27,(VLOOKUP(VENDAS!C4115,Bairros!$A$2:$B$90,2,0))))</f>
        <v/>
      </c>
      <c r="J4115" s="7" t="str">
        <f t="shared" si="257"/>
        <v/>
      </c>
      <c r="K4115" s="9">
        <f t="shared" ca="1" si="258"/>
        <v>45404.878290162036</v>
      </c>
      <c r="L4115" s="10">
        <f t="shared" ca="1" si="259"/>
        <v>45404.878290162036</v>
      </c>
    </row>
    <row r="4116" spans="6:12" x14ac:dyDescent="0.25">
      <c r="F4116" s="11" t="str">
        <f>IF(ISBLANK(D4116),"",(VLOOKUP(D4116,Cardápio!$A$2:$B$16,2,0))*E4116)</f>
        <v/>
      </c>
      <c r="H4116" s="7" t="str">
        <f t="shared" si="256"/>
        <v/>
      </c>
      <c r="I4116" s="7" t="str">
        <f>IF(AND(ISBLANK(D4116),ISBLANK(C4116)),"",((VLOOKUP(D4116,Cardápio!$A$2:$C$16,3,0))*E4116)+IF(B4116="iFood",F4116*0.27,(VLOOKUP(VENDAS!C4116,Bairros!$A$2:$B$90,2,0))))</f>
        <v/>
      </c>
      <c r="J4116" s="7" t="str">
        <f t="shared" si="257"/>
        <v/>
      </c>
      <c r="K4116" s="9">
        <f t="shared" ca="1" si="258"/>
        <v>45404.878290162036</v>
      </c>
      <c r="L4116" s="10">
        <f t="shared" ca="1" si="259"/>
        <v>45404.878290046297</v>
      </c>
    </row>
    <row r="4117" spans="6:12" x14ac:dyDescent="0.25">
      <c r="F4117" s="11" t="str">
        <f>IF(ISBLANK(D4117),"",(VLOOKUP(D4117,Cardápio!$A$2:$B$16,2,0))*E4117)</f>
        <v/>
      </c>
      <c r="H4117" s="7" t="str">
        <f t="shared" si="256"/>
        <v/>
      </c>
      <c r="I4117" s="7" t="str">
        <f>IF(AND(ISBLANK(D4117),ISBLANK(C4117)),"",((VLOOKUP(D4117,Cardápio!$A$2:$C$16,3,0))*E4117)+IF(B4117="iFood",F4117*0.27,(VLOOKUP(VENDAS!C4117,Bairros!$A$2:$B$90,2,0))))</f>
        <v/>
      </c>
      <c r="J4117" s="7" t="str">
        <f t="shared" si="257"/>
        <v/>
      </c>
      <c r="K4117" s="9">
        <f t="shared" ca="1" si="258"/>
        <v>45404.878290277775</v>
      </c>
      <c r="L4117" s="10">
        <f t="shared" ca="1" si="259"/>
        <v>45404.878290046297</v>
      </c>
    </row>
    <row r="4118" spans="6:12" x14ac:dyDescent="0.25">
      <c r="F4118" s="11" t="str">
        <f>IF(ISBLANK(D4118),"",(VLOOKUP(D4118,Cardápio!$A$2:$B$16,2,0))*E4118)</f>
        <v/>
      </c>
      <c r="H4118" s="7" t="str">
        <f t="shared" si="256"/>
        <v/>
      </c>
      <c r="I4118" s="7" t="str">
        <f>IF(AND(ISBLANK(D4118),ISBLANK(C4118)),"",((VLOOKUP(D4118,Cardápio!$A$2:$C$16,3,0))*E4118)+IF(B4118="iFood",F4118*0.27,(VLOOKUP(VENDAS!C4118,Bairros!$A$2:$B$90,2,0))))</f>
        <v/>
      </c>
      <c r="J4118" s="7" t="str">
        <f t="shared" si="257"/>
        <v/>
      </c>
      <c r="K4118" s="9">
        <f t="shared" ca="1" si="258"/>
        <v>45404.878290162036</v>
      </c>
      <c r="L4118" s="10">
        <f t="shared" ca="1" si="259"/>
        <v>45404.878290046297</v>
      </c>
    </row>
    <row r="4119" spans="6:12" x14ac:dyDescent="0.25">
      <c r="F4119" s="11" t="str">
        <f>IF(ISBLANK(D4119),"",(VLOOKUP(D4119,Cardápio!$A$2:$B$16,2,0))*E4119)</f>
        <v/>
      </c>
      <c r="H4119" s="7" t="str">
        <f t="shared" si="256"/>
        <v/>
      </c>
      <c r="I4119" s="7" t="str">
        <f>IF(AND(ISBLANK(D4119),ISBLANK(C4119)),"",((VLOOKUP(D4119,Cardápio!$A$2:$C$16,3,0))*E4119)+IF(B4119="iFood",F4119*0.27,(VLOOKUP(VENDAS!C4119,Bairros!$A$2:$B$90,2,0))))</f>
        <v/>
      </c>
      <c r="J4119" s="7" t="str">
        <f t="shared" si="257"/>
        <v/>
      </c>
      <c r="K4119" s="9">
        <f t="shared" ca="1" si="258"/>
        <v>45404.878290162036</v>
      </c>
      <c r="L4119" s="10">
        <f t="shared" ca="1" si="259"/>
        <v>45404.878290162036</v>
      </c>
    </row>
    <row r="4120" spans="6:12" x14ac:dyDescent="0.25">
      <c r="F4120" s="11" t="str">
        <f>IF(ISBLANK(D4120),"",(VLOOKUP(D4120,Cardápio!$A$2:$B$16,2,0))*E4120)</f>
        <v/>
      </c>
      <c r="H4120" s="7" t="str">
        <f t="shared" si="256"/>
        <v/>
      </c>
      <c r="I4120" s="7" t="str">
        <f>IF(AND(ISBLANK(D4120),ISBLANK(C4120)),"",((VLOOKUP(D4120,Cardápio!$A$2:$C$16,3,0))*E4120)+IF(B4120="iFood",F4120*0.27,(VLOOKUP(VENDAS!C4120,Bairros!$A$2:$B$90,2,0))))</f>
        <v/>
      </c>
      <c r="J4120" s="7" t="str">
        <f t="shared" si="257"/>
        <v/>
      </c>
      <c r="K4120" s="9">
        <f t="shared" ca="1" si="258"/>
        <v>45404.878290162036</v>
      </c>
      <c r="L4120" s="10">
        <f t="shared" ca="1" si="259"/>
        <v>45404.878290046297</v>
      </c>
    </row>
    <row r="4121" spans="6:12" x14ac:dyDescent="0.25">
      <c r="F4121" s="11" t="str">
        <f>IF(ISBLANK(D4121),"",(VLOOKUP(D4121,Cardápio!$A$2:$B$16,2,0))*E4121)</f>
        <v/>
      </c>
      <c r="H4121" s="7" t="str">
        <f t="shared" si="256"/>
        <v/>
      </c>
      <c r="I4121" s="7" t="str">
        <f>IF(AND(ISBLANK(D4121),ISBLANK(C4121)),"",((VLOOKUP(D4121,Cardápio!$A$2:$C$16,3,0))*E4121)+IF(B4121="iFood",F4121*0.27,(VLOOKUP(VENDAS!C4121,Bairros!$A$2:$B$90,2,0))))</f>
        <v/>
      </c>
      <c r="J4121" s="7" t="str">
        <f t="shared" si="257"/>
        <v/>
      </c>
      <c r="K4121" s="9">
        <f t="shared" ca="1" si="258"/>
        <v>45404.878290277775</v>
      </c>
      <c r="L4121" s="10">
        <f t="shared" ca="1" si="259"/>
        <v>45404.878290046297</v>
      </c>
    </row>
    <row r="4122" spans="6:12" x14ac:dyDescent="0.25">
      <c r="F4122" s="11" t="str">
        <f>IF(ISBLANK(D4122),"",(VLOOKUP(D4122,Cardápio!$A$2:$B$16,2,0))*E4122)</f>
        <v/>
      </c>
      <c r="H4122" s="7" t="str">
        <f t="shared" si="256"/>
        <v/>
      </c>
      <c r="I4122" s="7" t="str">
        <f>IF(AND(ISBLANK(D4122),ISBLANK(C4122)),"",((VLOOKUP(D4122,Cardápio!$A$2:$C$16,3,0))*E4122)+IF(B4122="iFood",F4122*0.27,(VLOOKUP(VENDAS!C4122,Bairros!$A$2:$B$90,2,0))))</f>
        <v/>
      </c>
      <c r="J4122" s="7" t="str">
        <f t="shared" si="257"/>
        <v/>
      </c>
      <c r="K4122" s="9">
        <f t="shared" ca="1" si="258"/>
        <v>45404.878290162036</v>
      </c>
      <c r="L4122" s="10">
        <f t="shared" ca="1" si="259"/>
        <v>45404.878290046297</v>
      </c>
    </row>
    <row r="4123" spans="6:12" x14ac:dyDescent="0.25">
      <c r="F4123" s="11" t="str">
        <f>IF(ISBLANK(D4123),"",(VLOOKUP(D4123,Cardápio!$A$2:$B$16,2,0))*E4123)</f>
        <v/>
      </c>
      <c r="H4123" s="7" t="str">
        <f t="shared" si="256"/>
        <v/>
      </c>
      <c r="I4123" s="7" t="str">
        <f>IF(AND(ISBLANK(D4123),ISBLANK(C4123)),"",((VLOOKUP(D4123,Cardápio!$A$2:$C$16,3,0))*E4123)+IF(B4123="iFood",F4123*0.27,(VLOOKUP(VENDAS!C4123,Bairros!$A$2:$B$90,2,0))))</f>
        <v/>
      </c>
      <c r="J4123" s="7" t="str">
        <f t="shared" si="257"/>
        <v/>
      </c>
      <c r="K4123" s="9">
        <f t="shared" ca="1" si="258"/>
        <v>45404.878290162036</v>
      </c>
      <c r="L4123" s="10">
        <f t="shared" ca="1" si="259"/>
        <v>45404.878290162036</v>
      </c>
    </row>
    <row r="4124" spans="6:12" x14ac:dyDescent="0.25">
      <c r="F4124" s="11" t="str">
        <f>IF(ISBLANK(D4124),"",(VLOOKUP(D4124,Cardápio!$A$2:$B$16,2,0))*E4124)</f>
        <v/>
      </c>
      <c r="H4124" s="7" t="str">
        <f t="shared" si="256"/>
        <v/>
      </c>
      <c r="I4124" s="7" t="str">
        <f>IF(AND(ISBLANK(D4124),ISBLANK(C4124)),"",((VLOOKUP(D4124,Cardápio!$A$2:$C$16,3,0))*E4124)+IF(B4124="iFood",F4124*0.27,(VLOOKUP(VENDAS!C4124,Bairros!$A$2:$B$90,2,0))))</f>
        <v/>
      </c>
      <c r="J4124" s="7" t="str">
        <f t="shared" si="257"/>
        <v/>
      </c>
      <c r="K4124" s="9">
        <f t="shared" ca="1" si="258"/>
        <v>45404.878290162036</v>
      </c>
      <c r="L4124" s="10">
        <f t="shared" ca="1" si="259"/>
        <v>45404.878290046297</v>
      </c>
    </row>
    <row r="4125" spans="6:12" x14ac:dyDescent="0.25">
      <c r="F4125" s="11" t="str">
        <f>IF(ISBLANK(D4125),"",(VLOOKUP(D4125,Cardápio!$A$2:$B$16,2,0))*E4125)</f>
        <v/>
      </c>
      <c r="H4125" s="7" t="str">
        <f t="shared" si="256"/>
        <v/>
      </c>
      <c r="I4125" s="7" t="str">
        <f>IF(AND(ISBLANK(D4125),ISBLANK(C4125)),"",((VLOOKUP(D4125,Cardápio!$A$2:$C$16,3,0))*E4125)+IF(B4125="iFood",F4125*0.27,(VLOOKUP(VENDAS!C4125,Bairros!$A$2:$B$90,2,0))))</f>
        <v/>
      </c>
      <c r="J4125" s="7" t="str">
        <f t="shared" si="257"/>
        <v/>
      </c>
      <c r="K4125" s="9">
        <f t="shared" ca="1" si="258"/>
        <v>45404.878290277775</v>
      </c>
      <c r="L4125" s="10">
        <f t="shared" ca="1" si="259"/>
        <v>45404.878290046297</v>
      </c>
    </row>
    <row r="4126" spans="6:12" x14ac:dyDescent="0.25">
      <c r="F4126" s="11" t="str">
        <f>IF(ISBLANK(D4126),"",(VLOOKUP(D4126,Cardápio!$A$2:$B$16,2,0))*E4126)</f>
        <v/>
      </c>
      <c r="H4126" s="7" t="str">
        <f t="shared" si="256"/>
        <v/>
      </c>
      <c r="I4126" s="7" t="str">
        <f>IF(AND(ISBLANK(D4126),ISBLANK(C4126)),"",((VLOOKUP(D4126,Cardápio!$A$2:$C$16,3,0))*E4126)+IF(B4126="iFood",F4126*0.27,(VLOOKUP(VENDAS!C4126,Bairros!$A$2:$B$90,2,0))))</f>
        <v/>
      </c>
      <c r="J4126" s="7" t="str">
        <f t="shared" si="257"/>
        <v/>
      </c>
      <c r="K4126" s="9">
        <f t="shared" ca="1" si="258"/>
        <v>45404.878290162036</v>
      </c>
      <c r="L4126" s="10">
        <f t="shared" ca="1" si="259"/>
        <v>45404.878290046297</v>
      </c>
    </row>
    <row r="4127" spans="6:12" x14ac:dyDescent="0.25">
      <c r="F4127" s="11" t="str">
        <f>IF(ISBLANK(D4127),"",(VLOOKUP(D4127,Cardápio!$A$2:$B$16,2,0))*E4127)</f>
        <v/>
      </c>
      <c r="H4127" s="7" t="str">
        <f t="shared" si="256"/>
        <v/>
      </c>
      <c r="I4127" s="7" t="str">
        <f>IF(AND(ISBLANK(D4127),ISBLANK(C4127)),"",((VLOOKUP(D4127,Cardápio!$A$2:$C$16,3,0))*E4127)+IF(B4127="iFood",F4127*0.27,(VLOOKUP(VENDAS!C4127,Bairros!$A$2:$B$90,2,0))))</f>
        <v/>
      </c>
      <c r="J4127" s="7" t="str">
        <f t="shared" si="257"/>
        <v/>
      </c>
      <c r="K4127" s="9">
        <f t="shared" ca="1" si="258"/>
        <v>45404.878290162036</v>
      </c>
      <c r="L4127" s="10">
        <f t="shared" ca="1" si="259"/>
        <v>45404.878290162036</v>
      </c>
    </row>
    <row r="4128" spans="6:12" x14ac:dyDescent="0.25">
      <c r="F4128" s="11" t="str">
        <f>IF(ISBLANK(D4128),"",(VLOOKUP(D4128,Cardápio!$A$2:$B$16,2,0))*E4128)</f>
        <v/>
      </c>
      <c r="H4128" s="7" t="str">
        <f t="shared" si="256"/>
        <v/>
      </c>
      <c r="I4128" s="7" t="str">
        <f>IF(AND(ISBLANK(D4128),ISBLANK(C4128)),"",((VLOOKUP(D4128,Cardápio!$A$2:$C$16,3,0))*E4128)+IF(B4128="iFood",F4128*0.27,(VLOOKUP(VENDAS!C4128,Bairros!$A$2:$B$90,2,0))))</f>
        <v/>
      </c>
      <c r="J4128" s="7" t="str">
        <f t="shared" si="257"/>
        <v/>
      </c>
      <c r="K4128" s="9">
        <f t="shared" ca="1" si="258"/>
        <v>45404.878290162036</v>
      </c>
      <c r="L4128" s="10">
        <f t="shared" ca="1" si="259"/>
        <v>45404.878290046297</v>
      </c>
    </row>
    <row r="4129" spans="6:12" x14ac:dyDescent="0.25">
      <c r="F4129" s="11" t="str">
        <f>IF(ISBLANK(D4129),"",(VLOOKUP(D4129,Cardápio!$A$2:$B$16,2,0))*E4129)</f>
        <v/>
      </c>
      <c r="H4129" s="7" t="str">
        <f t="shared" si="256"/>
        <v/>
      </c>
      <c r="I4129" s="7" t="str">
        <f>IF(AND(ISBLANK(D4129),ISBLANK(C4129)),"",((VLOOKUP(D4129,Cardápio!$A$2:$C$16,3,0))*E4129)+IF(B4129="iFood",F4129*0.27,(VLOOKUP(VENDAS!C4129,Bairros!$A$2:$B$90,2,0))))</f>
        <v/>
      </c>
      <c r="J4129" s="7" t="str">
        <f t="shared" si="257"/>
        <v/>
      </c>
      <c r="K4129" s="9">
        <f t="shared" ca="1" si="258"/>
        <v>45404.878290277775</v>
      </c>
      <c r="L4129" s="10">
        <f t="shared" ca="1" si="259"/>
        <v>45404.878290046297</v>
      </c>
    </row>
    <row r="4130" spans="6:12" x14ac:dyDescent="0.25">
      <c r="F4130" s="11" t="str">
        <f>IF(ISBLANK(D4130),"",(VLOOKUP(D4130,Cardápio!$A$2:$B$16,2,0))*E4130)</f>
        <v/>
      </c>
      <c r="H4130" s="7" t="str">
        <f t="shared" si="256"/>
        <v/>
      </c>
      <c r="I4130" s="7" t="str">
        <f>IF(AND(ISBLANK(D4130),ISBLANK(C4130)),"",((VLOOKUP(D4130,Cardápio!$A$2:$C$16,3,0))*E4130)+IF(B4130="iFood",F4130*0.27,(VLOOKUP(VENDAS!C4130,Bairros!$A$2:$B$90,2,0))))</f>
        <v/>
      </c>
      <c r="J4130" s="7" t="str">
        <f t="shared" si="257"/>
        <v/>
      </c>
      <c r="K4130" s="9">
        <f t="shared" ca="1" si="258"/>
        <v>45404.878290162036</v>
      </c>
      <c r="L4130" s="10">
        <f t="shared" ca="1" si="259"/>
        <v>45404.878290046297</v>
      </c>
    </row>
    <row r="4131" spans="6:12" x14ac:dyDescent="0.25">
      <c r="F4131" s="11" t="str">
        <f>IF(ISBLANK(D4131),"",(VLOOKUP(D4131,Cardápio!$A$2:$B$16,2,0))*E4131)</f>
        <v/>
      </c>
      <c r="H4131" s="7" t="str">
        <f t="shared" si="256"/>
        <v/>
      </c>
      <c r="I4131" s="7" t="str">
        <f>IF(AND(ISBLANK(D4131),ISBLANK(C4131)),"",((VLOOKUP(D4131,Cardápio!$A$2:$C$16,3,0))*E4131)+IF(B4131="iFood",F4131*0.27,(VLOOKUP(VENDAS!C4131,Bairros!$A$2:$B$90,2,0))))</f>
        <v/>
      </c>
      <c r="J4131" s="7" t="str">
        <f t="shared" si="257"/>
        <v/>
      </c>
      <c r="K4131" s="9">
        <f t="shared" ca="1" si="258"/>
        <v>45404.878290162036</v>
      </c>
      <c r="L4131" s="10">
        <f t="shared" ca="1" si="259"/>
        <v>45404.878290162036</v>
      </c>
    </row>
    <row r="4132" spans="6:12" x14ac:dyDescent="0.25">
      <c r="F4132" s="11" t="str">
        <f>IF(ISBLANK(D4132),"",(VLOOKUP(D4132,Cardápio!$A$2:$B$16,2,0))*E4132)</f>
        <v/>
      </c>
      <c r="H4132" s="7" t="str">
        <f t="shared" si="256"/>
        <v/>
      </c>
      <c r="I4132" s="7" t="str">
        <f>IF(AND(ISBLANK(D4132),ISBLANK(C4132)),"",((VLOOKUP(D4132,Cardápio!$A$2:$C$16,3,0))*E4132)+IF(B4132="iFood",F4132*0.27,(VLOOKUP(VENDAS!C4132,Bairros!$A$2:$B$90,2,0))))</f>
        <v/>
      </c>
      <c r="J4132" s="7" t="str">
        <f t="shared" si="257"/>
        <v/>
      </c>
      <c r="K4132" s="9">
        <f t="shared" ca="1" si="258"/>
        <v>45404.878290162036</v>
      </c>
      <c r="L4132" s="10">
        <f t="shared" ca="1" si="259"/>
        <v>45404.878290046297</v>
      </c>
    </row>
    <row r="4133" spans="6:12" x14ac:dyDescent="0.25">
      <c r="F4133" s="11" t="str">
        <f>IF(ISBLANK(D4133),"",(VLOOKUP(D4133,Cardápio!$A$2:$B$16,2,0))*E4133)</f>
        <v/>
      </c>
      <c r="H4133" s="7" t="str">
        <f t="shared" si="256"/>
        <v/>
      </c>
      <c r="I4133" s="7" t="str">
        <f>IF(AND(ISBLANK(D4133),ISBLANK(C4133)),"",((VLOOKUP(D4133,Cardápio!$A$2:$C$16,3,0))*E4133)+IF(B4133="iFood",F4133*0.27,(VLOOKUP(VENDAS!C4133,Bairros!$A$2:$B$90,2,0))))</f>
        <v/>
      </c>
      <c r="J4133" s="7" t="str">
        <f t="shared" si="257"/>
        <v/>
      </c>
      <c r="K4133" s="9">
        <f t="shared" ca="1" si="258"/>
        <v>45404.878290277775</v>
      </c>
      <c r="L4133" s="10">
        <f t="shared" ca="1" si="259"/>
        <v>45404.878290046297</v>
      </c>
    </row>
    <row r="4134" spans="6:12" x14ac:dyDescent="0.25">
      <c r="F4134" s="11" t="str">
        <f>IF(ISBLANK(D4134),"",(VLOOKUP(D4134,Cardápio!$A$2:$B$16,2,0))*E4134)</f>
        <v/>
      </c>
      <c r="H4134" s="7" t="str">
        <f t="shared" si="256"/>
        <v/>
      </c>
      <c r="I4134" s="7" t="str">
        <f>IF(AND(ISBLANK(D4134),ISBLANK(C4134)),"",((VLOOKUP(D4134,Cardápio!$A$2:$C$16,3,0))*E4134)+IF(B4134="iFood",F4134*0.27,(VLOOKUP(VENDAS!C4134,Bairros!$A$2:$B$90,2,0))))</f>
        <v/>
      </c>
      <c r="J4134" s="7" t="str">
        <f t="shared" si="257"/>
        <v/>
      </c>
      <c r="K4134" s="9">
        <f t="shared" ca="1" si="258"/>
        <v>45404.878290162036</v>
      </c>
      <c r="L4134" s="10">
        <f t="shared" ca="1" si="259"/>
        <v>45404.878290046297</v>
      </c>
    </row>
    <row r="4135" spans="6:12" x14ac:dyDescent="0.25">
      <c r="F4135" s="11" t="str">
        <f>IF(ISBLANK(D4135),"",(VLOOKUP(D4135,Cardápio!$A$2:$B$16,2,0))*E4135)</f>
        <v/>
      </c>
      <c r="H4135" s="7" t="str">
        <f t="shared" si="256"/>
        <v/>
      </c>
      <c r="I4135" s="7" t="str">
        <f>IF(AND(ISBLANK(D4135),ISBLANK(C4135)),"",((VLOOKUP(D4135,Cardápio!$A$2:$C$16,3,0))*E4135)+IF(B4135="iFood",F4135*0.27,(VLOOKUP(VENDAS!C4135,Bairros!$A$2:$B$90,2,0))))</f>
        <v/>
      </c>
      <c r="J4135" s="7" t="str">
        <f t="shared" si="257"/>
        <v/>
      </c>
      <c r="K4135" s="9">
        <f t="shared" ca="1" si="258"/>
        <v>45404.878290162036</v>
      </c>
      <c r="L4135" s="10">
        <f t="shared" ca="1" si="259"/>
        <v>45404.878290162036</v>
      </c>
    </row>
    <row r="4136" spans="6:12" x14ac:dyDescent="0.25">
      <c r="F4136" s="11" t="str">
        <f>IF(ISBLANK(D4136),"",(VLOOKUP(D4136,Cardápio!$A$2:$B$16,2,0))*E4136)</f>
        <v/>
      </c>
      <c r="H4136" s="7" t="str">
        <f t="shared" si="256"/>
        <v/>
      </c>
      <c r="I4136" s="7" t="str">
        <f>IF(AND(ISBLANK(D4136),ISBLANK(C4136)),"",((VLOOKUP(D4136,Cardápio!$A$2:$C$16,3,0))*E4136)+IF(B4136="iFood",F4136*0.27,(VLOOKUP(VENDAS!C4136,Bairros!$A$2:$B$90,2,0))))</f>
        <v/>
      </c>
      <c r="J4136" s="7" t="str">
        <f t="shared" si="257"/>
        <v/>
      </c>
      <c r="K4136" s="9">
        <f t="shared" ca="1" si="258"/>
        <v>45404.878290162036</v>
      </c>
      <c r="L4136" s="10">
        <f t="shared" ca="1" si="259"/>
        <v>45404.878290046297</v>
      </c>
    </row>
    <row r="4137" spans="6:12" x14ac:dyDescent="0.25">
      <c r="F4137" s="11" t="str">
        <f>IF(ISBLANK(D4137),"",(VLOOKUP(D4137,Cardápio!$A$2:$B$16,2,0))*E4137)</f>
        <v/>
      </c>
      <c r="H4137" s="7" t="str">
        <f t="shared" si="256"/>
        <v/>
      </c>
      <c r="I4137" s="7" t="str">
        <f>IF(AND(ISBLANK(D4137),ISBLANK(C4137)),"",((VLOOKUP(D4137,Cardápio!$A$2:$C$16,3,0))*E4137)+IF(B4137="iFood",F4137*0.27,(VLOOKUP(VENDAS!C4137,Bairros!$A$2:$B$90,2,0))))</f>
        <v/>
      </c>
      <c r="J4137" s="7" t="str">
        <f t="shared" si="257"/>
        <v/>
      </c>
      <c r="K4137" s="9">
        <f t="shared" ca="1" si="258"/>
        <v>45404.878290277775</v>
      </c>
      <c r="L4137" s="10">
        <f t="shared" ca="1" si="259"/>
        <v>45404.878290046297</v>
      </c>
    </row>
    <row r="4138" spans="6:12" x14ac:dyDescent="0.25">
      <c r="F4138" s="11" t="str">
        <f>IF(ISBLANK(D4138),"",(VLOOKUP(D4138,Cardápio!$A$2:$B$16,2,0))*E4138)</f>
        <v/>
      </c>
      <c r="H4138" s="7" t="str">
        <f t="shared" si="256"/>
        <v/>
      </c>
      <c r="I4138" s="7" t="str">
        <f>IF(AND(ISBLANK(D4138),ISBLANK(C4138)),"",((VLOOKUP(D4138,Cardápio!$A$2:$C$16,3,0))*E4138)+IF(B4138="iFood",F4138*0.27,(VLOOKUP(VENDAS!C4138,Bairros!$A$2:$B$90,2,0))))</f>
        <v/>
      </c>
      <c r="J4138" s="7" t="str">
        <f t="shared" si="257"/>
        <v/>
      </c>
      <c r="K4138" s="9">
        <f t="shared" ca="1" si="258"/>
        <v>45404.878290162036</v>
      </c>
      <c r="L4138" s="10">
        <f t="shared" ca="1" si="259"/>
        <v>45404.878290046297</v>
      </c>
    </row>
    <row r="4139" spans="6:12" x14ac:dyDescent="0.25">
      <c r="F4139" s="11" t="str">
        <f>IF(ISBLANK(D4139),"",(VLOOKUP(D4139,Cardápio!$A$2:$B$16,2,0))*E4139)</f>
        <v/>
      </c>
      <c r="H4139" s="7" t="str">
        <f t="shared" si="256"/>
        <v/>
      </c>
      <c r="I4139" s="7" t="str">
        <f>IF(AND(ISBLANK(D4139),ISBLANK(C4139)),"",((VLOOKUP(D4139,Cardápio!$A$2:$C$16,3,0))*E4139)+IF(B4139="iFood",F4139*0.27,(VLOOKUP(VENDAS!C4139,Bairros!$A$2:$B$90,2,0))))</f>
        <v/>
      </c>
      <c r="J4139" s="7" t="str">
        <f t="shared" si="257"/>
        <v/>
      </c>
      <c r="K4139" s="9">
        <f t="shared" ca="1" si="258"/>
        <v>45404.878290162036</v>
      </c>
      <c r="L4139" s="10">
        <f t="shared" ca="1" si="259"/>
        <v>45404.878290162036</v>
      </c>
    </row>
    <row r="4140" spans="6:12" x14ac:dyDescent="0.25">
      <c r="F4140" s="11" t="str">
        <f>IF(ISBLANK(D4140),"",(VLOOKUP(D4140,Cardápio!$A$2:$B$16,2,0))*E4140)</f>
        <v/>
      </c>
      <c r="H4140" s="7" t="str">
        <f t="shared" si="256"/>
        <v/>
      </c>
      <c r="I4140" s="7" t="str">
        <f>IF(AND(ISBLANK(D4140),ISBLANK(C4140)),"",((VLOOKUP(D4140,Cardápio!$A$2:$C$16,3,0))*E4140)+IF(B4140="iFood",F4140*0.27,(VLOOKUP(VENDAS!C4140,Bairros!$A$2:$B$90,2,0))))</f>
        <v/>
      </c>
      <c r="J4140" s="7" t="str">
        <f t="shared" si="257"/>
        <v/>
      </c>
      <c r="K4140" s="9">
        <f t="shared" ca="1" si="258"/>
        <v>45404.878290162036</v>
      </c>
      <c r="L4140" s="10">
        <f t="shared" ca="1" si="259"/>
        <v>45404.878290046297</v>
      </c>
    </row>
    <row r="4141" spans="6:12" x14ac:dyDescent="0.25">
      <c r="F4141" s="11" t="str">
        <f>IF(ISBLANK(D4141),"",(VLOOKUP(D4141,Cardápio!$A$2:$B$16,2,0))*E4141)</f>
        <v/>
      </c>
      <c r="H4141" s="7" t="str">
        <f t="shared" si="256"/>
        <v/>
      </c>
      <c r="I4141" s="7" t="str">
        <f>IF(AND(ISBLANK(D4141),ISBLANK(C4141)),"",((VLOOKUP(D4141,Cardápio!$A$2:$C$16,3,0))*E4141)+IF(B4141="iFood",F4141*0.27,(VLOOKUP(VENDAS!C4141,Bairros!$A$2:$B$90,2,0))))</f>
        <v/>
      </c>
      <c r="J4141" s="7" t="str">
        <f t="shared" si="257"/>
        <v/>
      </c>
      <c r="K4141" s="9">
        <f t="shared" ca="1" si="258"/>
        <v>45404.878290277775</v>
      </c>
      <c r="L4141" s="10">
        <f t="shared" ca="1" si="259"/>
        <v>45404.878290046297</v>
      </c>
    </row>
    <row r="4142" spans="6:12" x14ac:dyDescent="0.25">
      <c r="F4142" s="11" t="str">
        <f>IF(ISBLANK(D4142),"",(VLOOKUP(D4142,Cardápio!$A$2:$B$16,2,0))*E4142)</f>
        <v/>
      </c>
      <c r="H4142" s="7" t="str">
        <f t="shared" si="256"/>
        <v/>
      </c>
      <c r="I4142" s="7" t="str">
        <f>IF(AND(ISBLANK(D4142),ISBLANK(C4142)),"",((VLOOKUP(D4142,Cardápio!$A$2:$C$16,3,0))*E4142)+IF(B4142="iFood",F4142*0.27,(VLOOKUP(VENDAS!C4142,Bairros!$A$2:$B$90,2,0))))</f>
        <v/>
      </c>
      <c r="J4142" s="7" t="str">
        <f t="shared" si="257"/>
        <v/>
      </c>
      <c r="K4142" s="9">
        <f t="shared" ca="1" si="258"/>
        <v>45404.878290162036</v>
      </c>
      <c r="L4142" s="10">
        <f t="shared" ca="1" si="259"/>
        <v>45404.878290046297</v>
      </c>
    </row>
    <row r="4143" spans="6:12" x14ac:dyDescent="0.25">
      <c r="F4143" s="11" t="str">
        <f>IF(ISBLANK(D4143),"",(VLOOKUP(D4143,Cardápio!$A$2:$B$16,2,0))*E4143)</f>
        <v/>
      </c>
      <c r="H4143" s="7" t="str">
        <f t="shared" si="256"/>
        <v/>
      </c>
      <c r="I4143" s="7" t="str">
        <f>IF(AND(ISBLANK(D4143),ISBLANK(C4143)),"",((VLOOKUP(D4143,Cardápio!$A$2:$C$16,3,0))*E4143)+IF(B4143="iFood",F4143*0.27,(VLOOKUP(VENDAS!C4143,Bairros!$A$2:$B$90,2,0))))</f>
        <v/>
      </c>
      <c r="J4143" s="7" t="str">
        <f t="shared" si="257"/>
        <v/>
      </c>
      <c r="K4143" s="9">
        <f t="shared" ca="1" si="258"/>
        <v>45404.878290162036</v>
      </c>
      <c r="L4143" s="10">
        <f t="shared" ca="1" si="259"/>
        <v>45404.878290162036</v>
      </c>
    </row>
    <row r="4144" spans="6:12" x14ac:dyDescent="0.25">
      <c r="F4144" s="11" t="str">
        <f>IF(ISBLANK(D4144),"",(VLOOKUP(D4144,Cardápio!$A$2:$B$16,2,0))*E4144)</f>
        <v/>
      </c>
      <c r="H4144" s="7" t="str">
        <f t="shared" si="256"/>
        <v/>
      </c>
      <c r="I4144" s="7" t="str">
        <f>IF(AND(ISBLANK(D4144),ISBLANK(C4144)),"",((VLOOKUP(D4144,Cardápio!$A$2:$C$16,3,0))*E4144)+IF(B4144="iFood",F4144*0.27,(VLOOKUP(VENDAS!C4144,Bairros!$A$2:$B$90,2,0))))</f>
        <v/>
      </c>
      <c r="J4144" s="7" t="str">
        <f t="shared" si="257"/>
        <v/>
      </c>
      <c r="K4144" s="9">
        <f t="shared" ca="1" si="258"/>
        <v>45404.878290162036</v>
      </c>
      <c r="L4144" s="10">
        <f t="shared" ca="1" si="259"/>
        <v>45404.878290046297</v>
      </c>
    </row>
    <row r="4145" spans="6:12" x14ac:dyDescent="0.25">
      <c r="F4145" s="11" t="str">
        <f>IF(ISBLANK(D4145),"",(VLOOKUP(D4145,Cardápio!$A$2:$B$16,2,0))*E4145)</f>
        <v/>
      </c>
      <c r="H4145" s="7" t="str">
        <f t="shared" si="256"/>
        <v/>
      </c>
      <c r="I4145" s="7" t="str">
        <f>IF(AND(ISBLANK(D4145),ISBLANK(C4145)),"",((VLOOKUP(D4145,Cardápio!$A$2:$C$16,3,0))*E4145)+IF(B4145="iFood",F4145*0.27,(VLOOKUP(VENDAS!C4145,Bairros!$A$2:$B$90,2,0))))</f>
        <v/>
      </c>
      <c r="J4145" s="7" t="str">
        <f t="shared" si="257"/>
        <v/>
      </c>
      <c r="K4145" s="9">
        <f t="shared" ca="1" si="258"/>
        <v>45404.878290277775</v>
      </c>
      <c r="L4145" s="10">
        <f t="shared" ca="1" si="259"/>
        <v>45404.878290046297</v>
      </c>
    </row>
    <row r="4146" spans="6:12" x14ac:dyDescent="0.25">
      <c r="F4146" s="11" t="str">
        <f>IF(ISBLANK(D4146),"",(VLOOKUP(D4146,Cardápio!$A$2:$B$16,2,0))*E4146)</f>
        <v/>
      </c>
      <c r="H4146" s="7" t="str">
        <f t="shared" si="256"/>
        <v/>
      </c>
      <c r="I4146" s="7" t="str">
        <f>IF(AND(ISBLANK(D4146),ISBLANK(C4146)),"",((VLOOKUP(D4146,Cardápio!$A$2:$C$16,3,0))*E4146)+IF(B4146="iFood",F4146*0.27,(VLOOKUP(VENDAS!C4146,Bairros!$A$2:$B$90,2,0))))</f>
        <v/>
      </c>
      <c r="J4146" s="7" t="str">
        <f t="shared" si="257"/>
        <v/>
      </c>
      <c r="K4146" s="9">
        <f t="shared" ca="1" si="258"/>
        <v>45404.878290162036</v>
      </c>
      <c r="L4146" s="10">
        <f t="shared" ca="1" si="259"/>
        <v>45404.878290046297</v>
      </c>
    </row>
    <row r="4147" spans="6:12" x14ac:dyDescent="0.25">
      <c r="F4147" s="11" t="str">
        <f>IF(ISBLANK(D4147),"",(VLOOKUP(D4147,Cardápio!$A$2:$B$16,2,0))*E4147)</f>
        <v/>
      </c>
      <c r="H4147" s="7" t="str">
        <f t="shared" si="256"/>
        <v/>
      </c>
      <c r="I4147" s="7" t="str">
        <f>IF(AND(ISBLANK(D4147),ISBLANK(C4147)),"",((VLOOKUP(D4147,Cardápio!$A$2:$C$16,3,0))*E4147)+IF(B4147="iFood",F4147*0.27,(VLOOKUP(VENDAS!C4147,Bairros!$A$2:$B$90,2,0))))</f>
        <v/>
      </c>
      <c r="J4147" s="7" t="str">
        <f t="shared" si="257"/>
        <v/>
      </c>
      <c r="K4147" s="9">
        <f t="shared" ca="1" si="258"/>
        <v>45404.878290162036</v>
      </c>
      <c r="L4147" s="10">
        <f t="shared" ca="1" si="259"/>
        <v>45404.878290162036</v>
      </c>
    </row>
    <row r="4148" spans="6:12" x14ac:dyDescent="0.25">
      <c r="F4148" s="11" t="str">
        <f>IF(ISBLANK(D4148),"",(VLOOKUP(D4148,Cardápio!$A$2:$B$16,2,0))*E4148)</f>
        <v/>
      </c>
      <c r="H4148" s="7" t="str">
        <f t="shared" si="256"/>
        <v/>
      </c>
      <c r="I4148" s="7" t="str">
        <f>IF(AND(ISBLANK(D4148),ISBLANK(C4148)),"",((VLOOKUP(D4148,Cardápio!$A$2:$C$16,3,0))*E4148)+IF(B4148="iFood",F4148*0.27,(VLOOKUP(VENDAS!C4148,Bairros!$A$2:$B$90,2,0))))</f>
        <v/>
      </c>
      <c r="J4148" s="7" t="str">
        <f t="shared" si="257"/>
        <v/>
      </c>
      <c r="K4148" s="9">
        <f t="shared" ca="1" si="258"/>
        <v>45404.878290162036</v>
      </c>
      <c r="L4148" s="10">
        <f t="shared" ca="1" si="259"/>
        <v>45404.878290046297</v>
      </c>
    </row>
    <row r="4149" spans="6:12" x14ac:dyDescent="0.25">
      <c r="F4149" s="11" t="str">
        <f>IF(ISBLANK(D4149),"",(VLOOKUP(D4149,Cardápio!$A$2:$B$16,2,0))*E4149)</f>
        <v/>
      </c>
      <c r="H4149" s="7" t="str">
        <f t="shared" ref="H4149:H4212" si="260">IF(ISBLANK(D4149),"",F4149-G4149)</f>
        <v/>
      </c>
      <c r="I4149" s="7" t="str">
        <f>IF(AND(ISBLANK(D4149),ISBLANK(C4149)),"",((VLOOKUP(D4149,Cardápio!$A$2:$C$16,3,0))*E4149)+IF(B4149="iFood",F4149*0.27,(VLOOKUP(VENDAS!C4149,Bairros!$A$2:$B$90,2,0))))</f>
        <v/>
      </c>
      <c r="J4149" s="7" t="str">
        <f t="shared" ref="J4149:J4212" si="261">IF(OR(AND(ISBLANK(H4149),ISBLANK(I4149)),(AND(H4149="",I4149=""))),"",H4149-I4149)</f>
        <v/>
      </c>
      <c r="K4149" s="9">
        <f t="shared" ref="K4149:K4212" ca="1" si="262">IF(D4149&lt;&gt;"",K4149,NOW())</f>
        <v>45404.878290277775</v>
      </c>
      <c r="L4149" s="10">
        <f t="shared" ref="L4149:L4212" ca="1" si="263">IF(D4149&lt;&gt;"",L4149,NOW())</f>
        <v>45404.878290046297</v>
      </c>
    </row>
    <row r="4150" spans="6:12" x14ac:dyDescent="0.25">
      <c r="F4150" s="11" t="str">
        <f>IF(ISBLANK(D4150),"",(VLOOKUP(D4150,Cardápio!$A$2:$B$16,2,0))*E4150)</f>
        <v/>
      </c>
      <c r="H4150" s="7" t="str">
        <f t="shared" si="260"/>
        <v/>
      </c>
      <c r="I4150" s="7" t="str">
        <f>IF(AND(ISBLANK(D4150),ISBLANK(C4150)),"",((VLOOKUP(D4150,Cardápio!$A$2:$C$16,3,0))*E4150)+IF(B4150="iFood",F4150*0.27,(VLOOKUP(VENDAS!C4150,Bairros!$A$2:$B$90,2,0))))</f>
        <v/>
      </c>
      <c r="J4150" s="7" t="str">
        <f t="shared" si="261"/>
        <v/>
      </c>
      <c r="K4150" s="9">
        <f t="shared" ca="1" si="262"/>
        <v>45404.878290162036</v>
      </c>
      <c r="L4150" s="10">
        <f t="shared" ca="1" si="263"/>
        <v>45404.878290046297</v>
      </c>
    </row>
    <row r="4151" spans="6:12" x14ac:dyDescent="0.25">
      <c r="F4151" s="11" t="str">
        <f>IF(ISBLANK(D4151),"",(VLOOKUP(D4151,Cardápio!$A$2:$B$16,2,0))*E4151)</f>
        <v/>
      </c>
      <c r="H4151" s="7" t="str">
        <f t="shared" si="260"/>
        <v/>
      </c>
      <c r="I4151" s="7" t="str">
        <f>IF(AND(ISBLANK(D4151),ISBLANK(C4151)),"",((VLOOKUP(D4151,Cardápio!$A$2:$C$16,3,0))*E4151)+IF(B4151="iFood",F4151*0.27,(VLOOKUP(VENDAS!C4151,Bairros!$A$2:$B$90,2,0))))</f>
        <v/>
      </c>
      <c r="J4151" s="7" t="str">
        <f t="shared" si="261"/>
        <v/>
      </c>
      <c r="K4151" s="9">
        <f t="shared" ca="1" si="262"/>
        <v>45404.878290162036</v>
      </c>
      <c r="L4151" s="10">
        <f t="shared" ca="1" si="263"/>
        <v>45404.878290162036</v>
      </c>
    </row>
    <row r="4152" spans="6:12" x14ac:dyDescent="0.25">
      <c r="F4152" s="11" t="str">
        <f>IF(ISBLANK(D4152),"",(VLOOKUP(D4152,Cardápio!$A$2:$B$16,2,0))*E4152)</f>
        <v/>
      </c>
      <c r="H4152" s="7" t="str">
        <f t="shared" si="260"/>
        <v/>
      </c>
      <c r="I4152" s="7" t="str">
        <f>IF(AND(ISBLANK(D4152),ISBLANK(C4152)),"",((VLOOKUP(D4152,Cardápio!$A$2:$C$16,3,0))*E4152)+IF(B4152="iFood",F4152*0.27,(VLOOKUP(VENDAS!C4152,Bairros!$A$2:$B$90,2,0))))</f>
        <v/>
      </c>
      <c r="J4152" s="7" t="str">
        <f t="shared" si="261"/>
        <v/>
      </c>
      <c r="K4152" s="9">
        <f t="shared" ca="1" si="262"/>
        <v>45404.878290162036</v>
      </c>
      <c r="L4152" s="10">
        <f t="shared" ca="1" si="263"/>
        <v>45404.878290046297</v>
      </c>
    </row>
    <row r="4153" spans="6:12" x14ac:dyDescent="0.25">
      <c r="F4153" s="11" t="str">
        <f>IF(ISBLANK(D4153),"",(VLOOKUP(D4153,Cardápio!$A$2:$B$16,2,0))*E4153)</f>
        <v/>
      </c>
      <c r="H4153" s="7" t="str">
        <f t="shared" si="260"/>
        <v/>
      </c>
      <c r="I4153" s="7" t="str">
        <f>IF(AND(ISBLANK(D4153),ISBLANK(C4153)),"",((VLOOKUP(D4153,Cardápio!$A$2:$C$16,3,0))*E4153)+IF(B4153="iFood",F4153*0.27,(VLOOKUP(VENDAS!C4153,Bairros!$A$2:$B$90,2,0))))</f>
        <v/>
      </c>
      <c r="J4153" s="7" t="str">
        <f t="shared" si="261"/>
        <v/>
      </c>
      <c r="K4153" s="9">
        <f t="shared" ca="1" si="262"/>
        <v>45404.878290277775</v>
      </c>
      <c r="L4153" s="10">
        <f t="shared" ca="1" si="263"/>
        <v>45404.878290046297</v>
      </c>
    </row>
    <row r="4154" spans="6:12" x14ac:dyDescent="0.25">
      <c r="F4154" s="11" t="str">
        <f>IF(ISBLANK(D4154),"",(VLOOKUP(D4154,Cardápio!$A$2:$B$16,2,0))*E4154)</f>
        <v/>
      </c>
      <c r="H4154" s="7" t="str">
        <f t="shared" si="260"/>
        <v/>
      </c>
      <c r="I4154" s="7" t="str">
        <f>IF(AND(ISBLANK(D4154),ISBLANK(C4154)),"",((VLOOKUP(D4154,Cardápio!$A$2:$C$16,3,0))*E4154)+IF(B4154="iFood",F4154*0.27,(VLOOKUP(VENDAS!C4154,Bairros!$A$2:$B$90,2,0))))</f>
        <v/>
      </c>
      <c r="J4154" s="7" t="str">
        <f t="shared" si="261"/>
        <v/>
      </c>
      <c r="K4154" s="9">
        <f t="shared" ca="1" si="262"/>
        <v>45404.878290162036</v>
      </c>
      <c r="L4154" s="10">
        <f t="shared" ca="1" si="263"/>
        <v>45404.878290046297</v>
      </c>
    </row>
    <row r="4155" spans="6:12" x14ac:dyDescent="0.25">
      <c r="F4155" s="11" t="str">
        <f>IF(ISBLANK(D4155),"",(VLOOKUP(D4155,Cardápio!$A$2:$B$16,2,0))*E4155)</f>
        <v/>
      </c>
      <c r="H4155" s="7" t="str">
        <f t="shared" si="260"/>
        <v/>
      </c>
      <c r="I4155" s="7" t="str">
        <f>IF(AND(ISBLANK(D4155),ISBLANK(C4155)),"",((VLOOKUP(D4155,Cardápio!$A$2:$C$16,3,0))*E4155)+IF(B4155="iFood",F4155*0.27,(VLOOKUP(VENDAS!C4155,Bairros!$A$2:$B$90,2,0))))</f>
        <v/>
      </c>
      <c r="J4155" s="7" t="str">
        <f t="shared" si="261"/>
        <v/>
      </c>
      <c r="K4155" s="9">
        <f t="shared" ca="1" si="262"/>
        <v>45404.878290162036</v>
      </c>
      <c r="L4155" s="10">
        <f t="shared" ca="1" si="263"/>
        <v>45404.878290162036</v>
      </c>
    </row>
    <row r="4156" spans="6:12" x14ac:dyDescent="0.25">
      <c r="F4156" s="11" t="str">
        <f>IF(ISBLANK(D4156),"",(VLOOKUP(D4156,Cardápio!$A$2:$B$16,2,0))*E4156)</f>
        <v/>
      </c>
      <c r="H4156" s="7" t="str">
        <f t="shared" si="260"/>
        <v/>
      </c>
      <c r="I4156" s="7" t="str">
        <f>IF(AND(ISBLANK(D4156),ISBLANK(C4156)),"",((VLOOKUP(D4156,Cardápio!$A$2:$C$16,3,0))*E4156)+IF(B4156="iFood",F4156*0.27,(VLOOKUP(VENDAS!C4156,Bairros!$A$2:$B$90,2,0))))</f>
        <v/>
      </c>
      <c r="J4156" s="7" t="str">
        <f t="shared" si="261"/>
        <v/>
      </c>
      <c r="K4156" s="9">
        <f t="shared" ca="1" si="262"/>
        <v>45404.878290162036</v>
      </c>
      <c r="L4156" s="10">
        <f t="shared" ca="1" si="263"/>
        <v>45404.878290046297</v>
      </c>
    </row>
    <row r="4157" spans="6:12" x14ac:dyDescent="0.25">
      <c r="F4157" s="11" t="str">
        <f>IF(ISBLANK(D4157),"",(VLOOKUP(D4157,Cardápio!$A$2:$B$16,2,0))*E4157)</f>
        <v/>
      </c>
      <c r="H4157" s="7" t="str">
        <f t="shared" si="260"/>
        <v/>
      </c>
      <c r="I4157" s="7" t="str">
        <f>IF(AND(ISBLANK(D4157),ISBLANK(C4157)),"",((VLOOKUP(D4157,Cardápio!$A$2:$C$16,3,0))*E4157)+IF(B4157="iFood",F4157*0.27,(VLOOKUP(VENDAS!C4157,Bairros!$A$2:$B$90,2,0))))</f>
        <v/>
      </c>
      <c r="J4157" s="7" t="str">
        <f t="shared" si="261"/>
        <v/>
      </c>
      <c r="K4157" s="9">
        <f t="shared" ca="1" si="262"/>
        <v>45404.878290277775</v>
      </c>
      <c r="L4157" s="10">
        <f t="shared" ca="1" si="263"/>
        <v>45404.878290046297</v>
      </c>
    </row>
    <row r="4158" spans="6:12" x14ac:dyDescent="0.25">
      <c r="F4158" s="11" t="str">
        <f>IF(ISBLANK(D4158),"",(VLOOKUP(D4158,Cardápio!$A$2:$B$16,2,0))*E4158)</f>
        <v/>
      </c>
      <c r="H4158" s="7" t="str">
        <f t="shared" si="260"/>
        <v/>
      </c>
      <c r="I4158" s="7" t="str">
        <f>IF(AND(ISBLANK(D4158),ISBLANK(C4158)),"",((VLOOKUP(D4158,Cardápio!$A$2:$C$16,3,0))*E4158)+IF(B4158="iFood",F4158*0.27,(VLOOKUP(VENDAS!C4158,Bairros!$A$2:$B$90,2,0))))</f>
        <v/>
      </c>
      <c r="J4158" s="7" t="str">
        <f t="shared" si="261"/>
        <v/>
      </c>
      <c r="K4158" s="9">
        <f t="shared" ca="1" si="262"/>
        <v>45404.878290162036</v>
      </c>
      <c r="L4158" s="10">
        <f t="shared" ca="1" si="263"/>
        <v>45404.878290046297</v>
      </c>
    </row>
    <row r="4159" spans="6:12" x14ac:dyDescent="0.25">
      <c r="F4159" s="11" t="str">
        <f>IF(ISBLANK(D4159),"",(VLOOKUP(D4159,Cardápio!$A$2:$B$16,2,0))*E4159)</f>
        <v/>
      </c>
      <c r="H4159" s="7" t="str">
        <f t="shared" si="260"/>
        <v/>
      </c>
      <c r="I4159" s="7" t="str">
        <f>IF(AND(ISBLANK(D4159),ISBLANK(C4159)),"",((VLOOKUP(D4159,Cardápio!$A$2:$C$16,3,0))*E4159)+IF(B4159="iFood",F4159*0.27,(VLOOKUP(VENDAS!C4159,Bairros!$A$2:$B$90,2,0))))</f>
        <v/>
      </c>
      <c r="J4159" s="7" t="str">
        <f t="shared" si="261"/>
        <v/>
      </c>
      <c r="K4159" s="9">
        <f t="shared" ca="1" si="262"/>
        <v>45404.878290162036</v>
      </c>
      <c r="L4159" s="10">
        <f t="shared" ca="1" si="263"/>
        <v>45404.878290162036</v>
      </c>
    </row>
    <row r="4160" spans="6:12" x14ac:dyDescent="0.25">
      <c r="F4160" s="11" t="str">
        <f>IF(ISBLANK(D4160),"",(VLOOKUP(D4160,Cardápio!$A$2:$B$16,2,0))*E4160)</f>
        <v/>
      </c>
      <c r="H4160" s="7" t="str">
        <f t="shared" si="260"/>
        <v/>
      </c>
      <c r="I4160" s="7" t="str">
        <f>IF(AND(ISBLANK(D4160),ISBLANK(C4160)),"",((VLOOKUP(D4160,Cardápio!$A$2:$C$16,3,0))*E4160)+IF(B4160="iFood",F4160*0.27,(VLOOKUP(VENDAS!C4160,Bairros!$A$2:$B$90,2,0))))</f>
        <v/>
      </c>
      <c r="J4160" s="7" t="str">
        <f t="shared" si="261"/>
        <v/>
      </c>
      <c r="K4160" s="9">
        <f t="shared" ca="1" si="262"/>
        <v>45404.878290162036</v>
      </c>
      <c r="L4160" s="10">
        <f t="shared" ca="1" si="263"/>
        <v>45404.878290046297</v>
      </c>
    </row>
    <row r="4161" spans="6:12" x14ac:dyDescent="0.25">
      <c r="F4161" s="11" t="str">
        <f>IF(ISBLANK(D4161),"",(VLOOKUP(D4161,Cardápio!$A$2:$B$16,2,0))*E4161)</f>
        <v/>
      </c>
      <c r="H4161" s="7" t="str">
        <f t="shared" si="260"/>
        <v/>
      </c>
      <c r="I4161" s="7" t="str">
        <f>IF(AND(ISBLANK(D4161),ISBLANK(C4161)),"",((VLOOKUP(D4161,Cardápio!$A$2:$C$16,3,0))*E4161)+IF(B4161="iFood",F4161*0.27,(VLOOKUP(VENDAS!C4161,Bairros!$A$2:$B$90,2,0))))</f>
        <v/>
      </c>
      <c r="J4161" s="7" t="str">
        <f t="shared" si="261"/>
        <v/>
      </c>
      <c r="K4161" s="9">
        <f t="shared" ca="1" si="262"/>
        <v>45404.878290277775</v>
      </c>
      <c r="L4161" s="10">
        <f t="shared" ca="1" si="263"/>
        <v>45404.878290046297</v>
      </c>
    </row>
    <row r="4162" spans="6:12" x14ac:dyDescent="0.25">
      <c r="F4162" s="11" t="str">
        <f>IF(ISBLANK(D4162),"",(VLOOKUP(D4162,Cardápio!$A$2:$B$16,2,0))*E4162)</f>
        <v/>
      </c>
      <c r="H4162" s="7" t="str">
        <f t="shared" si="260"/>
        <v/>
      </c>
      <c r="I4162" s="7" t="str">
        <f>IF(AND(ISBLANK(D4162),ISBLANK(C4162)),"",((VLOOKUP(D4162,Cardápio!$A$2:$C$16,3,0))*E4162)+IF(B4162="iFood",F4162*0.27,(VLOOKUP(VENDAS!C4162,Bairros!$A$2:$B$90,2,0))))</f>
        <v/>
      </c>
      <c r="J4162" s="7" t="str">
        <f t="shared" si="261"/>
        <v/>
      </c>
      <c r="K4162" s="9">
        <f t="shared" ca="1" si="262"/>
        <v>45404.878290162036</v>
      </c>
      <c r="L4162" s="10">
        <f t="shared" ca="1" si="263"/>
        <v>45404.878290046297</v>
      </c>
    </row>
    <row r="4163" spans="6:12" x14ac:dyDescent="0.25">
      <c r="F4163" s="11" t="str">
        <f>IF(ISBLANK(D4163),"",(VLOOKUP(D4163,Cardápio!$A$2:$B$16,2,0))*E4163)</f>
        <v/>
      </c>
      <c r="H4163" s="7" t="str">
        <f t="shared" si="260"/>
        <v/>
      </c>
      <c r="I4163" s="7" t="str">
        <f>IF(AND(ISBLANK(D4163),ISBLANK(C4163)),"",((VLOOKUP(D4163,Cardápio!$A$2:$C$16,3,0))*E4163)+IF(B4163="iFood",F4163*0.27,(VLOOKUP(VENDAS!C4163,Bairros!$A$2:$B$90,2,0))))</f>
        <v/>
      </c>
      <c r="J4163" s="7" t="str">
        <f t="shared" si="261"/>
        <v/>
      </c>
      <c r="K4163" s="9">
        <f t="shared" ca="1" si="262"/>
        <v>45404.878290162036</v>
      </c>
      <c r="L4163" s="10">
        <f t="shared" ca="1" si="263"/>
        <v>45404.878290162036</v>
      </c>
    </row>
    <row r="4164" spans="6:12" x14ac:dyDescent="0.25">
      <c r="F4164" s="11" t="str">
        <f>IF(ISBLANK(D4164),"",(VLOOKUP(D4164,Cardápio!$A$2:$B$16,2,0))*E4164)</f>
        <v/>
      </c>
      <c r="H4164" s="7" t="str">
        <f t="shared" si="260"/>
        <v/>
      </c>
      <c r="I4164" s="7" t="str">
        <f>IF(AND(ISBLANK(D4164),ISBLANK(C4164)),"",((VLOOKUP(D4164,Cardápio!$A$2:$C$16,3,0))*E4164)+IF(B4164="iFood",F4164*0.27,(VLOOKUP(VENDAS!C4164,Bairros!$A$2:$B$90,2,0))))</f>
        <v/>
      </c>
      <c r="J4164" s="7" t="str">
        <f t="shared" si="261"/>
        <v/>
      </c>
      <c r="K4164" s="9">
        <f t="shared" ca="1" si="262"/>
        <v>45404.878290162036</v>
      </c>
      <c r="L4164" s="10">
        <f t="shared" ca="1" si="263"/>
        <v>45404.878290046297</v>
      </c>
    </row>
    <row r="4165" spans="6:12" x14ac:dyDescent="0.25">
      <c r="F4165" s="11" t="str">
        <f>IF(ISBLANK(D4165),"",(VLOOKUP(D4165,Cardápio!$A$2:$B$16,2,0))*E4165)</f>
        <v/>
      </c>
      <c r="H4165" s="7" t="str">
        <f t="shared" si="260"/>
        <v/>
      </c>
      <c r="I4165" s="7" t="str">
        <f>IF(AND(ISBLANK(D4165),ISBLANK(C4165)),"",((VLOOKUP(D4165,Cardápio!$A$2:$C$16,3,0))*E4165)+IF(B4165="iFood",F4165*0.27,(VLOOKUP(VENDAS!C4165,Bairros!$A$2:$B$90,2,0))))</f>
        <v/>
      </c>
      <c r="J4165" s="7" t="str">
        <f t="shared" si="261"/>
        <v/>
      </c>
      <c r="K4165" s="9">
        <f t="shared" ca="1" si="262"/>
        <v>45404.878290277775</v>
      </c>
      <c r="L4165" s="10">
        <f t="shared" ca="1" si="263"/>
        <v>45404.878290046297</v>
      </c>
    </row>
    <row r="4166" spans="6:12" x14ac:dyDescent="0.25">
      <c r="F4166" s="11" t="str">
        <f>IF(ISBLANK(D4166),"",(VLOOKUP(D4166,Cardápio!$A$2:$B$16,2,0))*E4166)</f>
        <v/>
      </c>
      <c r="H4166" s="7" t="str">
        <f t="shared" si="260"/>
        <v/>
      </c>
      <c r="I4166" s="7" t="str">
        <f>IF(AND(ISBLANK(D4166),ISBLANK(C4166)),"",((VLOOKUP(D4166,Cardápio!$A$2:$C$16,3,0))*E4166)+IF(B4166="iFood",F4166*0.27,(VLOOKUP(VENDAS!C4166,Bairros!$A$2:$B$90,2,0))))</f>
        <v/>
      </c>
      <c r="J4166" s="7" t="str">
        <f t="shared" si="261"/>
        <v/>
      </c>
      <c r="K4166" s="9">
        <f t="shared" ca="1" si="262"/>
        <v>45404.878290162036</v>
      </c>
      <c r="L4166" s="10">
        <f t="shared" ca="1" si="263"/>
        <v>45404.878290046297</v>
      </c>
    </row>
    <row r="4167" spans="6:12" x14ac:dyDescent="0.25">
      <c r="F4167" s="11" t="str">
        <f>IF(ISBLANK(D4167),"",(VLOOKUP(D4167,Cardápio!$A$2:$B$16,2,0))*E4167)</f>
        <v/>
      </c>
      <c r="H4167" s="7" t="str">
        <f t="shared" si="260"/>
        <v/>
      </c>
      <c r="I4167" s="7" t="str">
        <f>IF(AND(ISBLANK(D4167),ISBLANK(C4167)),"",((VLOOKUP(D4167,Cardápio!$A$2:$C$16,3,0))*E4167)+IF(B4167="iFood",F4167*0.27,(VLOOKUP(VENDAS!C4167,Bairros!$A$2:$B$90,2,0))))</f>
        <v/>
      </c>
      <c r="J4167" s="7" t="str">
        <f t="shared" si="261"/>
        <v/>
      </c>
      <c r="K4167" s="9">
        <f t="shared" ca="1" si="262"/>
        <v>45404.878290162036</v>
      </c>
      <c r="L4167" s="10">
        <f t="shared" ca="1" si="263"/>
        <v>45404.878290162036</v>
      </c>
    </row>
    <row r="4168" spans="6:12" x14ac:dyDescent="0.25">
      <c r="F4168" s="11" t="str">
        <f>IF(ISBLANK(D4168),"",(VLOOKUP(D4168,Cardápio!$A$2:$B$16,2,0))*E4168)</f>
        <v/>
      </c>
      <c r="H4168" s="7" t="str">
        <f t="shared" si="260"/>
        <v/>
      </c>
      <c r="I4168" s="7" t="str">
        <f>IF(AND(ISBLANK(D4168),ISBLANK(C4168)),"",((VLOOKUP(D4168,Cardápio!$A$2:$C$16,3,0))*E4168)+IF(B4168="iFood",F4168*0.27,(VLOOKUP(VENDAS!C4168,Bairros!$A$2:$B$90,2,0))))</f>
        <v/>
      </c>
      <c r="J4168" s="7" t="str">
        <f t="shared" si="261"/>
        <v/>
      </c>
      <c r="K4168" s="9">
        <f t="shared" ca="1" si="262"/>
        <v>45404.878290162036</v>
      </c>
      <c r="L4168" s="10">
        <f t="shared" ca="1" si="263"/>
        <v>45404.878290046297</v>
      </c>
    </row>
    <row r="4169" spans="6:12" x14ac:dyDescent="0.25">
      <c r="F4169" s="11" t="str">
        <f>IF(ISBLANK(D4169),"",(VLOOKUP(D4169,Cardápio!$A$2:$B$16,2,0))*E4169)</f>
        <v/>
      </c>
      <c r="H4169" s="7" t="str">
        <f t="shared" si="260"/>
        <v/>
      </c>
      <c r="I4169" s="7" t="str">
        <f>IF(AND(ISBLANK(D4169),ISBLANK(C4169)),"",((VLOOKUP(D4169,Cardápio!$A$2:$C$16,3,0))*E4169)+IF(B4169="iFood",F4169*0.27,(VLOOKUP(VENDAS!C4169,Bairros!$A$2:$B$90,2,0))))</f>
        <v/>
      </c>
      <c r="J4169" s="7" t="str">
        <f t="shared" si="261"/>
        <v/>
      </c>
      <c r="K4169" s="9">
        <f t="shared" ca="1" si="262"/>
        <v>45404.878290277775</v>
      </c>
      <c r="L4169" s="10">
        <f t="shared" ca="1" si="263"/>
        <v>45404.878290046297</v>
      </c>
    </row>
    <row r="4170" spans="6:12" x14ac:dyDescent="0.25">
      <c r="F4170" s="11" t="str">
        <f>IF(ISBLANK(D4170),"",(VLOOKUP(D4170,Cardápio!$A$2:$B$16,2,0))*E4170)</f>
        <v/>
      </c>
      <c r="H4170" s="7" t="str">
        <f t="shared" si="260"/>
        <v/>
      </c>
      <c r="I4170" s="7" t="str">
        <f>IF(AND(ISBLANK(D4170),ISBLANK(C4170)),"",((VLOOKUP(D4170,Cardápio!$A$2:$C$16,3,0))*E4170)+IF(B4170="iFood",F4170*0.27,(VLOOKUP(VENDAS!C4170,Bairros!$A$2:$B$90,2,0))))</f>
        <v/>
      </c>
      <c r="J4170" s="7" t="str">
        <f t="shared" si="261"/>
        <v/>
      </c>
      <c r="K4170" s="9">
        <f t="shared" ca="1" si="262"/>
        <v>45404.878290162036</v>
      </c>
      <c r="L4170" s="10">
        <f t="shared" ca="1" si="263"/>
        <v>45404.878290046297</v>
      </c>
    </row>
    <row r="4171" spans="6:12" x14ac:dyDescent="0.25">
      <c r="F4171" s="11" t="str">
        <f>IF(ISBLANK(D4171),"",(VLOOKUP(D4171,Cardápio!$A$2:$B$16,2,0))*E4171)</f>
        <v/>
      </c>
      <c r="H4171" s="7" t="str">
        <f t="shared" si="260"/>
        <v/>
      </c>
      <c r="I4171" s="7" t="str">
        <f>IF(AND(ISBLANK(D4171),ISBLANK(C4171)),"",((VLOOKUP(D4171,Cardápio!$A$2:$C$16,3,0))*E4171)+IF(B4171="iFood",F4171*0.27,(VLOOKUP(VENDAS!C4171,Bairros!$A$2:$B$90,2,0))))</f>
        <v/>
      </c>
      <c r="J4171" s="7" t="str">
        <f t="shared" si="261"/>
        <v/>
      </c>
      <c r="K4171" s="9">
        <f t="shared" ca="1" si="262"/>
        <v>45404.878290162036</v>
      </c>
      <c r="L4171" s="10">
        <f t="shared" ca="1" si="263"/>
        <v>45404.878290162036</v>
      </c>
    </row>
    <row r="4172" spans="6:12" x14ac:dyDescent="0.25">
      <c r="F4172" s="11" t="str">
        <f>IF(ISBLANK(D4172),"",(VLOOKUP(D4172,Cardápio!$A$2:$B$16,2,0))*E4172)</f>
        <v/>
      </c>
      <c r="H4172" s="7" t="str">
        <f t="shared" si="260"/>
        <v/>
      </c>
      <c r="I4172" s="7" t="str">
        <f>IF(AND(ISBLANK(D4172),ISBLANK(C4172)),"",((VLOOKUP(D4172,Cardápio!$A$2:$C$16,3,0))*E4172)+IF(B4172="iFood",F4172*0.27,(VLOOKUP(VENDAS!C4172,Bairros!$A$2:$B$90,2,0))))</f>
        <v/>
      </c>
      <c r="J4172" s="7" t="str">
        <f t="shared" si="261"/>
        <v/>
      </c>
      <c r="K4172" s="9">
        <f t="shared" ca="1" si="262"/>
        <v>45404.878290162036</v>
      </c>
      <c r="L4172" s="10">
        <f t="shared" ca="1" si="263"/>
        <v>45404.878290046297</v>
      </c>
    </row>
    <row r="4173" spans="6:12" x14ac:dyDescent="0.25">
      <c r="F4173" s="11" t="str">
        <f>IF(ISBLANK(D4173),"",(VLOOKUP(D4173,Cardápio!$A$2:$B$16,2,0))*E4173)</f>
        <v/>
      </c>
      <c r="H4173" s="7" t="str">
        <f t="shared" si="260"/>
        <v/>
      </c>
      <c r="I4173" s="7" t="str">
        <f>IF(AND(ISBLANK(D4173),ISBLANK(C4173)),"",((VLOOKUP(D4173,Cardápio!$A$2:$C$16,3,0))*E4173)+IF(B4173="iFood",F4173*0.27,(VLOOKUP(VENDAS!C4173,Bairros!$A$2:$B$90,2,0))))</f>
        <v/>
      </c>
      <c r="J4173" s="7" t="str">
        <f t="shared" si="261"/>
        <v/>
      </c>
      <c r="K4173" s="9">
        <f t="shared" ca="1" si="262"/>
        <v>45404.878290277775</v>
      </c>
      <c r="L4173" s="10">
        <f t="shared" ca="1" si="263"/>
        <v>45404.878290046297</v>
      </c>
    </row>
    <row r="4174" spans="6:12" x14ac:dyDescent="0.25">
      <c r="F4174" s="11" t="str">
        <f>IF(ISBLANK(D4174),"",(VLOOKUP(D4174,Cardápio!$A$2:$B$16,2,0))*E4174)</f>
        <v/>
      </c>
      <c r="H4174" s="7" t="str">
        <f t="shared" si="260"/>
        <v/>
      </c>
      <c r="I4174" s="7" t="str">
        <f>IF(AND(ISBLANK(D4174),ISBLANK(C4174)),"",((VLOOKUP(D4174,Cardápio!$A$2:$C$16,3,0))*E4174)+IF(B4174="iFood",F4174*0.27,(VLOOKUP(VENDAS!C4174,Bairros!$A$2:$B$90,2,0))))</f>
        <v/>
      </c>
      <c r="J4174" s="7" t="str">
        <f t="shared" si="261"/>
        <v/>
      </c>
      <c r="K4174" s="9">
        <f t="shared" ca="1" si="262"/>
        <v>45404.878290162036</v>
      </c>
      <c r="L4174" s="10">
        <f t="shared" ca="1" si="263"/>
        <v>45404.878290046297</v>
      </c>
    </row>
    <row r="4175" spans="6:12" x14ac:dyDescent="0.25">
      <c r="F4175" s="11" t="str">
        <f>IF(ISBLANK(D4175),"",(VLOOKUP(D4175,Cardápio!$A$2:$B$16,2,0))*E4175)</f>
        <v/>
      </c>
      <c r="H4175" s="7" t="str">
        <f t="shared" si="260"/>
        <v/>
      </c>
      <c r="I4175" s="7" t="str">
        <f>IF(AND(ISBLANK(D4175),ISBLANK(C4175)),"",((VLOOKUP(D4175,Cardápio!$A$2:$C$16,3,0))*E4175)+IF(B4175="iFood",F4175*0.27,(VLOOKUP(VENDAS!C4175,Bairros!$A$2:$B$90,2,0))))</f>
        <v/>
      </c>
      <c r="J4175" s="7" t="str">
        <f t="shared" si="261"/>
        <v/>
      </c>
      <c r="K4175" s="9">
        <f t="shared" ca="1" si="262"/>
        <v>45404.878290162036</v>
      </c>
      <c r="L4175" s="10">
        <f t="shared" ca="1" si="263"/>
        <v>45404.878290162036</v>
      </c>
    </row>
    <row r="4176" spans="6:12" x14ac:dyDescent="0.25">
      <c r="F4176" s="11" t="str">
        <f>IF(ISBLANK(D4176),"",(VLOOKUP(D4176,Cardápio!$A$2:$B$16,2,0))*E4176)</f>
        <v/>
      </c>
      <c r="H4176" s="7" t="str">
        <f t="shared" si="260"/>
        <v/>
      </c>
      <c r="I4176" s="7" t="str">
        <f>IF(AND(ISBLANK(D4176),ISBLANK(C4176)),"",((VLOOKUP(D4176,Cardápio!$A$2:$C$16,3,0))*E4176)+IF(B4176="iFood",F4176*0.27,(VLOOKUP(VENDAS!C4176,Bairros!$A$2:$B$90,2,0))))</f>
        <v/>
      </c>
      <c r="J4176" s="7" t="str">
        <f t="shared" si="261"/>
        <v/>
      </c>
      <c r="K4176" s="9">
        <f t="shared" ca="1" si="262"/>
        <v>45404.878290162036</v>
      </c>
      <c r="L4176" s="10">
        <f t="shared" ca="1" si="263"/>
        <v>45404.878290046297</v>
      </c>
    </row>
    <row r="4177" spans="6:12" x14ac:dyDescent="0.25">
      <c r="F4177" s="11" t="str">
        <f>IF(ISBLANK(D4177),"",(VLOOKUP(D4177,Cardápio!$A$2:$B$16,2,0))*E4177)</f>
        <v/>
      </c>
      <c r="H4177" s="7" t="str">
        <f t="shared" si="260"/>
        <v/>
      </c>
      <c r="I4177" s="7" t="str">
        <f>IF(AND(ISBLANK(D4177),ISBLANK(C4177)),"",((VLOOKUP(D4177,Cardápio!$A$2:$C$16,3,0))*E4177)+IF(B4177="iFood",F4177*0.27,(VLOOKUP(VENDAS!C4177,Bairros!$A$2:$B$90,2,0))))</f>
        <v/>
      </c>
      <c r="J4177" s="7" t="str">
        <f t="shared" si="261"/>
        <v/>
      </c>
      <c r="K4177" s="9">
        <f t="shared" ca="1" si="262"/>
        <v>45404.878290277775</v>
      </c>
      <c r="L4177" s="10">
        <f t="shared" ca="1" si="263"/>
        <v>45404.878290046297</v>
      </c>
    </row>
    <row r="4178" spans="6:12" x14ac:dyDescent="0.25">
      <c r="F4178" s="11" t="str">
        <f>IF(ISBLANK(D4178),"",(VLOOKUP(D4178,Cardápio!$A$2:$B$16,2,0))*E4178)</f>
        <v/>
      </c>
      <c r="H4178" s="7" t="str">
        <f t="shared" si="260"/>
        <v/>
      </c>
      <c r="I4178" s="7" t="str">
        <f>IF(AND(ISBLANK(D4178),ISBLANK(C4178)),"",((VLOOKUP(D4178,Cardápio!$A$2:$C$16,3,0))*E4178)+IF(B4178="iFood",F4178*0.27,(VLOOKUP(VENDAS!C4178,Bairros!$A$2:$B$90,2,0))))</f>
        <v/>
      </c>
      <c r="J4178" s="7" t="str">
        <f t="shared" si="261"/>
        <v/>
      </c>
      <c r="K4178" s="9">
        <f t="shared" ca="1" si="262"/>
        <v>45404.878290162036</v>
      </c>
      <c r="L4178" s="10">
        <f t="shared" ca="1" si="263"/>
        <v>45404.878290046297</v>
      </c>
    </row>
    <row r="4179" spans="6:12" x14ac:dyDescent="0.25">
      <c r="F4179" s="11" t="str">
        <f>IF(ISBLANK(D4179),"",(VLOOKUP(D4179,Cardápio!$A$2:$B$16,2,0))*E4179)</f>
        <v/>
      </c>
      <c r="H4179" s="7" t="str">
        <f t="shared" si="260"/>
        <v/>
      </c>
      <c r="I4179" s="7" t="str">
        <f>IF(AND(ISBLANK(D4179),ISBLANK(C4179)),"",((VLOOKUP(D4179,Cardápio!$A$2:$C$16,3,0))*E4179)+IF(B4179="iFood",F4179*0.27,(VLOOKUP(VENDAS!C4179,Bairros!$A$2:$B$90,2,0))))</f>
        <v/>
      </c>
      <c r="J4179" s="7" t="str">
        <f t="shared" si="261"/>
        <v/>
      </c>
      <c r="K4179" s="9">
        <f t="shared" ca="1" si="262"/>
        <v>45404.878290162036</v>
      </c>
      <c r="L4179" s="10">
        <f t="shared" ca="1" si="263"/>
        <v>45404.878290162036</v>
      </c>
    </row>
    <row r="4180" spans="6:12" x14ac:dyDescent="0.25">
      <c r="F4180" s="11" t="str">
        <f>IF(ISBLANK(D4180),"",(VLOOKUP(D4180,Cardápio!$A$2:$B$16,2,0))*E4180)</f>
        <v/>
      </c>
      <c r="H4180" s="7" t="str">
        <f t="shared" si="260"/>
        <v/>
      </c>
      <c r="I4180" s="7" t="str">
        <f>IF(AND(ISBLANK(D4180),ISBLANK(C4180)),"",((VLOOKUP(D4180,Cardápio!$A$2:$C$16,3,0))*E4180)+IF(B4180="iFood",F4180*0.27,(VLOOKUP(VENDAS!C4180,Bairros!$A$2:$B$90,2,0))))</f>
        <v/>
      </c>
      <c r="J4180" s="7" t="str">
        <f t="shared" si="261"/>
        <v/>
      </c>
      <c r="K4180" s="9">
        <f t="shared" ca="1" si="262"/>
        <v>45404.878290162036</v>
      </c>
      <c r="L4180" s="10">
        <f t="shared" ca="1" si="263"/>
        <v>45404.878290046297</v>
      </c>
    </row>
    <row r="4181" spans="6:12" x14ac:dyDescent="0.25">
      <c r="F4181" s="11" t="str">
        <f>IF(ISBLANK(D4181),"",(VLOOKUP(D4181,Cardápio!$A$2:$B$16,2,0))*E4181)</f>
        <v/>
      </c>
      <c r="H4181" s="7" t="str">
        <f t="shared" si="260"/>
        <v/>
      </c>
      <c r="I4181" s="7" t="str">
        <f>IF(AND(ISBLANK(D4181),ISBLANK(C4181)),"",((VLOOKUP(D4181,Cardápio!$A$2:$C$16,3,0))*E4181)+IF(B4181="iFood",F4181*0.27,(VLOOKUP(VENDAS!C4181,Bairros!$A$2:$B$90,2,0))))</f>
        <v/>
      </c>
      <c r="J4181" s="7" t="str">
        <f t="shared" si="261"/>
        <v/>
      </c>
      <c r="K4181" s="9">
        <f t="shared" ca="1" si="262"/>
        <v>45404.878290277775</v>
      </c>
      <c r="L4181" s="10">
        <f t="shared" ca="1" si="263"/>
        <v>45404.878290046297</v>
      </c>
    </row>
    <row r="4182" spans="6:12" x14ac:dyDescent="0.25">
      <c r="F4182" s="11" t="str">
        <f>IF(ISBLANK(D4182),"",(VLOOKUP(D4182,Cardápio!$A$2:$B$16,2,0))*E4182)</f>
        <v/>
      </c>
      <c r="H4182" s="7" t="str">
        <f t="shared" si="260"/>
        <v/>
      </c>
      <c r="I4182" s="7" t="str">
        <f>IF(AND(ISBLANK(D4182),ISBLANK(C4182)),"",((VLOOKUP(D4182,Cardápio!$A$2:$C$16,3,0))*E4182)+IF(B4182="iFood",F4182*0.27,(VLOOKUP(VENDAS!C4182,Bairros!$A$2:$B$90,2,0))))</f>
        <v/>
      </c>
      <c r="J4182" s="7" t="str">
        <f t="shared" si="261"/>
        <v/>
      </c>
      <c r="K4182" s="9">
        <f t="shared" ca="1" si="262"/>
        <v>45404.878290162036</v>
      </c>
      <c r="L4182" s="10">
        <f t="shared" ca="1" si="263"/>
        <v>45404.878290046297</v>
      </c>
    </row>
    <row r="4183" spans="6:12" x14ac:dyDescent="0.25">
      <c r="F4183" s="11" t="str">
        <f>IF(ISBLANK(D4183),"",(VLOOKUP(D4183,Cardápio!$A$2:$B$16,2,0))*E4183)</f>
        <v/>
      </c>
      <c r="H4183" s="7" t="str">
        <f t="shared" si="260"/>
        <v/>
      </c>
      <c r="I4183" s="7" t="str">
        <f>IF(AND(ISBLANK(D4183),ISBLANK(C4183)),"",((VLOOKUP(D4183,Cardápio!$A$2:$C$16,3,0))*E4183)+IF(B4183="iFood",F4183*0.27,(VLOOKUP(VENDAS!C4183,Bairros!$A$2:$B$90,2,0))))</f>
        <v/>
      </c>
      <c r="J4183" s="7" t="str">
        <f t="shared" si="261"/>
        <v/>
      </c>
      <c r="K4183" s="9">
        <f t="shared" ca="1" si="262"/>
        <v>45404.878290162036</v>
      </c>
      <c r="L4183" s="10">
        <f t="shared" ca="1" si="263"/>
        <v>45404.878290162036</v>
      </c>
    </row>
    <row r="4184" spans="6:12" x14ac:dyDescent="0.25">
      <c r="F4184" s="11" t="str">
        <f>IF(ISBLANK(D4184),"",(VLOOKUP(D4184,Cardápio!$A$2:$B$16,2,0))*E4184)</f>
        <v/>
      </c>
      <c r="H4184" s="7" t="str">
        <f t="shared" si="260"/>
        <v/>
      </c>
      <c r="I4184" s="7" t="str">
        <f>IF(AND(ISBLANK(D4184),ISBLANK(C4184)),"",((VLOOKUP(D4184,Cardápio!$A$2:$C$16,3,0))*E4184)+IF(B4184="iFood",F4184*0.27,(VLOOKUP(VENDAS!C4184,Bairros!$A$2:$B$90,2,0))))</f>
        <v/>
      </c>
      <c r="J4184" s="7" t="str">
        <f t="shared" si="261"/>
        <v/>
      </c>
      <c r="K4184" s="9">
        <f t="shared" ca="1" si="262"/>
        <v>45404.878290162036</v>
      </c>
      <c r="L4184" s="10">
        <f t="shared" ca="1" si="263"/>
        <v>45404.878290046297</v>
      </c>
    </row>
    <row r="4185" spans="6:12" x14ac:dyDescent="0.25">
      <c r="F4185" s="11" t="str">
        <f>IF(ISBLANK(D4185),"",(VLOOKUP(D4185,Cardápio!$A$2:$B$16,2,0))*E4185)</f>
        <v/>
      </c>
      <c r="H4185" s="7" t="str">
        <f t="shared" si="260"/>
        <v/>
      </c>
      <c r="I4185" s="7" t="str">
        <f>IF(AND(ISBLANK(D4185),ISBLANK(C4185)),"",((VLOOKUP(D4185,Cardápio!$A$2:$C$16,3,0))*E4185)+IF(B4185="iFood",F4185*0.27,(VLOOKUP(VENDAS!C4185,Bairros!$A$2:$B$90,2,0))))</f>
        <v/>
      </c>
      <c r="J4185" s="7" t="str">
        <f t="shared" si="261"/>
        <v/>
      </c>
      <c r="K4185" s="9">
        <f t="shared" ca="1" si="262"/>
        <v>45404.878290277775</v>
      </c>
      <c r="L4185" s="10">
        <f t="shared" ca="1" si="263"/>
        <v>45404.878290046297</v>
      </c>
    </row>
    <row r="4186" spans="6:12" x14ac:dyDescent="0.25">
      <c r="F4186" s="11" t="str">
        <f>IF(ISBLANK(D4186),"",(VLOOKUP(D4186,Cardápio!$A$2:$B$16,2,0))*E4186)</f>
        <v/>
      </c>
      <c r="H4186" s="7" t="str">
        <f t="shared" si="260"/>
        <v/>
      </c>
      <c r="I4186" s="7" t="str">
        <f>IF(AND(ISBLANK(D4186),ISBLANK(C4186)),"",((VLOOKUP(D4186,Cardápio!$A$2:$C$16,3,0))*E4186)+IF(B4186="iFood",F4186*0.27,(VLOOKUP(VENDAS!C4186,Bairros!$A$2:$B$90,2,0))))</f>
        <v/>
      </c>
      <c r="J4186" s="7" t="str">
        <f t="shared" si="261"/>
        <v/>
      </c>
      <c r="K4186" s="9">
        <f t="shared" ca="1" si="262"/>
        <v>45404.878290162036</v>
      </c>
      <c r="L4186" s="10">
        <f t="shared" ca="1" si="263"/>
        <v>45404.878290046297</v>
      </c>
    </row>
    <row r="4187" spans="6:12" x14ac:dyDescent="0.25">
      <c r="F4187" s="11" t="str">
        <f>IF(ISBLANK(D4187),"",(VLOOKUP(D4187,Cardápio!$A$2:$B$16,2,0))*E4187)</f>
        <v/>
      </c>
      <c r="H4187" s="7" t="str">
        <f t="shared" si="260"/>
        <v/>
      </c>
      <c r="I4187" s="7" t="str">
        <f>IF(AND(ISBLANK(D4187),ISBLANK(C4187)),"",((VLOOKUP(D4187,Cardápio!$A$2:$C$16,3,0))*E4187)+IF(B4187="iFood",F4187*0.27,(VLOOKUP(VENDAS!C4187,Bairros!$A$2:$B$90,2,0))))</f>
        <v/>
      </c>
      <c r="J4187" s="7" t="str">
        <f t="shared" si="261"/>
        <v/>
      </c>
      <c r="K4187" s="9">
        <f t="shared" ca="1" si="262"/>
        <v>45404.878290162036</v>
      </c>
      <c r="L4187" s="10">
        <f t="shared" ca="1" si="263"/>
        <v>45404.878290162036</v>
      </c>
    </row>
    <row r="4188" spans="6:12" x14ac:dyDescent="0.25">
      <c r="F4188" s="11" t="str">
        <f>IF(ISBLANK(D4188),"",(VLOOKUP(D4188,Cardápio!$A$2:$B$16,2,0))*E4188)</f>
        <v/>
      </c>
      <c r="H4188" s="7" t="str">
        <f t="shared" si="260"/>
        <v/>
      </c>
      <c r="I4188" s="7" t="str">
        <f>IF(AND(ISBLANK(D4188),ISBLANK(C4188)),"",((VLOOKUP(D4188,Cardápio!$A$2:$C$16,3,0))*E4188)+IF(B4188="iFood",F4188*0.27,(VLOOKUP(VENDAS!C4188,Bairros!$A$2:$B$90,2,0))))</f>
        <v/>
      </c>
      <c r="J4188" s="7" t="str">
        <f t="shared" si="261"/>
        <v/>
      </c>
      <c r="K4188" s="9">
        <f t="shared" ca="1" si="262"/>
        <v>45404.878290162036</v>
      </c>
      <c r="L4188" s="10">
        <f t="shared" ca="1" si="263"/>
        <v>45404.878290046297</v>
      </c>
    </row>
    <row r="4189" spans="6:12" x14ac:dyDescent="0.25">
      <c r="F4189" s="11" t="str">
        <f>IF(ISBLANK(D4189),"",(VLOOKUP(D4189,Cardápio!$A$2:$B$16,2,0))*E4189)</f>
        <v/>
      </c>
      <c r="H4189" s="7" t="str">
        <f t="shared" si="260"/>
        <v/>
      </c>
      <c r="I4189" s="7" t="str">
        <f>IF(AND(ISBLANK(D4189),ISBLANK(C4189)),"",((VLOOKUP(D4189,Cardápio!$A$2:$C$16,3,0))*E4189)+IF(B4189="iFood",F4189*0.27,(VLOOKUP(VENDAS!C4189,Bairros!$A$2:$B$90,2,0))))</f>
        <v/>
      </c>
      <c r="J4189" s="7" t="str">
        <f t="shared" si="261"/>
        <v/>
      </c>
      <c r="K4189" s="9">
        <f t="shared" ca="1" si="262"/>
        <v>45404.878290277775</v>
      </c>
      <c r="L4189" s="10">
        <f t="shared" ca="1" si="263"/>
        <v>45404.878290046297</v>
      </c>
    </row>
    <row r="4190" spans="6:12" x14ac:dyDescent="0.25">
      <c r="F4190" s="11" t="str">
        <f>IF(ISBLANK(D4190),"",(VLOOKUP(D4190,Cardápio!$A$2:$B$16,2,0))*E4190)</f>
        <v/>
      </c>
      <c r="H4190" s="7" t="str">
        <f t="shared" si="260"/>
        <v/>
      </c>
      <c r="I4190" s="7" t="str">
        <f>IF(AND(ISBLANK(D4190),ISBLANK(C4190)),"",((VLOOKUP(D4190,Cardápio!$A$2:$C$16,3,0))*E4190)+IF(B4190="iFood",F4190*0.27,(VLOOKUP(VENDAS!C4190,Bairros!$A$2:$B$90,2,0))))</f>
        <v/>
      </c>
      <c r="J4190" s="7" t="str">
        <f t="shared" si="261"/>
        <v/>
      </c>
      <c r="K4190" s="9">
        <f t="shared" ca="1" si="262"/>
        <v>45404.878290162036</v>
      </c>
      <c r="L4190" s="10">
        <f t="shared" ca="1" si="263"/>
        <v>45404.878290046297</v>
      </c>
    </row>
    <row r="4191" spans="6:12" x14ac:dyDescent="0.25">
      <c r="F4191" s="11" t="str">
        <f>IF(ISBLANK(D4191),"",(VLOOKUP(D4191,Cardápio!$A$2:$B$16,2,0))*E4191)</f>
        <v/>
      </c>
      <c r="H4191" s="7" t="str">
        <f t="shared" si="260"/>
        <v/>
      </c>
      <c r="I4191" s="7" t="str">
        <f>IF(AND(ISBLANK(D4191),ISBLANK(C4191)),"",((VLOOKUP(D4191,Cardápio!$A$2:$C$16,3,0))*E4191)+IF(B4191="iFood",F4191*0.27,(VLOOKUP(VENDAS!C4191,Bairros!$A$2:$B$90,2,0))))</f>
        <v/>
      </c>
      <c r="J4191" s="7" t="str">
        <f t="shared" si="261"/>
        <v/>
      </c>
      <c r="K4191" s="9">
        <f t="shared" ca="1" si="262"/>
        <v>45404.878290162036</v>
      </c>
      <c r="L4191" s="10">
        <f t="shared" ca="1" si="263"/>
        <v>45404.878290162036</v>
      </c>
    </row>
    <row r="4192" spans="6:12" x14ac:dyDescent="0.25">
      <c r="F4192" s="11" t="str">
        <f>IF(ISBLANK(D4192),"",(VLOOKUP(D4192,Cardápio!$A$2:$B$16,2,0))*E4192)</f>
        <v/>
      </c>
      <c r="H4192" s="7" t="str">
        <f t="shared" si="260"/>
        <v/>
      </c>
      <c r="I4192" s="7" t="str">
        <f>IF(AND(ISBLANK(D4192),ISBLANK(C4192)),"",((VLOOKUP(D4192,Cardápio!$A$2:$C$16,3,0))*E4192)+IF(B4192="iFood",F4192*0.27,(VLOOKUP(VENDAS!C4192,Bairros!$A$2:$B$90,2,0))))</f>
        <v/>
      </c>
      <c r="J4192" s="7" t="str">
        <f t="shared" si="261"/>
        <v/>
      </c>
      <c r="K4192" s="9">
        <f t="shared" ca="1" si="262"/>
        <v>45404.878290162036</v>
      </c>
      <c r="L4192" s="10">
        <f t="shared" ca="1" si="263"/>
        <v>45404.878290046297</v>
      </c>
    </row>
    <row r="4193" spans="6:12" x14ac:dyDescent="0.25">
      <c r="F4193" s="11" t="str">
        <f>IF(ISBLANK(D4193),"",(VLOOKUP(D4193,Cardápio!$A$2:$B$16,2,0))*E4193)</f>
        <v/>
      </c>
      <c r="H4193" s="7" t="str">
        <f t="shared" si="260"/>
        <v/>
      </c>
      <c r="I4193" s="7" t="str">
        <f>IF(AND(ISBLANK(D4193),ISBLANK(C4193)),"",((VLOOKUP(D4193,Cardápio!$A$2:$C$16,3,0))*E4193)+IF(B4193="iFood",F4193*0.27,(VLOOKUP(VENDAS!C4193,Bairros!$A$2:$B$90,2,0))))</f>
        <v/>
      </c>
      <c r="J4193" s="7" t="str">
        <f t="shared" si="261"/>
        <v/>
      </c>
      <c r="K4193" s="9">
        <f t="shared" ca="1" si="262"/>
        <v>45404.878290277775</v>
      </c>
      <c r="L4193" s="10">
        <f t="shared" ca="1" si="263"/>
        <v>45404.878290046297</v>
      </c>
    </row>
    <row r="4194" spans="6:12" x14ac:dyDescent="0.25">
      <c r="F4194" s="11" t="str">
        <f>IF(ISBLANK(D4194),"",(VLOOKUP(D4194,Cardápio!$A$2:$B$16,2,0))*E4194)</f>
        <v/>
      </c>
      <c r="H4194" s="7" t="str">
        <f t="shared" si="260"/>
        <v/>
      </c>
      <c r="I4194" s="7" t="str">
        <f>IF(AND(ISBLANK(D4194),ISBLANK(C4194)),"",((VLOOKUP(D4194,Cardápio!$A$2:$C$16,3,0))*E4194)+IF(B4194="iFood",F4194*0.27,(VLOOKUP(VENDAS!C4194,Bairros!$A$2:$B$90,2,0))))</f>
        <v/>
      </c>
      <c r="J4194" s="7" t="str">
        <f t="shared" si="261"/>
        <v/>
      </c>
      <c r="K4194" s="9">
        <f t="shared" ca="1" si="262"/>
        <v>45404.878290162036</v>
      </c>
      <c r="L4194" s="10">
        <f t="shared" ca="1" si="263"/>
        <v>45404.878290046297</v>
      </c>
    </row>
    <row r="4195" spans="6:12" x14ac:dyDescent="0.25">
      <c r="F4195" s="11" t="str">
        <f>IF(ISBLANK(D4195),"",(VLOOKUP(D4195,Cardápio!$A$2:$B$16,2,0))*E4195)</f>
        <v/>
      </c>
      <c r="H4195" s="7" t="str">
        <f t="shared" si="260"/>
        <v/>
      </c>
      <c r="I4195" s="7" t="str">
        <f>IF(AND(ISBLANK(D4195),ISBLANK(C4195)),"",((VLOOKUP(D4195,Cardápio!$A$2:$C$16,3,0))*E4195)+IF(B4195="iFood",F4195*0.27,(VLOOKUP(VENDAS!C4195,Bairros!$A$2:$B$90,2,0))))</f>
        <v/>
      </c>
      <c r="J4195" s="7" t="str">
        <f t="shared" si="261"/>
        <v/>
      </c>
      <c r="K4195" s="9">
        <f t="shared" ca="1" si="262"/>
        <v>45404.878290162036</v>
      </c>
      <c r="L4195" s="10">
        <f t="shared" ca="1" si="263"/>
        <v>45404.878290162036</v>
      </c>
    </row>
    <row r="4196" spans="6:12" x14ac:dyDescent="0.25">
      <c r="F4196" s="11" t="str">
        <f>IF(ISBLANK(D4196),"",(VLOOKUP(D4196,Cardápio!$A$2:$B$16,2,0))*E4196)</f>
        <v/>
      </c>
      <c r="H4196" s="7" t="str">
        <f t="shared" si="260"/>
        <v/>
      </c>
      <c r="I4196" s="7" t="str">
        <f>IF(AND(ISBLANK(D4196),ISBLANK(C4196)),"",((VLOOKUP(D4196,Cardápio!$A$2:$C$16,3,0))*E4196)+IF(B4196="iFood",F4196*0.27,(VLOOKUP(VENDAS!C4196,Bairros!$A$2:$B$90,2,0))))</f>
        <v/>
      </c>
      <c r="J4196" s="7" t="str">
        <f t="shared" si="261"/>
        <v/>
      </c>
      <c r="K4196" s="9">
        <f t="shared" ca="1" si="262"/>
        <v>45404.878290162036</v>
      </c>
      <c r="L4196" s="10">
        <f t="shared" ca="1" si="263"/>
        <v>45404.878290046297</v>
      </c>
    </row>
    <row r="4197" spans="6:12" x14ac:dyDescent="0.25">
      <c r="F4197" s="11" t="str">
        <f>IF(ISBLANK(D4197),"",(VLOOKUP(D4197,Cardápio!$A$2:$B$16,2,0))*E4197)</f>
        <v/>
      </c>
      <c r="H4197" s="7" t="str">
        <f t="shared" si="260"/>
        <v/>
      </c>
      <c r="I4197" s="7" t="str">
        <f>IF(AND(ISBLANK(D4197),ISBLANK(C4197)),"",((VLOOKUP(D4197,Cardápio!$A$2:$C$16,3,0))*E4197)+IF(B4197="iFood",F4197*0.27,(VLOOKUP(VENDAS!C4197,Bairros!$A$2:$B$90,2,0))))</f>
        <v/>
      </c>
      <c r="J4197" s="7" t="str">
        <f t="shared" si="261"/>
        <v/>
      </c>
      <c r="K4197" s="9">
        <f t="shared" ca="1" si="262"/>
        <v>45404.878290277775</v>
      </c>
      <c r="L4197" s="10">
        <f t="shared" ca="1" si="263"/>
        <v>45404.878290046297</v>
      </c>
    </row>
    <row r="4198" spans="6:12" x14ac:dyDescent="0.25">
      <c r="F4198" s="11" t="str">
        <f>IF(ISBLANK(D4198),"",(VLOOKUP(D4198,Cardápio!$A$2:$B$16,2,0))*E4198)</f>
        <v/>
      </c>
      <c r="H4198" s="7" t="str">
        <f t="shared" si="260"/>
        <v/>
      </c>
      <c r="I4198" s="7" t="str">
        <f>IF(AND(ISBLANK(D4198),ISBLANK(C4198)),"",((VLOOKUP(D4198,Cardápio!$A$2:$C$16,3,0))*E4198)+IF(B4198="iFood",F4198*0.27,(VLOOKUP(VENDAS!C4198,Bairros!$A$2:$B$90,2,0))))</f>
        <v/>
      </c>
      <c r="J4198" s="7" t="str">
        <f t="shared" si="261"/>
        <v/>
      </c>
      <c r="K4198" s="9">
        <f t="shared" ca="1" si="262"/>
        <v>45404.878290162036</v>
      </c>
      <c r="L4198" s="10">
        <f t="shared" ca="1" si="263"/>
        <v>45404.878290046297</v>
      </c>
    </row>
    <row r="4199" spans="6:12" x14ac:dyDescent="0.25">
      <c r="F4199" s="11" t="str">
        <f>IF(ISBLANK(D4199),"",(VLOOKUP(D4199,Cardápio!$A$2:$B$16,2,0))*E4199)</f>
        <v/>
      </c>
      <c r="H4199" s="7" t="str">
        <f t="shared" si="260"/>
        <v/>
      </c>
      <c r="I4199" s="7" t="str">
        <f>IF(AND(ISBLANK(D4199),ISBLANK(C4199)),"",((VLOOKUP(D4199,Cardápio!$A$2:$C$16,3,0))*E4199)+IF(B4199="iFood",F4199*0.27,(VLOOKUP(VENDAS!C4199,Bairros!$A$2:$B$90,2,0))))</f>
        <v/>
      </c>
      <c r="J4199" s="7" t="str">
        <f t="shared" si="261"/>
        <v/>
      </c>
      <c r="K4199" s="9">
        <f t="shared" ca="1" si="262"/>
        <v>45404.878290162036</v>
      </c>
      <c r="L4199" s="10">
        <f t="shared" ca="1" si="263"/>
        <v>45404.878290162036</v>
      </c>
    </row>
    <row r="4200" spans="6:12" x14ac:dyDescent="0.25">
      <c r="F4200" s="11" t="str">
        <f>IF(ISBLANK(D4200),"",(VLOOKUP(D4200,Cardápio!$A$2:$B$16,2,0))*E4200)</f>
        <v/>
      </c>
      <c r="H4200" s="7" t="str">
        <f t="shared" si="260"/>
        <v/>
      </c>
      <c r="I4200" s="7" t="str">
        <f>IF(AND(ISBLANK(D4200),ISBLANK(C4200)),"",((VLOOKUP(D4200,Cardápio!$A$2:$C$16,3,0))*E4200)+IF(B4200="iFood",F4200*0.27,(VLOOKUP(VENDAS!C4200,Bairros!$A$2:$B$90,2,0))))</f>
        <v/>
      </c>
      <c r="J4200" s="7" t="str">
        <f t="shared" si="261"/>
        <v/>
      </c>
      <c r="K4200" s="9">
        <f t="shared" ca="1" si="262"/>
        <v>45404.878290162036</v>
      </c>
      <c r="L4200" s="10">
        <f t="shared" ca="1" si="263"/>
        <v>45404.878290046297</v>
      </c>
    </row>
    <row r="4201" spans="6:12" x14ac:dyDescent="0.25">
      <c r="F4201" s="11" t="str">
        <f>IF(ISBLANK(D4201),"",(VLOOKUP(D4201,Cardápio!$A$2:$B$16,2,0))*E4201)</f>
        <v/>
      </c>
      <c r="H4201" s="7" t="str">
        <f t="shared" si="260"/>
        <v/>
      </c>
      <c r="I4201" s="7" t="str">
        <f>IF(AND(ISBLANK(D4201),ISBLANK(C4201)),"",((VLOOKUP(D4201,Cardápio!$A$2:$C$16,3,0))*E4201)+IF(B4201="iFood",F4201*0.27,(VLOOKUP(VENDAS!C4201,Bairros!$A$2:$B$90,2,0))))</f>
        <v/>
      </c>
      <c r="J4201" s="7" t="str">
        <f t="shared" si="261"/>
        <v/>
      </c>
      <c r="K4201" s="9">
        <f t="shared" ca="1" si="262"/>
        <v>45404.878290277775</v>
      </c>
      <c r="L4201" s="10">
        <f t="shared" ca="1" si="263"/>
        <v>45404.878290046297</v>
      </c>
    </row>
    <row r="4202" spans="6:12" x14ac:dyDescent="0.25">
      <c r="F4202" s="11" t="str">
        <f>IF(ISBLANK(D4202),"",(VLOOKUP(D4202,Cardápio!$A$2:$B$16,2,0))*E4202)</f>
        <v/>
      </c>
      <c r="H4202" s="7" t="str">
        <f t="shared" si="260"/>
        <v/>
      </c>
      <c r="I4202" s="7" t="str">
        <f>IF(AND(ISBLANK(D4202),ISBLANK(C4202)),"",((VLOOKUP(D4202,Cardápio!$A$2:$C$16,3,0))*E4202)+IF(B4202="iFood",F4202*0.27,(VLOOKUP(VENDAS!C4202,Bairros!$A$2:$B$90,2,0))))</f>
        <v/>
      </c>
      <c r="J4202" s="7" t="str">
        <f t="shared" si="261"/>
        <v/>
      </c>
      <c r="K4202" s="9">
        <f t="shared" ca="1" si="262"/>
        <v>45404.878290162036</v>
      </c>
      <c r="L4202" s="10">
        <f t="shared" ca="1" si="263"/>
        <v>45404.878290046297</v>
      </c>
    </row>
    <row r="4203" spans="6:12" x14ac:dyDescent="0.25">
      <c r="F4203" s="11" t="str">
        <f>IF(ISBLANK(D4203),"",(VLOOKUP(D4203,Cardápio!$A$2:$B$16,2,0))*E4203)</f>
        <v/>
      </c>
      <c r="H4203" s="7" t="str">
        <f t="shared" si="260"/>
        <v/>
      </c>
      <c r="I4203" s="7" t="str">
        <f>IF(AND(ISBLANK(D4203),ISBLANK(C4203)),"",((VLOOKUP(D4203,Cardápio!$A$2:$C$16,3,0))*E4203)+IF(B4203="iFood",F4203*0.27,(VLOOKUP(VENDAS!C4203,Bairros!$A$2:$B$90,2,0))))</f>
        <v/>
      </c>
      <c r="J4203" s="7" t="str">
        <f t="shared" si="261"/>
        <v/>
      </c>
      <c r="K4203" s="9">
        <f t="shared" ca="1" si="262"/>
        <v>45404.878290162036</v>
      </c>
      <c r="L4203" s="10">
        <f t="shared" ca="1" si="263"/>
        <v>45404.878290162036</v>
      </c>
    </row>
    <row r="4204" spans="6:12" x14ac:dyDescent="0.25">
      <c r="F4204" s="11" t="str">
        <f>IF(ISBLANK(D4204),"",(VLOOKUP(D4204,Cardápio!$A$2:$B$16,2,0))*E4204)</f>
        <v/>
      </c>
      <c r="H4204" s="7" t="str">
        <f t="shared" si="260"/>
        <v/>
      </c>
      <c r="I4204" s="7" t="str">
        <f>IF(AND(ISBLANK(D4204),ISBLANK(C4204)),"",((VLOOKUP(D4204,Cardápio!$A$2:$C$16,3,0))*E4204)+IF(B4204="iFood",F4204*0.27,(VLOOKUP(VENDAS!C4204,Bairros!$A$2:$B$90,2,0))))</f>
        <v/>
      </c>
      <c r="J4204" s="7" t="str">
        <f t="shared" si="261"/>
        <v/>
      </c>
      <c r="K4204" s="9">
        <f t="shared" ca="1" si="262"/>
        <v>45404.878290162036</v>
      </c>
      <c r="L4204" s="10">
        <f t="shared" ca="1" si="263"/>
        <v>45404.878290046297</v>
      </c>
    </row>
    <row r="4205" spans="6:12" x14ac:dyDescent="0.25">
      <c r="F4205" s="11" t="str">
        <f>IF(ISBLANK(D4205),"",(VLOOKUP(D4205,Cardápio!$A$2:$B$16,2,0))*E4205)</f>
        <v/>
      </c>
      <c r="H4205" s="7" t="str">
        <f t="shared" si="260"/>
        <v/>
      </c>
      <c r="I4205" s="7" t="str">
        <f>IF(AND(ISBLANK(D4205),ISBLANK(C4205)),"",((VLOOKUP(D4205,Cardápio!$A$2:$C$16,3,0))*E4205)+IF(B4205="iFood",F4205*0.27,(VLOOKUP(VENDAS!C4205,Bairros!$A$2:$B$90,2,0))))</f>
        <v/>
      </c>
      <c r="J4205" s="7" t="str">
        <f t="shared" si="261"/>
        <v/>
      </c>
      <c r="K4205" s="9">
        <f t="shared" ca="1" si="262"/>
        <v>45404.878290277775</v>
      </c>
      <c r="L4205" s="10">
        <f t="shared" ca="1" si="263"/>
        <v>45404.878290046297</v>
      </c>
    </row>
    <row r="4206" spans="6:12" x14ac:dyDescent="0.25">
      <c r="F4206" s="11" t="str">
        <f>IF(ISBLANK(D4206),"",(VLOOKUP(D4206,Cardápio!$A$2:$B$16,2,0))*E4206)</f>
        <v/>
      </c>
      <c r="H4206" s="7" t="str">
        <f t="shared" si="260"/>
        <v/>
      </c>
      <c r="I4206" s="7" t="str">
        <f>IF(AND(ISBLANK(D4206),ISBLANK(C4206)),"",((VLOOKUP(D4206,Cardápio!$A$2:$C$16,3,0))*E4206)+IF(B4206="iFood",F4206*0.27,(VLOOKUP(VENDAS!C4206,Bairros!$A$2:$B$90,2,0))))</f>
        <v/>
      </c>
      <c r="J4206" s="7" t="str">
        <f t="shared" si="261"/>
        <v/>
      </c>
      <c r="K4206" s="9">
        <f t="shared" ca="1" si="262"/>
        <v>45404.878290162036</v>
      </c>
      <c r="L4206" s="10">
        <f t="shared" ca="1" si="263"/>
        <v>45404.878290046297</v>
      </c>
    </row>
    <row r="4207" spans="6:12" x14ac:dyDescent="0.25">
      <c r="F4207" s="11" t="str">
        <f>IF(ISBLANK(D4207),"",(VLOOKUP(D4207,Cardápio!$A$2:$B$16,2,0))*E4207)</f>
        <v/>
      </c>
      <c r="H4207" s="7" t="str">
        <f t="shared" si="260"/>
        <v/>
      </c>
      <c r="I4207" s="7" t="str">
        <f>IF(AND(ISBLANK(D4207),ISBLANK(C4207)),"",((VLOOKUP(D4207,Cardápio!$A$2:$C$16,3,0))*E4207)+IF(B4207="iFood",F4207*0.27,(VLOOKUP(VENDAS!C4207,Bairros!$A$2:$B$90,2,0))))</f>
        <v/>
      </c>
      <c r="J4207" s="7" t="str">
        <f t="shared" si="261"/>
        <v/>
      </c>
      <c r="K4207" s="9">
        <f t="shared" ca="1" si="262"/>
        <v>45404.878290162036</v>
      </c>
      <c r="L4207" s="10">
        <f t="shared" ca="1" si="263"/>
        <v>45404.878290162036</v>
      </c>
    </row>
    <row r="4208" spans="6:12" x14ac:dyDescent="0.25">
      <c r="F4208" s="11" t="str">
        <f>IF(ISBLANK(D4208),"",(VLOOKUP(D4208,Cardápio!$A$2:$B$16,2,0))*E4208)</f>
        <v/>
      </c>
      <c r="H4208" s="7" t="str">
        <f t="shared" si="260"/>
        <v/>
      </c>
      <c r="I4208" s="7" t="str">
        <f>IF(AND(ISBLANK(D4208),ISBLANK(C4208)),"",((VLOOKUP(D4208,Cardápio!$A$2:$C$16,3,0))*E4208)+IF(B4208="iFood",F4208*0.27,(VLOOKUP(VENDAS!C4208,Bairros!$A$2:$B$90,2,0))))</f>
        <v/>
      </c>
      <c r="J4208" s="7" t="str">
        <f t="shared" si="261"/>
        <v/>
      </c>
      <c r="K4208" s="9">
        <f t="shared" ca="1" si="262"/>
        <v>45404.878290162036</v>
      </c>
      <c r="L4208" s="10">
        <f t="shared" ca="1" si="263"/>
        <v>45404.878290046297</v>
      </c>
    </row>
    <row r="4209" spans="6:12" x14ac:dyDescent="0.25">
      <c r="F4209" s="11" t="str">
        <f>IF(ISBLANK(D4209),"",(VLOOKUP(D4209,Cardápio!$A$2:$B$16,2,0))*E4209)</f>
        <v/>
      </c>
      <c r="H4209" s="7" t="str">
        <f t="shared" si="260"/>
        <v/>
      </c>
      <c r="I4209" s="7" t="str">
        <f>IF(AND(ISBLANK(D4209),ISBLANK(C4209)),"",((VLOOKUP(D4209,Cardápio!$A$2:$C$16,3,0))*E4209)+IF(B4209="iFood",F4209*0.27,(VLOOKUP(VENDAS!C4209,Bairros!$A$2:$B$90,2,0))))</f>
        <v/>
      </c>
      <c r="J4209" s="7" t="str">
        <f t="shared" si="261"/>
        <v/>
      </c>
      <c r="K4209" s="9">
        <f t="shared" ca="1" si="262"/>
        <v>45404.878290277775</v>
      </c>
      <c r="L4209" s="10">
        <f t="shared" ca="1" si="263"/>
        <v>45404.878290046297</v>
      </c>
    </row>
    <row r="4210" spans="6:12" x14ac:dyDescent="0.25">
      <c r="F4210" s="11" t="str">
        <f>IF(ISBLANK(D4210),"",(VLOOKUP(D4210,Cardápio!$A$2:$B$16,2,0))*E4210)</f>
        <v/>
      </c>
      <c r="H4210" s="7" t="str">
        <f t="shared" si="260"/>
        <v/>
      </c>
      <c r="I4210" s="7" t="str">
        <f>IF(AND(ISBLANK(D4210),ISBLANK(C4210)),"",((VLOOKUP(D4210,Cardápio!$A$2:$C$16,3,0))*E4210)+IF(B4210="iFood",F4210*0.27,(VLOOKUP(VENDAS!C4210,Bairros!$A$2:$B$90,2,0))))</f>
        <v/>
      </c>
      <c r="J4210" s="7" t="str">
        <f t="shared" si="261"/>
        <v/>
      </c>
      <c r="K4210" s="9">
        <f t="shared" ca="1" si="262"/>
        <v>45404.878290162036</v>
      </c>
      <c r="L4210" s="10">
        <f t="shared" ca="1" si="263"/>
        <v>45404.878290046297</v>
      </c>
    </row>
    <row r="4211" spans="6:12" x14ac:dyDescent="0.25">
      <c r="F4211" s="11" t="str">
        <f>IF(ISBLANK(D4211),"",(VLOOKUP(D4211,Cardápio!$A$2:$B$16,2,0))*E4211)</f>
        <v/>
      </c>
      <c r="H4211" s="7" t="str">
        <f t="shared" si="260"/>
        <v/>
      </c>
      <c r="I4211" s="7" t="str">
        <f>IF(AND(ISBLANK(D4211),ISBLANK(C4211)),"",((VLOOKUP(D4211,Cardápio!$A$2:$C$16,3,0))*E4211)+IF(B4211="iFood",F4211*0.27,(VLOOKUP(VENDAS!C4211,Bairros!$A$2:$B$90,2,0))))</f>
        <v/>
      </c>
      <c r="J4211" s="7" t="str">
        <f t="shared" si="261"/>
        <v/>
      </c>
      <c r="K4211" s="9">
        <f t="shared" ca="1" si="262"/>
        <v>45404.878290162036</v>
      </c>
      <c r="L4211" s="10">
        <f t="shared" ca="1" si="263"/>
        <v>45404.878290162036</v>
      </c>
    </row>
    <row r="4212" spans="6:12" x14ac:dyDescent="0.25">
      <c r="F4212" s="11" t="str">
        <f>IF(ISBLANK(D4212),"",(VLOOKUP(D4212,Cardápio!$A$2:$B$16,2,0))*E4212)</f>
        <v/>
      </c>
      <c r="H4212" s="7" t="str">
        <f t="shared" si="260"/>
        <v/>
      </c>
      <c r="I4212" s="7" t="str">
        <f>IF(AND(ISBLANK(D4212),ISBLANK(C4212)),"",((VLOOKUP(D4212,Cardápio!$A$2:$C$16,3,0))*E4212)+IF(B4212="iFood",F4212*0.27,(VLOOKUP(VENDAS!C4212,Bairros!$A$2:$B$90,2,0))))</f>
        <v/>
      </c>
      <c r="J4212" s="7" t="str">
        <f t="shared" si="261"/>
        <v/>
      </c>
      <c r="K4212" s="9">
        <f t="shared" ca="1" si="262"/>
        <v>45404.878290162036</v>
      </c>
      <c r="L4212" s="10">
        <f t="shared" ca="1" si="263"/>
        <v>45404.878290046297</v>
      </c>
    </row>
    <row r="4213" spans="6:12" x14ac:dyDescent="0.25">
      <c r="F4213" s="11" t="str">
        <f>IF(ISBLANK(D4213),"",(VLOOKUP(D4213,Cardápio!$A$2:$B$16,2,0))*E4213)</f>
        <v/>
      </c>
      <c r="H4213" s="7" t="str">
        <f t="shared" ref="H4213:H4276" si="264">IF(ISBLANK(D4213),"",F4213-G4213)</f>
        <v/>
      </c>
      <c r="I4213" s="7" t="str">
        <f>IF(AND(ISBLANK(D4213),ISBLANK(C4213)),"",((VLOOKUP(D4213,Cardápio!$A$2:$C$16,3,0))*E4213)+IF(B4213="iFood",F4213*0.27,(VLOOKUP(VENDAS!C4213,Bairros!$A$2:$B$90,2,0))))</f>
        <v/>
      </c>
      <c r="J4213" s="7" t="str">
        <f t="shared" ref="J4213:J4276" si="265">IF(OR(AND(ISBLANK(H4213),ISBLANK(I4213)),(AND(H4213="",I4213=""))),"",H4213-I4213)</f>
        <v/>
      </c>
      <c r="K4213" s="9">
        <f t="shared" ref="K4213:K4276" ca="1" si="266">IF(D4213&lt;&gt;"",K4213,NOW())</f>
        <v>45404.878290277775</v>
      </c>
      <c r="L4213" s="10">
        <f t="shared" ref="L4213:L4276" ca="1" si="267">IF(D4213&lt;&gt;"",L4213,NOW())</f>
        <v>45404.878290046297</v>
      </c>
    </row>
    <row r="4214" spans="6:12" x14ac:dyDescent="0.25">
      <c r="F4214" s="11" t="str">
        <f>IF(ISBLANK(D4214),"",(VLOOKUP(D4214,Cardápio!$A$2:$B$16,2,0))*E4214)</f>
        <v/>
      </c>
      <c r="H4214" s="7" t="str">
        <f t="shared" si="264"/>
        <v/>
      </c>
      <c r="I4214" s="7" t="str">
        <f>IF(AND(ISBLANK(D4214),ISBLANK(C4214)),"",((VLOOKUP(D4214,Cardápio!$A$2:$C$16,3,0))*E4214)+IF(B4214="iFood",F4214*0.27,(VLOOKUP(VENDAS!C4214,Bairros!$A$2:$B$90,2,0))))</f>
        <v/>
      </c>
      <c r="J4214" s="7" t="str">
        <f t="shared" si="265"/>
        <v/>
      </c>
      <c r="K4214" s="9">
        <f t="shared" ca="1" si="266"/>
        <v>45404.878290162036</v>
      </c>
      <c r="L4214" s="10">
        <f t="shared" ca="1" si="267"/>
        <v>45404.878290046297</v>
      </c>
    </row>
    <row r="4215" spans="6:12" x14ac:dyDescent="0.25">
      <c r="F4215" s="11" t="str">
        <f>IF(ISBLANK(D4215),"",(VLOOKUP(D4215,Cardápio!$A$2:$B$16,2,0))*E4215)</f>
        <v/>
      </c>
      <c r="H4215" s="7" t="str">
        <f t="shared" si="264"/>
        <v/>
      </c>
      <c r="I4215" s="7" t="str">
        <f>IF(AND(ISBLANK(D4215),ISBLANK(C4215)),"",((VLOOKUP(D4215,Cardápio!$A$2:$C$16,3,0))*E4215)+IF(B4215="iFood",F4215*0.27,(VLOOKUP(VENDAS!C4215,Bairros!$A$2:$B$90,2,0))))</f>
        <v/>
      </c>
      <c r="J4215" s="7" t="str">
        <f t="shared" si="265"/>
        <v/>
      </c>
      <c r="K4215" s="9">
        <f t="shared" ca="1" si="266"/>
        <v>45404.878290162036</v>
      </c>
      <c r="L4215" s="10">
        <f t="shared" ca="1" si="267"/>
        <v>45404.878290162036</v>
      </c>
    </row>
    <row r="4216" spans="6:12" x14ac:dyDescent="0.25">
      <c r="F4216" s="11" t="str">
        <f>IF(ISBLANK(D4216),"",(VLOOKUP(D4216,Cardápio!$A$2:$B$16,2,0))*E4216)</f>
        <v/>
      </c>
      <c r="H4216" s="7" t="str">
        <f t="shared" si="264"/>
        <v/>
      </c>
      <c r="I4216" s="7" t="str">
        <f>IF(AND(ISBLANK(D4216),ISBLANK(C4216)),"",((VLOOKUP(D4216,Cardápio!$A$2:$C$16,3,0))*E4216)+IF(B4216="iFood",F4216*0.27,(VLOOKUP(VENDAS!C4216,Bairros!$A$2:$B$90,2,0))))</f>
        <v/>
      </c>
      <c r="J4216" s="7" t="str">
        <f t="shared" si="265"/>
        <v/>
      </c>
      <c r="K4216" s="9">
        <f t="shared" ca="1" si="266"/>
        <v>45404.878290162036</v>
      </c>
      <c r="L4216" s="10">
        <f t="shared" ca="1" si="267"/>
        <v>45404.878290046297</v>
      </c>
    </row>
    <row r="4217" spans="6:12" x14ac:dyDescent="0.25">
      <c r="F4217" s="11" t="str">
        <f>IF(ISBLANK(D4217),"",(VLOOKUP(D4217,Cardápio!$A$2:$B$16,2,0))*E4217)</f>
        <v/>
      </c>
      <c r="H4217" s="7" t="str">
        <f t="shared" si="264"/>
        <v/>
      </c>
      <c r="I4217" s="7" t="str">
        <f>IF(AND(ISBLANK(D4217),ISBLANK(C4217)),"",((VLOOKUP(D4217,Cardápio!$A$2:$C$16,3,0))*E4217)+IF(B4217="iFood",F4217*0.27,(VLOOKUP(VENDAS!C4217,Bairros!$A$2:$B$90,2,0))))</f>
        <v/>
      </c>
      <c r="J4217" s="7" t="str">
        <f t="shared" si="265"/>
        <v/>
      </c>
      <c r="K4217" s="9">
        <f t="shared" ca="1" si="266"/>
        <v>45404.878290277775</v>
      </c>
      <c r="L4217" s="10">
        <f t="shared" ca="1" si="267"/>
        <v>45404.878290046297</v>
      </c>
    </row>
    <row r="4218" spans="6:12" x14ac:dyDescent="0.25">
      <c r="F4218" s="11" t="str">
        <f>IF(ISBLANK(D4218),"",(VLOOKUP(D4218,Cardápio!$A$2:$B$16,2,0))*E4218)</f>
        <v/>
      </c>
      <c r="H4218" s="7" t="str">
        <f t="shared" si="264"/>
        <v/>
      </c>
      <c r="I4218" s="7" t="str">
        <f>IF(AND(ISBLANK(D4218),ISBLANK(C4218)),"",((VLOOKUP(D4218,Cardápio!$A$2:$C$16,3,0))*E4218)+IF(B4218="iFood",F4218*0.27,(VLOOKUP(VENDAS!C4218,Bairros!$A$2:$B$90,2,0))))</f>
        <v/>
      </c>
      <c r="J4218" s="7" t="str">
        <f t="shared" si="265"/>
        <v/>
      </c>
      <c r="K4218" s="9">
        <f t="shared" ca="1" si="266"/>
        <v>45404.878290162036</v>
      </c>
      <c r="L4218" s="10">
        <f t="shared" ca="1" si="267"/>
        <v>45404.878290046297</v>
      </c>
    </row>
    <row r="4219" spans="6:12" x14ac:dyDescent="0.25">
      <c r="F4219" s="11" t="str">
        <f>IF(ISBLANK(D4219),"",(VLOOKUP(D4219,Cardápio!$A$2:$B$16,2,0))*E4219)</f>
        <v/>
      </c>
      <c r="H4219" s="7" t="str">
        <f t="shared" si="264"/>
        <v/>
      </c>
      <c r="I4219" s="7" t="str">
        <f>IF(AND(ISBLANK(D4219),ISBLANK(C4219)),"",((VLOOKUP(D4219,Cardápio!$A$2:$C$16,3,0))*E4219)+IF(B4219="iFood",F4219*0.27,(VLOOKUP(VENDAS!C4219,Bairros!$A$2:$B$90,2,0))))</f>
        <v/>
      </c>
      <c r="J4219" s="7" t="str">
        <f t="shared" si="265"/>
        <v/>
      </c>
      <c r="K4219" s="9">
        <f t="shared" ca="1" si="266"/>
        <v>45404.878290162036</v>
      </c>
      <c r="L4219" s="10">
        <f t="shared" ca="1" si="267"/>
        <v>45404.878290162036</v>
      </c>
    </row>
    <row r="4220" spans="6:12" x14ac:dyDescent="0.25">
      <c r="F4220" s="11" t="str">
        <f>IF(ISBLANK(D4220),"",(VLOOKUP(D4220,Cardápio!$A$2:$B$16,2,0))*E4220)</f>
        <v/>
      </c>
      <c r="H4220" s="7" t="str">
        <f t="shared" si="264"/>
        <v/>
      </c>
      <c r="I4220" s="7" t="str">
        <f>IF(AND(ISBLANK(D4220),ISBLANK(C4220)),"",((VLOOKUP(D4220,Cardápio!$A$2:$C$16,3,0))*E4220)+IF(B4220="iFood",F4220*0.27,(VLOOKUP(VENDAS!C4220,Bairros!$A$2:$B$90,2,0))))</f>
        <v/>
      </c>
      <c r="J4220" s="7" t="str">
        <f t="shared" si="265"/>
        <v/>
      </c>
      <c r="K4220" s="9">
        <f t="shared" ca="1" si="266"/>
        <v>45404.878290162036</v>
      </c>
      <c r="L4220" s="10">
        <f t="shared" ca="1" si="267"/>
        <v>45404.878290046297</v>
      </c>
    </row>
    <row r="4221" spans="6:12" x14ac:dyDescent="0.25">
      <c r="F4221" s="11" t="str">
        <f>IF(ISBLANK(D4221),"",(VLOOKUP(D4221,Cardápio!$A$2:$B$16,2,0))*E4221)</f>
        <v/>
      </c>
      <c r="H4221" s="7" t="str">
        <f t="shared" si="264"/>
        <v/>
      </c>
      <c r="I4221" s="7" t="str">
        <f>IF(AND(ISBLANK(D4221),ISBLANK(C4221)),"",((VLOOKUP(D4221,Cardápio!$A$2:$C$16,3,0))*E4221)+IF(B4221="iFood",F4221*0.27,(VLOOKUP(VENDAS!C4221,Bairros!$A$2:$B$90,2,0))))</f>
        <v/>
      </c>
      <c r="J4221" s="7" t="str">
        <f t="shared" si="265"/>
        <v/>
      </c>
      <c r="K4221" s="9">
        <f t="shared" ca="1" si="266"/>
        <v>45404.878290277775</v>
      </c>
      <c r="L4221" s="10">
        <f t="shared" ca="1" si="267"/>
        <v>45404.878290046297</v>
      </c>
    </row>
    <row r="4222" spans="6:12" x14ac:dyDescent="0.25">
      <c r="F4222" s="11" t="str">
        <f>IF(ISBLANK(D4222),"",(VLOOKUP(D4222,Cardápio!$A$2:$B$16,2,0))*E4222)</f>
        <v/>
      </c>
      <c r="H4222" s="7" t="str">
        <f t="shared" si="264"/>
        <v/>
      </c>
      <c r="I4222" s="7" t="str">
        <f>IF(AND(ISBLANK(D4222),ISBLANK(C4222)),"",((VLOOKUP(D4222,Cardápio!$A$2:$C$16,3,0))*E4222)+IF(B4222="iFood",F4222*0.27,(VLOOKUP(VENDAS!C4222,Bairros!$A$2:$B$90,2,0))))</f>
        <v/>
      </c>
      <c r="J4222" s="7" t="str">
        <f t="shared" si="265"/>
        <v/>
      </c>
      <c r="K4222" s="9">
        <f t="shared" ca="1" si="266"/>
        <v>45404.878290162036</v>
      </c>
      <c r="L4222" s="10">
        <f t="shared" ca="1" si="267"/>
        <v>45404.878290046297</v>
      </c>
    </row>
    <row r="4223" spans="6:12" x14ac:dyDescent="0.25">
      <c r="F4223" s="11" t="str">
        <f>IF(ISBLANK(D4223),"",(VLOOKUP(D4223,Cardápio!$A$2:$B$16,2,0))*E4223)</f>
        <v/>
      </c>
      <c r="H4223" s="7" t="str">
        <f t="shared" si="264"/>
        <v/>
      </c>
      <c r="I4223" s="7" t="str">
        <f>IF(AND(ISBLANK(D4223),ISBLANK(C4223)),"",((VLOOKUP(D4223,Cardápio!$A$2:$C$16,3,0))*E4223)+IF(B4223="iFood",F4223*0.27,(VLOOKUP(VENDAS!C4223,Bairros!$A$2:$B$90,2,0))))</f>
        <v/>
      </c>
      <c r="J4223" s="7" t="str">
        <f t="shared" si="265"/>
        <v/>
      </c>
      <c r="K4223" s="9">
        <f t="shared" ca="1" si="266"/>
        <v>45404.878290162036</v>
      </c>
      <c r="L4223" s="10">
        <f t="shared" ca="1" si="267"/>
        <v>45404.878290162036</v>
      </c>
    </row>
    <row r="4224" spans="6:12" x14ac:dyDescent="0.25">
      <c r="F4224" s="11" t="str">
        <f>IF(ISBLANK(D4224),"",(VLOOKUP(D4224,Cardápio!$A$2:$B$16,2,0))*E4224)</f>
        <v/>
      </c>
      <c r="H4224" s="7" t="str">
        <f t="shared" si="264"/>
        <v/>
      </c>
      <c r="I4224" s="7" t="str">
        <f>IF(AND(ISBLANK(D4224),ISBLANK(C4224)),"",((VLOOKUP(D4224,Cardápio!$A$2:$C$16,3,0))*E4224)+IF(B4224="iFood",F4224*0.27,(VLOOKUP(VENDAS!C4224,Bairros!$A$2:$B$90,2,0))))</f>
        <v/>
      </c>
      <c r="J4224" s="7" t="str">
        <f t="shared" si="265"/>
        <v/>
      </c>
      <c r="K4224" s="9">
        <f t="shared" ca="1" si="266"/>
        <v>45404.878290162036</v>
      </c>
      <c r="L4224" s="10">
        <f t="shared" ca="1" si="267"/>
        <v>45404.878290046297</v>
      </c>
    </row>
    <row r="4225" spans="6:12" x14ac:dyDescent="0.25">
      <c r="F4225" s="11" t="str">
        <f>IF(ISBLANK(D4225),"",(VLOOKUP(D4225,Cardápio!$A$2:$B$16,2,0))*E4225)</f>
        <v/>
      </c>
      <c r="H4225" s="7" t="str">
        <f t="shared" si="264"/>
        <v/>
      </c>
      <c r="I4225" s="7" t="str">
        <f>IF(AND(ISBLANK(D4225),ISBLANK(C4225)),"",((VLOOKUP(D4225,Cardápio!$A$2:$C$16,3,0))*E4225)+IF(B4225="iFood",F4225*0.27,(VLOOKUP(VENDAS!C4225,Bairros!$A$2:$B$90,2,0))))</f>
        <v/>
      </c>
      <c r="J4225" s="7" t="str">
        <f t="shared" si="265"/>
        <v/>
      </c>
      <c r="K4225" s="9">
        <f t="shared" ca="1" si="266"/>
        <v>45404.878290277775</v>
      </c>
      <c r="L4225" s="10">
        <f t="shared" ca="1" si="267"/>
        <v>45404.878290046297</v>
      </c>
    </row>
    <row r="4226" spans="6:12" x14ac:dyDescent="0.25">
      <c r="F4226" s="11" t="str">
        <f>IF(ISBLANK(D4226),"",(VLOOKUP(D4226,Cardápio!$A$2:$B$16,2,0))*E4226)</f>
        <v/>
      </c>
      <c r="H4226" s="7" t="str">
        <f t="shared" si="264"/>
        <v/>
      </c>
      <c r="I4226" s="7" t="str">
        <f>IF(AND(ISBLANK(D4226),ISBLANK(C4226)),"",((VLOOKUP(D4226,Cardápio!$A$2:$C$16,3,0))*E4226)+IF(B4226="iFood",F4226*0.27,(VLOOKUP(VENDAS!C4226,Bairros!$A$2:$B$90,2,0))))</f>
        <v/>
      </c>
      <c r="J4226" s="7" t="str">
        <f t="shared" si="265"/>
        <v/>
      </c>
      <c r="K4226" s="9">
        <f t="shared" ca="1" si="266"/>
        <v>45404.878290162036</v>
      </c>
      <c r="L4226" s="10">
        <f t="shared" ca="1" si="267"/>
        <v>45404.878290046297</v>
      </c>
    </row>
    <row r="4227" spans="6:12" x14ac:dyDescent="0.25">
      <c r="F4227" s="11" t="str">
        <f>IF(ISBLANK(D4227),"",(VLOOKUP(D4227,Cardápio!$A$2:$B$16,2,0))*E4227)</f>
        <v/>
      </c>
      <c r="H4227" s="7" t="str">
        <f t="shared" si="264"/>
        <v/>
      </c>
      <c r="I4227" s="7" t="str">
        <f>IF(AND(ISBLANK(D4227),ISBLANK(C4227)),"",((VLOOKUP(D4227,Cardápio!$A$2:$C$16,3,0))*E4227)+IF(B4227="iFood",F4227*0.27,(VLOOKUP(VENDAS!C4227,Bairros!$A$2:$B$90,2,0))))</f>
        <v/>
      </c>
      <c r="J4227" s="7" t="str">
        <f t="shared" si="265"/>
        <v/>
      </c>
      <c r="K4227" s="9">
        <f t="shared" ca="1" si="266"/>
        <v>45404.878290162036</v>
      </c>
      <c r="L4227" s="10">
        <f t="shared" ca="1" si="267"/>
        <v>45404.878290162036</v>
      </c>
    </row>
    <row r="4228" spans="6:12" x14ac:dyDescent="0.25">
      <c r="F4228" s="11" t="str">
        <f>IF(ISBLANK(D4228),"",(VLOOKUP(D4228,Cardápio!$A$2:$B$16,2,0))*E4228)</f>
        <v/>
      </c>
      <c r="H4228" s="7" t="str">
        <f t="shared" si="264"/>
        <v/>
      </c>
      <c r="I4228" s="7" t="str">
        <f>IF(AND(ISBLANK(D4228),ISBLANK(C4228)),"",((VLOOKUP(D4228,Cardápio!$A$2:$C$16,3,0))*E4228)+IF(B4228="iFood",F4228*0.27,(VLOOKUP(VENDAS!C4228,Bairros!$A$2:$B$90,2,0))))</f>
        <v/>
      </c>
      <c r="J4228" s="7" t="str">
        <f t="shared" si="265"/>
        <v/>
      </c>
      <c r="K4228" s="9">
        <f t="shared" ca="1" si="266"/>
        <v>45404.878290162036</v>
      </c>
      <c r="L4228" s="10">
        <f t="shared" ca="1" si="267"/>
        <v>45404.878290046297</v>
      </c>
    </row>
    <row r="4229" spans="6:12" x14ac:dyDescent="0.25">
      <c r="F4229" s="11" t="str">
        <f>IF(ISBLANK(D4229),"",(VLOOKUP(D4229,Cardápio!$A$2:$B$16,2,0))*E4229)</f>
        <v/>
      </c>
      <c r="H4229" s="7" t="str">
        <f t="shared" si="264"/>
        <v/>
      </c>
      <c r="I4229" s="7" t="str">
        <f>IF(AND(ISBLANK(D4229),ISBLANK(C4229)),"",((VLOOKUP(D4229,Cardápio!$A$2:$C$16,3,0))*E4229)+IF(B4229="iFood",F4229*0.27,(VLOOKUP(VENDAS!C4229,Bairros!$A$2:$B$90,2,0))))</f>
        <v/>
      </c>
      <c r="J4229" s="7" t="str">
        <f t="shared" si="265"/>
        <v/>
      </c>
      <c r="K4229" s="9">
        <f t="shared" ca="1" si="266"/>
        <v>45404.878290277775</v>
      </c>
      <c r="L4229" s="10">
        <f t="shared" ca="1" si="267"/>
        <v>45404.878290046297</v>
      </c>
    </row>
    <row r="4230" spans="6:12" x14ac:dyDescent="0.25">
      <c r="F4230" s="11" t="str">
        <f>IF(ISBLANK(D4230),"",(VLOOKUP(D4230,Cardápio!$A$2:$B$16,2,0))*E4230)</f>
        <v/>
      </c>
      <c r="H4230" s="7" t="str">
        <f t="shared" si="264"/>
        <v/>
      </c>
      <c r="I4230" s="7" t="str">
        <f>IF(AND(ISBLANK(D4230),ISBLANK(C4230)),"",((VLOOKUP(D4230,Cardápio!$A$2:$C$16,3,0))*E4230)+IF(B4230="iFood",F4230*0.27,(VLOOKUP(VENDAS!C4230,Bairros!$A$2:$B$90,2,0))))</f>
        <v/>
      </c>
      <c r="J4230" s="7" t="str">
        <f t="shared" si="265"/>
        <v/>
      </c>
      <c r="K4230" s="9">
        <f t="shared" ca="1" si="266"/>
        <v>45404.878290162036</v>
      </c>
      <c r="L4230" s="10">
        <f t="shared" ca="1" si="267"/>
        <v>45404.878290046297</v>
      </c>
    </row>
    <row r="4231" spans="6:12" x14ac:dyDescent="0.25">
      <c r="F4231" s="11" t="str">
        <f>IF(ISBLANK(D4231),"",(VLOOKUP(D4231,Cardápio!$A$2:$B$16,2,0))*E4231)</f>
        <v/>
      </c>
      <c r="H4231" s="7" t="str">
        <f t="shared" si="264"/>
        <v/>
      </c>
      <c r="I4231" s="7" t="str">
        <f>IF(AND(ISBLANK(D4231),ISBLANK(C4231)),"",((VLOOKUP(D4231,Cardápio!$A$2:$C$16,3,0))*E4231)+IF(B4231="iFood",F4231*0.27,(VLOOKUP(VENDAS!C4231,Bairros!$A$2:$B$90,2,0))))</f>
        <v/>
      </c>
      <c r="J4231" s="7" t="str">
        <f t="shared" si="265"/>
        <v/>
      </c>
      <c r="K4231" s="9">
        <f t="shared" ca="1" si="266"/>
        <v>45404.878290162036</v>
      </c>
      <c r="L4231" s="10">
        <f t="shared" ca="1" si="267"/>
        <v>45404.878290162036</v>
      </c>
    </row>
    <row r="4232" spans="6:12" x14ac:dyDescent="0.25">
      <c r="F4232" s="11" t="str">
        <f>IF(ISBLANK(D4232),"",(VLOOKUP(D4232,Cardápio!$A$2:$B$16,2,0))*E4232)</f>
        <v/>
      </c>
      <c r="H4232" s="7" t="str">
        <f t="shared" si="264"/>
        <v/>
      </c>
      <c r="I4232" s="7" t="str">
        <f>IF(AND(ISBLANK(D4232),ISBLANK(C4232)),"",((VLOOKUP(D4232,Cardápio!$A$2:$C$16,3,0))*E4232)+IF(B4232="iFood",F4232*0.27,(VLOOKUP(VENDAS!C4232,Bairros!$A$2:$B$90,2,0))))</f>
        <v/>
      </c>
      <c r="J4232" s="7" t="str">
        <f t="shared" si="265"/>
        <v/>
      </c>
      <c r="K4232" s="9">
        <f t="shared" ca="1" si="266"/>
        <v>45404.878290162036</v>
      </c>
      <c r="L4232" s="10">
        <f t="shared" ca="1" si="267"/>
        <v>45404.878290046297</v>
      </c>
    </row>
    <row r="4233" spans="6:12" x14ac:dyDescent="0.25">
      <c r="F4233" s="11" t="str">
        <f>IF(ISBLANK(D4233),"",(VLOOKUP(D4233,Cardápio!$A$2:$B$16,2,0))*E4233)</f>
        <v/>
      </c>
      <c r="H4233" s="7" t="str">
        <f t="shared" si="264"/>
        <v/>
      </c>
      <c r="I4233" s="7" t="str">
        <f>IF(AND(ISBLANK(D4233),ISBLANK(C4233)),"",((VLOOKUP(D4233,Cardápio!$A$2:$C$16,3,0))*E4233)+IF(B4233="iFood",F4233*0.27,(VLOOKUP(VENDAS!C4233,Bairros!$A$2:$B$90,2,0))))</f>
        <v/>
      </c>
      <c r="J4233" s="7" t="str">
        <f t="shared" si="265"/>
        <v/>
      </c>
      <c r="K4233" s="9">
        <f t="shared" ca="1" si="266"/>
        <v>45404.878290277775</v>
      </c>
      <c r="L4233" s="10">
        <f t="shared" ca="1" si="267"/>
        <v>45404.878290046297</v>
      </c>
    </row>
    <row r="4234" spans="6:12" x14ac:dyDescent="0.25">
      <c r="F4234" s="11" t="str">
        <f>IF(ISBLANK(D4234),"",(VLOOKUP(D4234,Cardápio!$A$2:$B$16,2,0))*E4234)</f>
        <v/>
      </c>
      <c r="H4234" s="7" t="str">
        <f t="shared" si="264"/>
        <v/>
      </c>
      <c r="I4234" s="7" t="str">
        <f>IF(AND(ISBLANK(D4234),ISBLANK(C4234)),"",((VLOOKUP(D4234,Cardápio!$A$2:$C$16,3,0))*E4234)+IF(B4234="iFood",F4234*0.27,(VLOOKUP(VENDAS!C4234,Bairros!$A$2:$B$90,2,0))))</f>
        <v/>
      </c>
      <c r="J4234" s="7" t="str">
        <f t="shared" si="265"/>
        <v/>
      </c>
      <c r="K4234" s="9">
        <f t="shared" ca="1" si="266"/>
        <v>45404.878290162036</v>
      </c>
      <c r="L4234" s="10">
        <f t="shared" ca="1" si="267"/>
        <v>45404.878290046297</v>
      </c>
    </row>
    <row r="4235" spans="6:12" x14ac:dyDescent="0.25">
      <c r="F4235" s="11" t="str">
        <f>IF(ISBLANK(D4235),"",(VLOOKUP(D4235,Cardápio!$A$2:$B$16,2,0))*E4235)</f>
        <v/>
      </c>
      <c r="H4235" s="7" t="str">
        <f t="shared" si="264"/>
        <v/>
      </c>
      <c r="I4235" s="7" t="str">
        <f>IF(AND(ISBLANK(D4235),ISBLANK(C4235)),"",((VLOOKUP(D4235,Cardápio!$A$2:$C$16,3,0))*E4235)+IF(B4235="iFood",F4235*0.27,(VLOOKUP(VENDAS!C4235,Bairros!$A$2:$B$90,2,0))))</f>
        <v/>
      </c>
      <c r="J4235" s="7" t="str">
        <f t="shared" si="265"/>
        <v/>
      </c>
      <c r="K4235" s="9">
        <f t="shared" ca="1" si="266"/>
        <v>45404.878290162036</v>
      </c>
      <c r="L4235" s="10">
        <f t="shared" ca="1" si="267"/>
        <v>45404.878290162036</v>
      </c>
    </row>
    <row r="4236" spans="6:12" x14ac:dyDescent="0.25">
      <c r="F4236" s="11" t="str">
        <f>IF(ISBLANK(D4236),"",(VLOOKUP(D4236,Cardápio!$A$2:$B$16,2,0))*E4236)</f>
        <v/>
      </c>
      <c r="H4236" s="7" t="str">
        <f t="shared" si="264"/>
        <v/>
      </c>
      <c r="I4236" s="7" t="str">
        <f>IF(AND(ISBLANK(D4236),ISBLANK(C4236)),"",((VLOOKUP(D4236,Cardápio!$A$2:$C$16,3,0))*E4236)+IF(B4236="iFood",F4236*0.27,(VLOOKUP(VENDAS!C4236,Bairros!$A$2:$B$90,2,0))))</f>
        <v/>
      </c>
      <c r="J4236" s="7" t="str">
        <f t="shared" si="265"/>
        <v/>
      </c>
      <c r="K4236" s="9">
        <f t="shared" ca="1" si="266"/>
        <v>45404.878290162036</v>
      </c>
      <c r="L4236" s="10">
        <f t="shared" ca="1" si="267"/>
        <v>45404.878290046297</v>
      </c>
    </row>
    <row r="4237" spans="6:12" x14ac:dyDescent="0.25">
      <c r="F4237" s="11" t="str">
        <f>IF(ISBLANK(D4237),"",(VLOOKUP(D4237,Cardápio!$A$2:$B$16,2,0))*E4237)</f>
        <v/>
      </c>
      <c r="H4237" s="7" t="str">
        <f t="shared" si="264"/>
        <v/>
      </c>
      <c r="I4237" s="7" t="str">
        <f>IF(AND(ISBLANK(D4237),ISBLANK(C4237)),"",((VLOOKUP(D4237,Cardápio!$A$2:$C$16,3,0))*E4237)+IF(B4237="iFood",F4237*0.27,(VLOOKUP(VENDAS!C4237,Bairros!$A$2:$B$90,2,0))))</f>
        <v/>
      </c>
      <c r="J4237" s="7" t="str">
        <f t="shared" si="265"/>
        <v/>
      </c>
      <c r="K4237" s="9">
        <f t="shared" ca="1" si="266"/>
        <v>45404.878290277775</v>
      </c>
      <c r="L4237" s="10">
        <f t="shared" ca="1" si="267"/>
        <v>45404.878290046297</v>
      </c>
    </row>
    <row r="4238" spans="6:12" x14ac:dyDescent="0.25">
      <c r="F4238" s="11" t="str">
        <f>IF(ISBLANK(D4238),"",(VLOOKUP(D4238,Cardápio!$A$2:$B$16,2,0))*E4238)</f>
        <v/>
      </c>
      <c r="H4238" s="7" t="str">
        <f t="shared" si="264"/>
        <v/>
      </c>
      <c r="I4238" s="7" t="str">
        <f>IF(AND(ISBLANK(D4238),ISBLANK(C4238)),"",((VLOOKUP(D4238,Cardápio!$A$2:$C$16,3,0))*E4238)+IF(B4238="iFood",F4238*0.27,(VLOOKUP(VENDAS!C4238,Bairros!$A$2:$B$90,2,0))))</f>
        <v/>
      </c>
      <c r="J4238" s="7" t="str">
        <f t="shared" si="265"/>
        <v/>
      </c>
      <c r="K4238" s="9">
        <f t="shared" ca="1" si="266"/>
        <v>45404.878290162036</v>
      </c>
      <c r="L4238" s="10">
        <f t="shared" ca="1" si="267"/>
        <v>45404.878290046297</v>
      </c>
    </row>
    <row r="4239" spans="6:12" x14ac:dyDescent="0.25">
      <c r="F4239" s="11" t="str">
        <f>IF(ISBLANK(D4239),"",(VLOOKUP(D4239,Cardápio!$A$2:$B$16,2,0))*E4239)</f>
        <v/>
      </c>
      <c r="H4239" s="7" t="str">
        <f t="shared" si="264"/>
        <v/>
      </c>
      <c r="I4239" s="7" t="str">
        <f>IF(AND(ISBLANK(D4239),ISBLANK(C4239)),"",((VLOOKUP(D4239,Cardápio!$A$2:$C$16,3,0))*E4239)+IF(B4239="iFood",F4239*0.27,(VLOOKUP(VENDAS!C4239,Bairros!$A$2:$B$90,2,0))))</f>
        <v/>
      </c>
      <c r="J4239" s="7" t="str">
        <f t="shared" si="265"/>
        <v/>
      </c>
      <c r="K4239" s="9">
        <f t="shared" ca="1" si="266"/>
        <v>45404.878290162036</v>
      </c>
      <c r="L4239" s="10">
        <f t="shared" ca="1" si="267"/>
        <v>45404.878290162036</v>
      </c>
    </row>
    <row r="4240" spans="6:12" x14ac:dyDescent="0.25">
      <c r="F4240" s="11" t="str">
        <f>IF(ISBLANK(D4240),"",(VLOOKUP(D4240,Cardápio!$A$2:$B$16,2,0))*E4240)</f>
        <v/>
      </c>
      <c r="H4240" s="7" t="str">
        <f t="shared" si="264"/>
        <v/>
      </c>
      <c r="I4240" s="7" t="str">
        <f>IF(AND(ISBLANK(D4240),ISBLANK(C4240)),"",((VLOOKUP(D4240,Cardápio!$A$2:$C$16,3,0))*E4240)+IF(B4240="iFood",F4240*0.27,(VLOOKUP(VENDAS!C4240,Bairros!$A$2:$B$90,2,0))))</f>
        <v/>
      </c>
      <c r="J4240" s="7" t="str">
        <f t="shared" si="265"/>
        <v/>
      </c>
      <c r="K4240" s="9">
        <f t="shared" ca="1" si="266"/>
        <v>45404.878290162036</v>
      </c>
      <c r="L4240" s="10">
        <f t="shared" ca="1" si="267"/>
        <v>45404.878290046297</v>
      </c>
    </row>
    <row r="4241" spans="6:12" x14ac:dyDescent="0.25">
      <c r="F4241" s="11" t="str">
        <f>IF(ISBLANK(D4241),"",(VLOOKUP(D4241,Cardápio!$A$2:$B$16,2,0))*E4241)</f>
        <v/>
      </c>
      <c r="H4241" s="7" t="str">
        <f t="shared" si="264"/>
        <v/>
      </c>
      <c r="I4241" s="7" t="str">
        <f>IF(AND(ISBLANK(D4241),ISBLANK(C4241)),"",((VLOOKUP(D4241,Cardápio!$A$2:$C$16,3,0))*E4241)+IF(B4241="iFood",F4241*0.27,(VLOOKUP(VENDAS!C4241,Bairros!$A$2:$B$90,2,0))))</f>
        <v/>
      </c>
      <c r="J4241" s="7" t="str">
        <f t="shared" si="265"/>
        <v/>
      </c>
      <c r="K4241" s="9">
        <f t="shared" ca="1" si="266"/>
        <v>45404.878290277775</v>
      </c>
      <c r="L4241" s="10">
        <f t="shared" ca="1" si="267"/>
        <v>45404.878290046297</v>
      </c>
    </row>
    <row r="4242" spans="6:12" x14ac:dyDescent="0.25">
      <c r="F4242" s="11" t="str">
        <f>IF(ISBLANK(D4242),"",(VLOOKUP(D4242,Cardápio!$A$2:$B$16,2,0))*E4242)</f>
        <v/>
      </c>
      <c r="H4242" s="7" t="str">
        <f t="shared" si="264"/>
        <v/>
      </c>
      <c r="I4242" s="7" t="str">
        <f>IF(AND(ISBLANK(D4242),ISBLANK(C4242)),"",((VLOOKUP(D4242,Cardápio!$A$2:$C$16,3,0))*E4242)+IF(B4242="iFood",F4242*0.27,(VLOOKUP(VENDAS!C4242,Bairros!$A$2:$B$90,2,0))))</f>
        <v/>
      </c>
      <c r="J4242" s="7" t="str">
        <f t="shared" si="265"/>
        <v/>
      </c>
      <c r="K4242" s="9">
        <f t="shared" ca="1" si="266"/>
        <v>45404.878290162036</v>
      </c>
      <c r="L4242" s="10">
        <f t="shared" ca="1" si="267"/>
        <v>45404.878290046297</v>
      </c>
    </row>
    <row r="4243" spans="6:12" x14ac:dyDescent="0.25">
      <c r="F4243" s="11" t="str">
        <f>IF(ISBLANK(D4243),"",(VLOOKUP(D4243,Cardápio!$A$2:$B$16,2,0))*E4243)</f>
        <v/>
      </c>
      <c r="H4243" s="7" t="str">
        <f t="shared" si="264"/>
        <v/>
      </c>
      <c r="I4243" s="7" t="str">
        <f>IF(AND(ISBLANK(D4243),ISBLANK(C4243)),"",((VLOOKUP(D4243,Cardápio!$A$2:$C$16,3,0))*E4243)+IF(B4243="iFood",F4243*0.27,(VLOOKUP(VENDAS!C4243,Bairros!$A$2:$B$90,2,0))))</f>
        <v/>
      </c>
      <c r="J4243" s="7" t="str">
        <f t="shared" si="265"/>
        <v/>
      </c>
      <c r="K4243" s="9">
        <f t="shared" ca="1" si="266"/>
        <v>45404.878290162036</v>
      </c>
      <c r="L4243" s="10">
        <f t="shared" ca="1" si="267"/>
        <v>45404.878290162036</v>
      </c>
    </row>
    <row r="4244" spans="6:12" x14ac:dyDescent="0.25">
      <c r="F4244" s="11" t="str">
        <f>IF(ISBLANK(D4244),"",(VLOOKUP(D4244,Cardápio!$A$2:$B$16,2,0))*E4244)</f>
        <v/>
      </c>
      <c r="H4244" s="7" t="str">
        <f t="shared" si="264"/>
        <v/>
      </c>
      <c r="I4244" s="7" t="str">
        <f>IF(AND(ISBLANK(D4244),ISBLANK(C4244)),"",((VLOOKUP(D4244,Cardápio!$A$2:$C$16,3,0))*E4244)+IF(B4244="iFood",F4244*0.27,(VLOOKUP(VENDAS!C4244,Bairros!$A$2:$B$90,2,0))))</f>
        <v/>
      </c>
      <c r="J4244" s="7" t="str">
        <f t="shared" si="265"/>
        <v/>
      </c>
      <c r="K4244" s="9">
        <f t="shared" ca="1" si="266"/>
        <v>45404.878290162036</v>
      </c>
      <c r="L4244" s="10">
        <f t="shared" ca="1" si="267"/>
        <v>45404.878290046297</v>
      </c>
    </row>
    <row r="4245" spans="6:12" x14ac:dyDescent="0.25">
      <c r="F4245" s="11" t="str">
        <f>IF(ISBLANK(D4245),"",(VLOOKUP(D4245,Cardápio!$A$2:$B$16,2,0))*E4245)</f>
        <v/>
      </c>
      <c r="H4245" s="7" t="str">
        <f t="shared" si="264"/>
        <v/>
      </c>
      <c r="I4245" s="7" t="str">
        <f>IF(AND(ISBLANK(D4245),ISBLANK(C4245)),"",((VLOOKUP(D4245,Cardápio!$A$2:$C$16,3,0))*E4245)+IF(B4245="iFood",F4245*0.27,(VLOOKUP(VENDAS!C4245,Bairros!$A$2:$B$90,2,0))))</f>
        <v/>
      </c>
      <c r="J4245" s="7" t="str">
        <f t="shared" si="265"/>
        <v/>
      </c>
      <c r="K4245" s="9">
        <f t="shared" ca="1" si="266"/>
        <v>45404.878290277775</v>
      </c>
      <c r="L4245" s="10">
        <f t="shared" ca="1" si="267"/>
        <v>45404.878290046297</v>
      </c>
    </row>
    <row r="4246" spans="6:12" x14ac:dyDescent="0.25">
      <c r="F4246" s="11" t="str">
        <f>IF(ISBLANK(D4246),"",(VLOOKUP(D4246,Cardápio!$A$2:$B$16,2,0))*E4246)</f>
        <v/>
      </c>
      <c r="H4246" s="7" t="str">
        <f t="shared" si="264"/>
        <v/>
      </c>
      <c r="I4246" s="7" t="str">
        <f>IF(AND(ISBLANK(D4246),ISBLANK(C4246)),"",((VLOOKUP(D4246,Cardápio!$A$2:$C$16,3,0))*E4246)+IF(B4246="iFood",F4246*0.27,(VLOOKUP(VENDAS!C4246,Bairros!$A$2:$B$90,2,0))))</f>
        <v/>
      </c>
      <c r="J4246" s="7" t="str">
        <f t="shared" si="265"/>
        <v/>
      </c>
      <c r="K4246" s="9">
        <f t="shared" ca="1" si="266"/>
        <v>45404.878290162036</v>
      </c>
      <c r="L4246" s="10">
        <f t="shared" ca="1" si="267"/>
        <v>45404.878290046297</v>
      </c>
    </row>
    <row r="4247" spans="6:12" x14ac:dyDescent="0.25">
      <c r="F4247" s="11" t="str">
        <f>IF(ISBLANK(D4247),"",(VLOOKUP(D4247,Cardápio!$A$2:$B$16,2,0))*E4247)</f>
        <v/>
      </c>
      <c r="H4247" s="7" t="str">
        <f t="shared" si="264"/>
        <v/>
      </c>
      <c r="I4247" s="7" t="str">
        <f>IF(AND(ISBLANK(D4247),ISBLANK(C4247)),"",((VLOOKUP(D4247,Cardápio!$A$2:$C$16,3,0))*E4247)+IF(B4247="iFood",F4247*0.27,(VLOOKUP(VENDAS!C4247,Bairros!$A$2:$B$90,2,0))))</f>
        <v/>
      </c>
      <c r="J4247" s="7" t="str">
        <f t="shared" si="265"/>
        <v/>
      </c>
      <c r="K4247" s="9">
        <f t="shared" ca="1" si="266"/>
        <v>45404.878290162036</v>
      </c>
      <c r="L4247" s="10">
        <f t="shared" ca="1" si="267"/>
        <v>45404.878290162036</v>
      </c>
    </row>
    <row r="4248" spans="6:12" x14ac:dyDescent="0.25">
      <c r="F4248" s="11" t="str">
        <f>IF(ISBLANK(D4248),"",(VLOOKUP(D4248,Cardápio!$A$2:$B$16,2,0))*E4248)</f>
        <v/>
      </c>
      <c r="H4248" s="7" t="str">
        <f t="shared" si="264"/>
        <v/>
      </c>
      <c r="I4248" s="7" t="str">
        <f>IF(AND(ISBLANK(D4248),ISBLANK(C4248)),"",((VLOOKUP(D4248,Cardápio!$A$2:$C$16,3,0))*E4248)+IF(B4248="iFood",F4248*0.27,(VLOOKUP(VENDAS!C4248,Bairros!$A$2:$B$90,2,0))))</f>
        <v/>
      </c>
      <c r="J4248" s="7" t="str">
        <f t="shared" si="265"/>
        <v/>
      </c>
      <c r="K4248" s="9">
        <f t="shared" ca="1" si="266"/>
        <v>45404.878290162036</v>
      </c>
      <c r="L4248" s="10">
        <f t="shared" ca="1" si="267"/>
        <v>45404.878290046297</v>
      </c>
    </row>
    <row r="4249" spans="6:12" x14ac:dyDescent="0.25">
      <c r="F4249" s="11" t="str">
        <f>IF(ISBLANK(D4249),"",(VLOOKUP(D4249,Cardápio!$A$2:$B$16,2,0))*E4249)</f>
        <v/>
      </c>
      <c r="H4249" s="7" t="str">
        <f t="shared" si="264"/>
        <v/>
      </c>
      <c r="I4249" s="7" t="str">
        <f>IF(AND(ISBLANK(D4249),ISBLANK(C4249)),"",((VLOOKUP(D4249,Cardápio!$A$2:$C$16,3,0))*E4249)+IF(B4249="iFood",F4249*0.27,(VLOOKUP(VENDAS!C4249,Bairros!$A$2:$B$90,2,0))))</f>
        <v/>
      </c>
      <c r="J4249" s="7" t="str">
        <f t="shared" si="265"/>
        <v/>
      </c>
      <c r="K4249" s="9">
        <f t="shared" ca="1" si="266"/>
        <v>45404.878290277775</v>
      </c>
      <c r="L4249" s="10">
        <f t="shared" ca="1" si="267"/>
        <v>45404.878290046297</v>
      </c>
    </row>
    <row r="4250" spans="6:12" x14ac:dyDescent="0.25">
      <c r="F4250" s="11" t="str">
        <f>IF(ISBLANK(D4250),"",(VLOOKUP(D4250,Cardápio!$A$2:$B$16,2,0))*E4250)</f>
        <v/>
      </c>
      <c r="H4250" s="7" t="str">
        <f t="shared" si="264"/>
        <v/>
      </c>
      <c r="I4250" s="7" t="str">
        <f>IF(AND(ISBLANK(D4250),ISBLANK(C4250)),"",((VLOOKUP(D4250,Cardápio!$A$2:$C$16,3,0))*E4250)+IF(B4250="iFood",F4250*0.27,(VLOOKUP(VENDAS!C4250,Bairros!$A$2:$B$90,2,0))))</f>
        <v/>
      </c>
      <c r="J4250" s="7" t="str">
        <f t="shared" si="265"/>
        <v/>
      </c>
      <c r="K4250" s="9">
        <f t="shared" ca="1" si="266"/>
        <v>45404.878290162036</v>
      </c>
      <c r="L4250" s="10">
        <f t="shared" ca="1" si="267"/>
        <v>45404.878290046297</v>
      </c>
    </row>
    <row r="4251" spans="6:12" x14ac:dyDescent="0.25">
      <c r="F4251" s="11" t="str">
        <f>IF(ISBLANK(D4251),"",(VLOOKUP(D4251,Cardápio!$A$2:$B$16,2,0))*E4251)</f>
        <v/>
      </c>
      <c r="H4251" s="7" t="str">
        <f t="shared" si="264"/>
        <v/>
      </c>
      <c r="I4251" s="7" t="str">
        <f>IF(AND(ISBLANK(D4251),ISBLANK(C4251)),"",((VLOOKUP(D4251,Cardápio!$A$2:$C$16,3,0))*E4251)+IF(B4251="iFood",F4251*0.27,(VLOOKUP(VENDAS!C4251,Bairros!$A$2:$B$90,2,0))))</f>
        <v/>
      </c>
      <c r="J4251" s="7" t="str">
        <f t="shared" si="265"/>
        <v/>
      </c>
      <c r="K4251" s="9">
        <f t="shared" ca="1" si="266"/>
        <v>45404.878290162036</v>
      </c>
      <c r="L4251" s="10">
        <f t="shared" ca="1" si="267"/>
        <v>45404.878290162036</v>
      </c>
    </row>
    <row r="4252" spans="6:12" x14ac:dyDescent="0.25">
      <c r="F4252" s="11" t="str">
        <f>IF(ISBLANK(D4252),"",(VLOOKUP(D4252,Cardápio!$A$2:$B$16,2,0))*E4252)</f>
        <v/>
      </c>
      <c r="H4252" s="7" t="str">
        <f t="shared" si="264"/>
        <v/>
      </c>
      <c r="I4252" s="7" t="str">
        <f>IF(AND(ISBLANK(D4252),ISBLANK(C4252)),"",((VLOOKUP(D4252,Cardápio!$A$2:$C$16,3,0))*E4252)+IF(B4252="iFood",F4252*0.27,(VLOOKUP(VENDAS!C4252,Bairros!$A$2:$B$90,2,0))))</f>
        <v/>
      </c>
      <c r="J4252" s="7" t="str">
        <f t="shared" si="265"/>
        <v/>
      </c>
      <c r="K4252" s="9">
        <f t="shared" ca="1" si="266"/>
        <v>45404.878290162036</v>
      </c>
      <c r="L4252" s="10">
        <f t="shared" ca="1" si="267"/>
        <v>45404.878290046297</v>
      </c>
    </row>
    <row r="4253" spans="6:12" x14ac:dyDescent="0.25">
      <c r="F4253" s="11" t="str">
        <f>IF(ISBLANK(D4253),"",(VLOOKUP(D4253,Cardápio!$A$2:$B$16,2,0))*E4253)</f>
        <v/>
      </c>
      <c r="H4253" s="7" t="str">
        <f t="shared" si="264"/>
        <v/>
      </c>
      <c r="I4253" s="7" t="str">
        <f>IF(AND(ISBLANK(D4253),ISBLANK(C4253)),"",((VLOOKUP(D4253,Cardápio!$A$2:$C$16,3,0))*E4253)+IF(B4253="iFood",F4253*0.27,(VLOOKUP(VENDAS!C4253,Bairros!$A$2:$B$90,2,0))))</f>
        <v/>
      </c>
      <c r="J4253" s="7" t="str">
        <f t="shared" si="265"/>
        <v/>
      </c>
      <c r="K4253" s="9">
        <f t="shared" ca="1" si="266"/>
        <v>45404.878290277775</v>
      </c>
      <c r="L4253" s="10">
        <f t="shared" ca="1" si="267"/>
        <v>45404.878290046297</v>
      </c>
    </row>
    <row r="4254" spans="6:12" x14ac:dyDescent="0.25">
      <c r="F4254" s="11" t="str">
        <f>IF(ISBLANK(D4254),"",(VLOOKUP(D4254,Cardápio!$A$2:$B$16,2,0))*E4254)</f>
        <v/>
      </c>
      <c r="H4254" s="7" t="str">
        <f t="shared" si="264"/>
        <v/>
      </c>
      <c r="I4254" s="7" t="str">
        <f>IF(AND(ISBLANK(D4254),ISBLANK(C4254)),"",((VLOOKUP(D4254,Cardápio!$A$2:$C$16,3,0))*E4254)+IF(B4254="iFood",F4254*0.27,(VLOOKUP(VENDAS!C4254,Bairros!$A$2:$B$90,2,0))))</f>
        <v/>
      </c>
      <c r="J4254" s="7" t="str">
        <f t="shared" si="265"/>
        <v/>
      </c>
      <c r="K4254" s="9">
        <f t="shared" ca="1" si="266"/>
        <v>45404.878290162036</v>
      </c>
      <c r="L4254" s="10">
        <f t="shared" ca="1" si="267"/>
        <v>45404.878290046297</v>
      </c>
    </row>
    <row r="4255" spans="6:12" x14ac:dyDescent="0.25">
      <c r="F4255" s="11" t="str">
        <f>IF(ISBLANK(D4255),"",(VLOOKUP(D4255,Cardápio!$A$2:$B$16,2,0))*E4255)</f>
        <v/>
      </c>
      <c r="H4255" s="7" t="str">
        <f t="shared" si="264"/>
        <v/>
      </c>
      <c r="I4255" s="7" t="str">
        <f>IF(AND(ISBLANK(D4255),ISBLANK(C4255)),"",((VLOOKUP(D4255,Cardápio!$A$2:$C$16,3,0))*E4255)+IF(B4255="iFood",F4255*0.27,(VLOOKUP(VENDAS!C4255,Bairros!$A$2:$B$90,2,0))))</f>
        <v/>
      </c>
      <c r="J4255" s="7" t="str">
        <f t="shared" si="265"/>
        <v/>
      </c>
      <c r="K4255" s="9">
        <f t="shared" ca="1" si="266"/>
        <v>45404.878290162036</v>
      </c>
      <c r="L4255" s="10">
        <f t="shared" ca="1" si="267"/>
        <v>45404.878290162036</v>
      </c>
    </row>
    <row r="4256" spans="6:12" x14ac:dyDescent="0.25">
      <c r="F4256" s="11" t="str">
        <f>IF(ISBLANK(D4256),"",(VLOOKUP(D4256,Cardápio!$A$2:$B$16,2,0))*E4256)</f>
        <v/>
      </c>
      <c r="H4256" s="7" t="str">
        <f t="shared" si="264"/>
        <v/>
      </c>
      <c r="I4256" s="7" t="str">
        <f>IF(AND(ISBLANK(D4256),ISBLANK(C4256)),"",((VLOOKUP(D4256,Cardápio!$A$2:$C$16,3,0))*E4256)+IF(B4256="iFood",F4256*0.27,(VLOOKUP(VENDAS!C4256,Bairros!$A$2:$B$90,2,0))))</f>
        <v/>
      </c>
      <c r="J4256" s="7" t="str">
        <f t="shared" si="265"/>
        <v/>
      </c>
      <c r="K4256" s="9">
        <f t="shared" ca="1" si="266"/>
        <v>45404.878290162036</v>
      </c>
      <c r="L4256" s="10">
        <f t="shared" ca="1" si="267"/>
        <v>45404.878290046297</v>
      </c>
    </row>
    <row r="4257" spans="6:12" x14ac:dyDescent="0.25">
      <c r="F4257" s="11" t="str">
        <f>IF(ISBLANK(D4257),"",(VLOOKUP(D4257,Cardápio!$A$2:$B$16,2,0))*E4257)</f>
        <v/>
      </c>
      <c r="H4257" s="7" t="str">
        <f t="shared" si="264"/>
        <v/>
      </c>
      <c r="I4257" s="7" t="str">
        <f>IF(AND(ISBLANK(D4257),ISBLANK(C4257)),"",((VLOOKUP(D4257,Cardápio!$A$2:$C$16,3,0))*E4257)+IF(B4257="iFood",F4257*0.27,(VLOOKUP(VENDAS!C4257,Bairros!$A$2:$B$90,2,0))))</f>
        <v/>
      </c>
      <c r="J4257" s="7" t="str">
        <f t="shared" si="265"/>
        <v/>
      </c>
      <c r="K4257" s="9">
        <f t="shared" ca="1" si="266"/>
        <v>45404.878290277775</v>
      </c>
      <c r="L4257" s="10">
        <f t="shared" ca="1" si="267"/>
        <v>45404.878290046297</v>
      </c>
    </row>
    <row r="4258" spans="6:12" x14ac:dyDescent="0.25">
      <c r="F4258" s="11" t="str">
        <f>IF(ISBLANK(D4258),"",(VLOOKUP(D4258,Cardápio!$A$2:$B$16,2,0))*E4258)</f>
        <v/>
      </c>
      <c r="H4258" s="7" t="str">
        <f t="shared" si="264"/>
        <v/>
      </c>
      <c r="I4258" s="7" t="str">
        <f>IF(AND(ISBLANK(D4258),ISBLANK(C4258)),"",((VLOOKUP(D4258,Cardápio!$A$2:$C$16,3,0))*E4258)+IF(B4258="iFood",F4258*0.27,(VLOOKUP(VENDAS!C4258,Bairros!$A$2:$B$90,2,0))))</f>
        <v/>
      </c>
      <c r="J4258" s="7" t="str">
        <f t="shared" si="265"/>
        <v/>
      </c>
      <c r="K4258" s="9">
        <f t="shared" ca="1" si="266"/>
        <v>45404.878290162036</v>
      </c>
      <c r="L4258" s="10">
        <f t="shared" ca="1" si="267"/>
        <v>45404.878290046297</v>
      </c>
    </row>
    <row r="4259" spans="6:12" x14ac:dyDescent="0.25">
      <c r="F4259" s="11" t="str">
        <f>IF(ISBLANK(D4259),"",(VLOOKUP(D4259,Cardápio!$A$2:$B$16,2,0))*E4259)</f>
        <v/>
      </c>
      <c r="H4259" s="7" t="str">
        <f t="shared" si="264"/>
        <v/>
      </c>
      <c r="I4259" s="7" t="str">
        <f>IF(AND(ISBLANK(D4259),ISBLANK(C4259)),"",((VLOOKUP(D4259,Cardápio!$A$2:$C$16,3,0))*E4259)+IF(B4259="iFood",F4259*0.27,(VLOOKUP(VENDAS!C4259,Bairros!$A$2:$B$90,2,0))))</f>
        <v/>
      </c>
      <c r="J4259" s="7" t="str">
        <f t="shared" si="265"/>
        <v/>
      </c>
      <c r="K4259" s="9">
        <f t="shared" ca="1" si="266"/>
        <v>45404.878290162036</v>
      </c>
      <c r="L4259" s="10">
        <f t="shared" ca="1" si="267"/>
        <v>45404.878290162036</v>
      </c>
    </row>
    <row r="4260" spans="6:12" x14ac:dyDescent="0.25">
      <c r="F4260" s="11" t="str">
        <f>IF(ISBLANK(D4260),"",(VLOOKUP(D4260,Cardápio!$A$2:$B$16,2,0))*E4260)</f>
        <v/>
      </c>
      <c r="H4260" s="7" t="str">
        <f t="shared" si="264"/>
        <v/>
      </c>
      <c r="I4260" s="7" t="str">
        <f>IF(AND(ISBLANK(D4260),ISBLANK(C4260)),"",((VLOOKUP(D4260,Cardápio!$A$2:$C$16,3,0))*E4260)+IF(B4260="iFood",F4260*0.27,(VLOOKUP(VENDAS!C4260,Bairros!$A$2:$B$90,2,0))))</f>
        <v/>
      </c>
      <c r="J4260" s="7" t="str">
        <f t="shared" si="265"/>
        <v/>
      </c>
      <c r="K4260" s="9">
        <f t="shared" ca="1" si="266"/>
        <v>45404.878290162036</v>
      </c>
      <c r="L4260" s="10">
        <f t="shared" ca="1" si="267"/>
        <v>45404.878290046297</v>
      </c>
    </row>
    <row r="4261" spans="6:12" x14ac:dyDescent="0.25">
      <c r="F4261" s="11" t="str">
        <f>IF(ISBLANK(D4261),"",(VLOOKUP(D4261,Cardápio!$A$2:$B$16,2,0))*E4261)</f>
        <v/>
      </c>
      <c r="H4261" s="7" t="str">
        <f t="shared" si="264"/>
        <v/>
      </c>
      <c r="I4261" s="7" t="str">
        <f>IF(AND(ISBLANK(D4261),ISBLANK(C4261)),"",((VLOOKUP(D4261,Cardápio!$A$2:$C$16,3,0))*E4261)+IF(B4261="iFood",F4261*0.27,(VLOOKUP(VENDAS!C4261,Bairros!$A$2:$B$90,2,0))))</f>
        <v/>
      </c>
      <c r="J4261" s="7" t="str">
        <f t="shared" si="265"/>
        <v/>
      </c>
      <c r="K4261" s="9">
        <f t="shared" ca="1" si="266"/>
        <v>45404.878290277775</v>
      </c>
      <c r="L4261" s="10">
        <f t="shared" ca="1" si="267"/>
        <v>45404.878290046297</v>
      </c>
    </row>
    <row r="4262" spans="6:12" x14ac:dyDescent="0.25">
      <c r="F4262" s="11" t="str">
        <f>IF(ISBLANK(D4262),"",(VLOOKUP(D4262,Cardápio!$A$2:$B$16,2,0))*E4262)</f>
        <v/>
      </c>
      <c r="H4262" s="7" t="str">
        <f t="shared" si="264"/>
        <v/>
      </c>
      <c r="I4262" s="7" t="str">
        <f>IF(AND(ISBLANK(D4262),ISBLANK(C4262)),"",((VLOOKUP(D4262,Cardápio!$A$2:$C$16,3,0))*E4262)+IF(B4262="iFood",F4262*0.27,(VLOOKUP(VENDAS!C4262,Bairros!$A$2:$B$90,2,0))))</f>
        <v/>
      </c>
      <c r="J4262" s="7" t="str">
        <f t="shared" si="265"/>
        <v/>
      </c>
      <c r="K4262" s="9">
        <f t="shared" ca="1" si="266"/>
        <v>45404.878290162036</v>
      </c>
      <c r="L4262" s="10">
        <f t="shared" ca="1" si="267"/>
        <v>45404.878290046297</v>
      </c>
    </row>
    <row r="4263" spans="6:12" x14ac:dyDescent="0.25">
      <c r="F4263" s="11" t="str">
        <f>IF(ISBLANK(D4263),"",(VLOOKUP(D4263,Cardápio!$A$2:$B$16,2,0))*E4263)</f>
        <v/>
      </c>
      <c r="H4263" s="7" t="str">
        <f t="shared" si="264"/>
        <v/>
      </c>
      <c r="I4263" s="7" t="str">
        <f>IF(AND(ISBLANK(D4263),ISBLANK(C4263)),"",((VLOOKUP(D4263,Cardápio!$A$2:$C$16,3,0))*E4263)+IF(B4263="iFood",F4263*0.27,(VLOOKUP(VENDAS!C4263,Bairros!$A$2:$B$90,2,0))))</f>
        <v/>
      </c>
      <c r="J4263" s="7" t="str">
        <f t="shared" si="265"/>
        <v/>
      </c>
      <c r="K4263" s="9">
        <f t="shared" ca="1" si="266"/>
        <v>45404.878290162036</v>
      </c>
      <c r="L4263" s="10">
        <f t="shared" ca="1" si="267"/>
        <v>45404.878290162036</v>
      </c>
    </row>
    <row r="4264" spans="6:12" x14ac:dyDescent="0.25">
      <c r="F4264" s="11" t="str">
        <f>IF(ISBLANK(D4264),"",(VLOOKUP(D4264,Cardápio!$A$2:$B$16,2,0))*E4264)</f>
        <v/>
      </c>
      <c r="H4264" s="7" t="str">
        <f t="shared" si="264"/>
        <v/>
      </c>
      <c r="I4264" s="7" t="str">
        <f>IF(AND(ISBLANK(D4264),ISBLANK(C4264)),"",((VLOOKUP(D4264,Cardápio!$A$2:$C$16,3,0))*E4264)+IF(B4264="iFood",F4264*0.27,(VLOOKUP(VENDAS!C4264,Bairros!$A$2:$B$90,2,0))))</f>
        <v/>
      </c>
      <c r="J4264" s="7" t="str">
        <f t="shared" si="265"/>
        <v/>
      </c>
      <c r="K4264" s="9">
        <f t="shared" ca="1" si="266"/>
        <v>45404.878290162036</v>
      </c>
      <c r="L4264" s="10">
        <f t="shared" ca="1" si="267"/>
        <v>45404.878290046297</v>
      </c>
    </row>
    <row r="4265" spans="6:12" x14ac:dyDescent="0.25">
      <c r="F4265" s="11" t="str">
        <f>IF(ISBLANK(D4265),"",(VLOOKUP(D4265,Cardápio!$A$2:$B$16,2,0))*E4265)</f>
        <v/>
      </c>
      <c r="H4265" s="7" t="str">
        <f t="shared" si="264"/>
        <v/>
      </c>
      <c r="I4265" s="7" t="str">
        <f>IF(AND(ISBLANK(D4265),ISBLANK(C4265)),"",((VLOOKUP(D4265,Cardápio!$A$2:$C$16,3,0))*E4265)+IF(B4265="iFood",F4265*0.27,(VLOOKUP(VENDAS!C4265,Bairros!$A$2:$B$90,2,0))))</f>
        <v/>
      </c>
      <c r="J4265" s="7" t="str">
        <f t="shared" si="265"/>
        <v/>
      </c>
      <c r="K4265" s="9">
        <f t="shared" ca="1" si="266"/>
        <v>45404.878290277775</v>
      </c>
      <c r="L4265" s="10">
        <f t="shared" ca="1" si="267"/>
        <v>45404.878290046297</v>
      </c>
    </row>
    <row r="4266" spans="6:12" x14ac:dyDescent="0.25">
      <c r="F4266" s="11" t="str">
        <f>IF(ISBLANK(D4266),"",(VLOOKUP(D4266,Cardápio!$A$2:$B$16,2,0))*E4266)</f>
        <v/>
      </c>
      <c r="H4266" s="7" t="str">
        <f t="shared" si="264"/>
        <v/>
      </c>
      <c r="I4266" s="7" t="str">
        <f>IF(AND(ISBLANK(D4266),ISBLANK(C4266)),"",((VLOOKUP(D4266,Cardápio!$A$2:$C$16,3,0))*E4266)+IF(B4266="iFood",F4266*0.27,(VLOOKUP(VENDAS!C4266,Bairros!$A$2:$B$90,2,0))))</f>
        <v/>
      </c>
      <c r="J4266" s="7" t="str">
        <f t="shared" si="265"/>
        <v/>
      </c>
      <c r="K4266" s="9">
        <f t="shared" ca="1" si="266"/>
        <v>45404.878290162036</v>
      </c>
      <c r="L4266" s="10">
        <f t="shared" ca="1" si="267"/>
        <v>45404.878290046297</v>
      </c>
    </row>
    <row r="4267" spans="6:12" x14ac:dyDescent="0.25">
      <c r="F4267" s="11" t="str">
        <f>IF(ISBLANK(D4267),"",(VLOOKUP(D4267,Cardápio!$A$2:$B$16,2,0))*E4267)</f>
        <v/>
      </c>
      <c r="H4267" s="7" t="str">
        <f t="shared" si="264"/>
        <v/>
      </c>
      <c r="I4267" s="7" t="str">
        <f>IF(AND(ISBLANK(D4267),ISBLANK(C4267)),"",((VLOOKUP(D4267,Cardápio!$A$2:$C$16,3,0))*E4267)+IF(B4267="iFood",F4267*0.27,(VLOOKUP(VENDAS!C4267,Bairros!$A$2:$B$90,2,0))))</f>
        <v/>
      </c>
      <c r="J4267" s="7" t="str">
        <f t="shared" si="265"/>
        <v/>
      </c>
      <c r="K4267" s="9">
        <f t="shared" ca="1" si="266"/>
        <v>45404.878290162036</v>
      </c>
      <c r="L4267" s="10">
        <f t="shared" ca="1" si="267"/>
        <v>45404.878290162036</v>
      </c>
    </row>
    <row r="4268" spans="6:12" x14ac:dyDescent="0.25">
      <c r="F4268" s="11" t="str">
        <f>IF(ISBLANK(D4268),"",(VLOOKUP(D4268,Cardápio!$A$2:$B$16,2,0))*E4268)</f>
        <v/>
      </c>
      <c r="H4268" s="7" t="str">
        <f t="shared" si="264"/>
        <v/>
      </c>
      <c r="I4268" s="7" t="str">
        <f>IF(AND(ISBLANK(D4268),ISBLANK(C4268)),"",((VLOOKUP(D4268,Cardápio!$A$2:$C$16,3,0))*E4268)+IF(B4268="iFood",F4268*0.27,(VLOOKUP(VENDAS!C4268,Bairros!$A$2:$B$90,2,0))))</f>
        <v/>
      </c>
      <c r="J4268" s="7" t="str">
        <f t="shared" si="265"/>
        <v/>
      </c>
      <c r="K4268" s="9">
        <f t="shared" ca="1" si="266"/>
        <v>45404.878290162036</v>
      </c>
      <c r="L4268" s="10">
        <f t="shared" ca="1" si="267"/>
        <v>45404.878290046297</v>
      </c>
    </row>
    <row r="4269" spans="6:12" x14ac:dyDescent="0.25">
      <c r="F4269" s="11" t="str">
        <f>IF(ISBLANK(D4269),"",(VLOOKUP(D4269,Cardápio!$A$2:$B$16,2,0))*E4269)</f>
        <v/>
      </c>
      <c r="H4269" s="7" t="str">
        <f t="shared" si="264"/>
        <v/>
      </c>
      <c r="I4269" s="7" t="str">
        <f>IF(AND(ISBLANK(D4269),ISBLANK(C4269)),"",((VLOOKUP(D4269,Cardápio!$A$2:$C$16,3,0))*E4269)+IF(B4269="iFood",F4269*0.27,(VLOOKUP(VENDAS!C4269,Bairros!$A$2:$B$90,2,0))))</f>
        <v/>
      </c>
      <c r="J4269" s="7" t="str">
        <f t="shared" si="265"/>
        <v/>
      </c>
      <c r="K4269" s="9">
        <f t="shared" ca="1" si="266"/>
        <v>45404.878290277775</v>
      </c>
      <c r="L4269" s="10">
        <f t="shared" ca="1" si="267"/>
        <v>45404.878290046297</v>
      </c>
    </row>
    <row r="4270" spans="6:12" x14ac:dyDescent="0.25">
      <c r="F4270" s="11" t="str">
        <f>IF(ISBLANK(D4270),"",(VLOOKUP(D4270,Cardápio!$A$2:$B$16,2,0))*E4270)</f>
        <v/>
      </c>
      <c r="H4270" s="7" t="str">
        <f t="shared" si="264"/>
        <v/>
      </c>
      <c r="I4270" s="7" t="str">
        <f>IF(AND(ISBLANK(D4270),ISBLANK(C4270)),"",((VLOOKUP(D4270,Cardápio!$A$2:$C$16,3,0))*E4270)+IF(B4270="iFood",F4270*0.27,(VLOOKUP(VENDAS!C4270,Bairros!$A$2:$B$90,2,0))))</f>
        <v/>
      </c>
      <c r="J4270" s="7" t="str">
        <f t="shared" si="265"/>
        <v/>
      </c>
      <c r="K4270" s="9">
        <f t="shared" ca="1" si="266"/>
        <v>45404.878290162036</v>
      </c>
      <c r="L4270" s="10">
        <f t="shared" ca="1" si="267"/>
        <v>45404.878290046297</v>
      </c>
    </row>
    <row r="4271" spans="6:12" x14ac:dyDescent="0.25">
      <c r="F4271" s="11" t="str">
        <f>IF(ISBLANK(D4271),"",(VLOOKUP(D4271,Cardápio!$A$2:$B$16,2,0))*E4271)</f>
        <v/>
      </c>
      <c r="H4271" s="7" t="str">
        <f t="shared" si="264"/>
        <v/>
      </c>
      <c r="I4271" s="7" t="str">
        <f>IF(AND(ISBLANK(D4271),ISBLANK(C4271)),"",((VLOOKUP(D4271,Cardápio!$A$2:$C$16,3,0))*E4271)+IF(B4271="iFood",F4271*0.27,(VLOOKUP(VENDAS!C4271,Bairros!$A$2:$B$90,2,0))))</f>
        <v/>
      </c>
      <c r="J4271" s="7" t="str">
        <f t="shared" si="265"/>
        <v/>
      </c>
      <c r="K4271" s="9">
        <f t="shared" ca="1" si="266"/>
        <v>45404.878290162036</v>
      </c>
      <c r="L4271" s="10">
        <f t="shared" ca="1" si="267"/>
        <v>45404.878290162036</v>
      </c>
    </row>
    <row r="4272" spans="6:12" x14ac:dyDescent="0.25">
      <c r="F4272" s="11" t="str">
        <f>IF(ISBLANK(D4272),"",(VLOOKUP(D4272,Cardápio!$A$2:$B$16,2,0))*E4272)</f>
        <v/>
      </c>
      <c r="H4272" s="7" t="str">
        <f t="shared" si="264"/>
        <v/>
      </c>
      <c r="I4272" s="7" t="str">
        <f>IF(AND(ISBLANK(D4272),ISBLANK(C4272)),"",((VLOOKUP(D4272,Cardápio!$A$2:$C$16,3,0))*E4272)+IF(B4272="iFood",F4272*0.27,(VLOOKUP(VENDAS!C4272,Bairros!$A$2:$B$90,2,0))))</f>
        <v/>
      </c>
      <c r="J4272" s="7" t="str">
        <f t="shared" si="265"/>
        <v/>
      </c>
      <c r="K4272" s="9">
        <f t="shared" ca="1" si="266"/>
        <v>45404.878290162036</v>
      </c>
      <c r="L4272" s="10">
        <f t="shared" ca="1" si="267"/>
        <v>45404.878290046297</v>
      </c>
    </row>
    <row r="4273" spans="6:12" x14ac:dyDescent="0.25">
      <c r="F4273" s="11" t="str">
        <f>IF(ISBLANK(D4273),"",(VLOOKUP(D4273,Cardápio!$A$2:$B$16,2,0))*E4273)</f>
        <v/>
      </c>
      <c r="H4273" s="7" t="str">
        <f t="shared" si="264"/>
        <v/>
      </c>
      <c r="I4273" s="7" t="str">
        <f>IF(AND(ISBLANK(D4273),ISBLANK(C4273)),"",((VLOOKUP(D4273,Cardápio!$A$2:$C$16,3,0))*E4273)+IF(B4273="iFood",F4273*0.27,(VLOOKUP(VENDAS!C4273,Bairros!$A$2:$B$90,2,0))))</f>
        <v/>
      </c>
      <c r="J4273" s="7" t="str">
        <f t="shared" si="265"/>
        <v/>
      </c>
      <c r="K4273" s="9">
        <f t="shared" ca="1" si="266"/>
        <v>45404.878290277775</v>
      </c>
      <c r="L4273" s="10">
        <f t="shared" ca="1" si="267"/>
        <v>45404.878290046297</v>
      </c>
    </row>
    <row r="4274" spans="6:12" x14ac:dyDescent="0.25">
      <c r="F4274" s="11" t="str">
        <f>IF(ISBLANK(D4274),"",(VLOOKUP(D4274,Cardápio!$A$2:$B$16,2,0))*E4274)</f>
        <v/>
      </c>
      <c r="H4274" s="7" t="str">
        <f t="shared" si="264"/>
        <v/>
      </c>
      <c r="I4274" s="7" t="str">
        <f>IF(AND(ISBLANK(D4274),ISBLANK(C4274)),"",((VLOOKUP(D4274,Cardápio!$A$2:$C$16,3,0))*E4274)+IF(B4274="iFood",F4274*0.27,(VLOOKUP(VENDAS!C4274,Bairros!$A$2:$B$90,2,0))))</f>
        <v/>
      </c>
      <c r="J4274" s="7" t="str">
        <f t="shared" si="265"/>
        <v/>
      </c>
      <c r="K4274" s="9">
        <f t="shared" ca="1" si="266"/>
        <v>45404.878290162036</v>
      </c>
      <c r="L4274" s="10">
        <f t="shared" ca="1" si="267"/>
        <v>45404.878290046297</v>
      </c>
    </row>
    <row r="4275" spans="6:12" x14ac:dyDescent="0.25">
      <c r="F4275" s="11" t="str">
        <f>IF(ISBLANK(D4275),"",(VLOOKUP(D4275,Cardápio!$A$2:$B$16,2,0))*E4275)</f>
        <v/>
      </c>
      <c r="H4275" s="7" t="str">
        <f t="shared" si="264"/>
        <v/>
      </c>
      <c r="I4275" s="7" t="str">
        <f>IF(AND(ISBLANK(D4275),ISBLANK(C4275)),"",((VLOOKUP(D4275,Cardápio!$A$2:$C$16,3,0))*E4275)+IF(B4275="iFood",F4275*0.27,(VLOOKUP(VENDAS!C4275,Bairros!$A$2:$B$90,2,0))))</f>
        <v/>
      </c>
      <c r="J4275" s="7" t="str">
        <f t="shared" si="265"/>
        <v/>
      </c>
      <c r="K4275" s="9">
        <f t="shared" ca="1" si="266"/>
        <v>45404.878290162036</v>
      </c>
      <c r="L4275" s="10">
        <f t="shared" ca="1" si="267"/>
        <v>45404.878290162036</v>
      </c>
    </row>
    <row r="4276" spans="6:12" x14ac:dyDescent="0.25">
      <c r="F4276" s="11" t="str">
        <f>IF(ISBLANK(D4276),"",(VLOOKUP(D4276,Cardápio!$A$2:$B$16,2,0))*E4276)</f>
        <v/>
      </c>
      <c r="H4276" s="7" t="str">
        <f t="shared" si="264"/>
        <v/>
      </c>
      <c r="I4276" s="7" t="str">
        <f>IF(AND(ISBLANK(D4276),ISBLANK(C4276)),"",((VLOOKUP(D4276,Cardápio!$A$2:$C$16,3,0))*E4276)+IF(B4276="iFood",F4276*0.27,(VLOOKUP(VENDAS!C4276,Bairros!$A$2:$B$90,2,0))))</f>
        <v/>
      </c>
      <c r="J4276" s="7" t="str">
        <f t="shared" si="265"/>
        <v/>
      </c>
      <c r="K4276" s="9">
        <f t="shared" ca="1" si="266"/>
        <v>45404.878290162036</v>
      </c>
      <c r="L4276" s="10">
        <f t="shared" ca="1" si="267"/>
        <v>45404.878290046297</v>
      </c>
    </row>
    <row r="4277" spans="6:12" x14ac:dyDescent="0.25">
      <c r="F4277" s="11" t="str">
        <f>IF(ISBLANK(D4277),"",(VLOOKUP(D4277,Cardápio!$A$2:$B$16,2,0))*E4277)</f>
        <v/>
      </c>
      <c r="H4277" s="7" t="str">
        <f t="shared" ref="H4277:H4340" si="268">IF(ISBLANK(D4277),"",F4277-G4277)</f>
        <v/>
      </c>
      <c r="I4277" s="7" t="str">
        <f>IF(AND(ISBLANK(D4277),ISBLANK(C4277)),"",((VLOOKUP(D4277,Cardápio!$A$2:$C$16,3,0))*E4277)+IF(B4277="iFood",F4277*0.27,(VLOOKUP(VENDAS!C4277,Bairros!$A$2:$B$90,2,0))))</f>
        <v/>
      </c>
      <c r="J4277" s="7" t="str">
        <f t="shared" ref="J4277:J4340" si="269">IF(OR(AND(ISBLANK(H4277),ISBLANK(I4277)),(AND(H4277="",I4277=""))),"",H4277-I4277)</f>
        <v/>
      </c>
      <c r="K4277" s="9">
        <f t="shared" ref="K4277:K4340" ca="1" si="270">IF(D4277&lt;&gt;"",K4277,NOW())</f>
        <v>45404.878290277775</v>
      </c>
      <c r="L4277" s="10">
        <f t="shared" ref="L4277:L4340" ca="1" si="271">IF(D4277&lt;&gt;"",L4277,NOW())</f>
        <v>45404.878290046297</v>
      </c>
    </row>
    <row r="4278" spans="6:12" x14ac:dyDescent="0.25">
      <c r="F4278" s="11" t="str">
        <f>IF(ISBLANK(D4278),"",(VLOOKUP(D4278,Cardápio!$A$2:$B$16,2,0))*E4278)</f>
        <v/>
      </c>
      <c r="H4278" s="7" t="str">
        <f t="shared" si="268"/>
        <v/>
      </c>
      <c r="I4278" s="7" t="str">
        <f>IF(AND(ISBLANK(D4278),ISBLANK(C4278)),"",((VLOOKUP(D4278,Cardápio!$A$2:$C$16,3,0))*E4278)+IF(B4278="iFood",F4278*0.27,(VLOOKUP(VENDAS!C4278,Bairros!$A$2:$B$90,2,0))))</f>
        <v/>
      </c>
      <c r="J4278" s="7" t="str">
        <f t="shared" si="269"/>
        <v/>
      </c>
      <c r="K4278" s="9">
        <f t="shared" ca="1" si="270"/>
        <v>45404.878290162036</v>
      </c>
      <c r="L4278" s="10">
        <f t="shared" ca="1" si="271"/>
        <v>45404.878290046297</v>
      </c>
    </row>
    <row r="4279" spans="6:12" x14ac:dyDescent="0.25">
      <c r="F4279" s="11" t="str">
        <f>IF(ISBLANK(D4279),"",(VLOOKUP(D4279,Cardápio!$A$2:$B$16,2,0))*E4279)</f>
        <v/>
      </c>
      <c r="H4279" s="7" t="str">
        <f t="shared" si="268"/>
        <v/>
      </c>
      <c r="I4279" s="7" t="str">
        <f>IF(AND(ISBLANK(D4279),ISBLANK(C4279)),"",((VLOOKUP(D4279,Cardápio!$A$2:$C$16,3,0))*E4279)+IF(B4279="iFood",F4279*0.27,(VLOOKUP(VENDAS!C4279,Bairros!$A$2:$B$90,2,0))))</f>
        <v/>
      </c>
      <c r="J4279" s="7" t="str">
        <f t="shared" si="269"/>
        <v/>
      </c>
      <c r="K4279" s="9">
        <f t="shared" ca="1" si="270"/>
        <v>45404.878290162036</v>
      </c>
      <c r="L4279" s="10">
        <f t="shared" ca="1" si="271"/>
        <v>45404.878290162036</v>
      </c>
    </row>
    <row r="4280" spans="6:12" x14ac:dyDescent="0.25">
      <c r="F4280" s="11" t="str">
        <f>IF(ISBLANK(D4280),"",(VLOOKUP(D4280,Cardápio!$A$2:$B$16,2,0))*E4280)</f>
        <v/>
      </c>
      <c r="H4280" s="7" t="str">
        <f t="shared" si="268"/>
        <v/>
      </c>
      <c r="I4280" s="7" t="str">
        <f>IF(AND(ISBLANK(D4280),ISBLANK(C4280)),"",((VLOOKUP(D4280,Cardápio!$A$2:$C$16,3,0))*E4280)+IF(B4280="iFood",F4280*0.27,(VLOOKUP(VENDAS!C4280,Bairros!$A$2:$B$90,2,0))))</f>
        <v/>
      </c>
      <c r="J4280" s="7" t="str">
        <f t="shared" si="269"/>
        <v/>
      </c>
      <c r="K4280" s="9">
        <f t="shared" ca="1" si="270"/>
        <v>45404.878290162036</v>
      </c>
      <c r="L4280" s="10">
        <f t="shared" ca="1" si="271"/>
        <v>45404.878290046297</v>
      </c>
    </row>
    <row r="4281" spans="6:12" x14ac:dyDescent="0.25">
      <c r="F4281" s="11" t="str">
        <f>IF(ISBLANK(D4281),"",(VLOOKUP(D4281,Cardápio!$A$2:$B$16,2,0))*E4281)</f>
        <v/>
      </c>
      <c r="H4281" s="7" t="str">
        <f t="shared" si="268"/>
        <v/>
      </c>
      <c r="I4281" s="7" t="str">
        <f>IF(AND(ISBLANK(D4281),ISBLANK(C4281)),"",((VLOOKUP(D4281,Cardápio!$A$2:$C$16,3,0))*E4281)+IF(B4281="iFood",F4281*0.27,(VLOOKUP(VENDAS!C4281,Bairros!$A$2:$B$90,2,0))))</f>
        <v/>
      </c>
      <c r="J4281" s="7" t="str">
        <f t="shared" si="269"/>
        <v/>
      </c>
      <c r="K4281" s="9">
        <f t="shared" ca="1" si="270"/>
        <v>45404.878290277775</v>
      </c>
      <c r="L4281" s="10">
        <f t="shared" ca="1" si="271"/>
        <v>45404.878290046297</v>
      </c>
    </row>
    <row r="4282" spans="6:12" x14ac:dyDescent="0.25">
      <c r="F4282" s="11" t="str">
        <f>IF(ISBLANK(D4282),"",(VLOOKUP(D4282,Cardápio!$A$2:$B$16,2,0))*E4282)</f>
        <v/>
      </c>
      <c r="H4282" s="7" t="str">
        <f t="shared" si="268"/>
        <v/>
      </c>
      <c r="I4282" s="7" t="str">
        <f>IF(AND(ISBLANK(D4282),ISBLANK(C4282)),"",((VLOOKUP(D4282,Cardápio!$A$2:$C$16,3,0))*E4282)+IF(B4282="iFood",F4282*0.27,(VLOOKUP(VENDAS!C4282,Bairros!$A$2:$B$90,2,0))))</f>
        <v/>
      </c>
      <c r="J4282" s="7" t="str">
        <f t="shared" si="269"/>
        <v/>
      </c>
      <c r="K4282" s="9">
        <f t="shared" ca="1" si="270"/>
        <v>45404.878290162036</v>
      </c>
      <c r="L4282" s="10">
        <f t="shared" ca="1" si="271"/>
        <v>45404.878290046297</v>
      </c>
    </row>
    <row r="4283" spans="6:12" x14ac:dyDescent="0.25">
      <c r="F4283" s="11" t="str">
        <f>IF(ISBLANK(D4283),"",(VLOOKUP(D4283,Cardápio!$A$2:$B$16,2,0))*E4283)</f>
        <v/>
      </c>
      <c r="H4283" s="7" t="str">
        <f t="shared" si="268"/>
        <v/>
      </c>
      <c r="I4283" s="7" t="str">
        <f>IF(AND(ISBLANK(D4283),ISBLANK(C4283)),"",((VLOOKUP(D4283,Cardápio!$A$2:$C$16,3,0))*E4283)+IF(B4283="iFood",F4283*0.27,(VLOOKUP(VENDAS!C4283,Bairros!$A$2:$B$90,2,0))))</f>
        <v/>
      </c>
      <c r="J4283" s="7" t="str">
        <f t="shared" si="269"/>
        <v/>
      </c>
      <c r="K4283" s="9">
        <f t="shared" ca="1" si="270"/>
        <v>45404.878290162036</v>
      </c>
      <c r="L4283" s="10">
        <f t="shared" ca="1" si="271"/>
        <v>45404.878290162036</v>
      </c>
    </row>
    <row r="4284" spans="6:12" x14ac:dyDescent="0.25">
      <c r="F4284" s="11" t="str">
        <f>IF(ISBLANK(D4284),"",(VLOOKUP(D4284,Cardápio!$A$2:$B$16,2,0))*E4284)</f>
        <v/>
      </c>
      <c r="H4284" s="7" t="str">
        <f t="shared" si="268"/>
        <v/>
      </c>
      <c r="I4284" s="7" t="str">
        <f>IF(AND(ISBLANK(D4284),ISBLANK(C4284)),"",((VLOOKUP(D4284,Cardápio!$A$2:$C$16,3,0))*E4284)+IF(B4284="iFood",F4284*0.27,(VLOOKUP(VENDAS!C4284,Bairros!$A$2:$B$90,2,0))))</f>
        <v/>
      </c>
      <c r="J4284" s="7" t="str">
        <f t="shared" si="269"/>
        <v/>
      </c>
      <c r="K4284" s="9">
        <f t="shared" ca="1" si="270"/>
        <v>45404.878290162036</v>
      </c>
      <c r="L4284" s="10">
        <f t="shared" ca="1" si="271"/>
        <v>45404.878290046297</v>
      </c>
    </row>
    <row r="4285" spans="6:12" x14ac:dyDescent="0.25">
      <c r="F4285" s="11" t="str">
        <f>IF(ISBLANK(D4285),"",(VLOOKUP(D4285,Cardápio!$A$2:$B$16,2,0))*E4285)</f>
        <v/>
      </c>
      <c r="H4285" s="7" t="str">
        <f t="shared" si="268"/>
        <v/>
      </c>
      <c r="I4285" s="7" t="str">
        <f>IF(AND(ISBLANK(D4285),ISBLANK(C4285)),"",((VLOOKUP(D4285,Cardápio!$A$2:$C$16,3,0))*E4285)+IF(B4285="iFood",F4285*0.27,(VLOOKUP(VENDAS!C4285,Bairros!$A$2:$B$90,2,0))))</f>
        <v/>
      </c>
      <c r="J4285" s="7" t="str">
        <f t="shared" si="269"/>
        <v/>
      </c>
      <c r="K4285" s="9">
        <f t="shared" ca="1" si="270"/>
        <v>45404.878290277775</v>
      </c>
      <c r="L4285" s="10">
        <f t="shared" ca="1" si="271"/>
        <v>45404.878290046297</v>
      </c>
    </row>
    <row r="4286" spans="6:12" x14ac:dyDescent="0.25">
      <c r="F4286" s="11" t="str">
        <f>IF(ISBLANK(D4286),"",(VLOOKUP(D4286,Cardápio!$A$2:$B$16,2,0))*E4286)</f>
        <v/>
      </c>
      <c r="H4286" s="7" t="str">
        <f t="shared" si="268"/>
        <v/>
      </c>
      <c r="I4286" s="7" t="str">
        <f>IF(AND(ISBLANK(D4286),ISBLANK(C4286)),"",((VLOOKUP(D4286,Cardápio!$A$2:$C$16,3,0))*E4286)+IF(B4286="iFood",F4286*0.27,(VLOOKUP(VENDAS!C4286,Bairros!$A$2:$B$90,2,0))))</f>
        <v/>
      </c>
      <c r="J4286" s="7" t="str">
        <f t="shared" si="269"/>
        <v/>
      </c>
      <c r="K4286" s="9">
        <f t="shared" ca="1" si="270"/>
        <v>45404.878290162036</v>
      </c>
      <c r="L4286" s="10">
        <f t="shared" ca="1" si="271"/>
        <v>45404.878290046297</v>
      </c>
    </row>
    <row r="4287" spans="6:12" x14ac:dyDescent="0.25">
      <c r="F4287" s="11" t="str">
        <f>IF(ISBLANK(D4287),"",(VLOOKUP(D4287,Cardápio!$A$2:$B$16,2,0))*E4287)</f>
        <v/>
      </c>
      <c r="H4287" s="7" t="str">
        <f t="shared" si="268"/>
        <v/>
      </c>
      <c r="I4287" s="7" t="str">
        <f>IF(AND(ISBLANK(D4287),ISBLANK(C4287)),"",((VLOOKUP(D4287,Cardápio!$A$2:$C$16,3,0))*E4287)+IF(B4287="iFood",F4287*0.27,(VLOOKUP(VENDAS!C4287,Bairros!$A$2:$B$90,2,0))))</f>
        <v/>
      </c>
      <c r="J4287" s="7" t="str">
        <f t="shared" si="269"/>
        <v/>
      </c>
      <c r="K4287" s="9">
        <f t="shared" ca="1" si="270"/>
        <v>45404.878290162036</v>
      </c>
      <c r="L4287" s="10">
        <f t="shared" ca="1" si="271"/>
        <v>45404.878290162036</v>
      </c>
    </row>
    <row r="4288" spans="6:12" x14ac:dyDescent="0.25">
      <c r="F4288" s="11" t="str">
        <f>IF(ISBLANK(D4288),"",(VLOOKUP(D4288,Cardápio!$A$2:$B$16,2,0))*E4288)</f>
        <v/>
      </c>
      <c r="H4288" s="7" t="str">
        <f t="shared" si="268"/>
        <v/>
      </c>
      <c r="I4288" s="7" t="str">
        <f>IF(AND(ISBLANK(D4288),ISBLANK(C4288)),"",((VLOOKUP(D4288,Cardápio!$A$2:$C$16,3,0))*E4288)+IF(B4288="iFood",F4288*0.27,(VLOOKUP(VENDAS!C4288,Bairros!$A$2:$B$90,2,0))))</f>
        <v/>
      </c>
      <c r="J4288" s="7" t="str">
        <f t="shared" si="269"/>
        <v/>
      </c>
      <c r="K4288" s="9">
        <f t="shared" ca="1" si="270"/>
        <v>45404.878290162036</v>
      </c>
      <c r="L4288" s="10">
        <f t="shared" ca="1" si="271"/>
        <v>45404.878290046297</v>
      </c>
    </row>
    <row r="4289" spans="6:12" x14ac:dyDescent="0.25">
      <c r="F4289" s="11" t="str">
        <f>IF(ISBLANK(D4289),"",(VLOOKUP(D4289,Cardápio!$A$2:$B$16,2,0))*E4289)</f>
        <v/>
      </c>
      <c r="H4289" s="7" t="str">
        <f t="shared" si="268"/>
        <v/>
      </c>
      <c r="I4289" s="7" t="str">
        <f>IF(AND(ISBLANK(D4289),ISBLANK(C4289)),"",((VLOOKUP(D4289,Cardápio!$A$2:$C$16,3,0))*E4289)+IF(B4289="iFood",F4289*0.27,(VLOOKUP(VENDAS!C4289,Bairros!$A$2:$B$90,2,0))))</f>
        <v/>
      </c>
      <c r="J4289" s="7" t="str">
        <f t="shared" si="269"/>
        <v/>
      </c>
      <c r="K4289" s="9">
        <f t="shared" ca="1" si="270"/>
        <v>45404.878290277775</v>
      </c>
      <c r="L4289" s="10">
        <f t="shared" ca="1" si="271"/>
        <v>45404.878290046297</v>
      </c>
    </row>
    <row r="4290" spans="6:12" x14ac:dyDescent="0.25">
      <c r="F4290" s="11" t="str">
        <f>IF(ISBLANK(D4290),"",(VLOOKUP(D4290,Cardápio!$A$2:$B$16,2,0))*E4290)</f>
        <v/>
      </c>
      <c r="H4290" s="7" t="str">
        <f t="shared" si="268"/>
        <v/>
      </c>
      <c r="I4290" s="7" t="str">
        <f>IF(AND(ISBLANK(D4290),ISBLANK(C4290)),"",((VLOOKUP(D4290,Cardápio!$A$2:$C$16,3,0))*E4290)+IF(B4290="iFood",F4290*0.27,(VLOOKUP(VENDAS!C4290,Bairros!$A$2:$B$90,2,0))))</f>
        <v/>
      </c>
      <c r="J4290" s="7" t="str">
        <f t="shared" si="269"/>
        <v/>
      </c>
      <c r="K4290" s="9">
        <f t="shared" ca="1" si="270"/>
        <v>45404.878290162036</v>
      </c>
      <c r="L4290" s="10">
        <f t="shared" ca="1" si="271"/>
        <v>45404.878290046297</v>
      </c>
    </row>
    <row r="4291" spans="6:12" x14ac:dyDescent="0.25">
      <c r="F4291" s="11" t="str">
        <f>IF(ISBLANK(D4291),"",(VLOOKUP(D4291,Cardápio!$A$2:$B$16,2,0))*E4291)</f>
        <v/>
      </c>
      <c r="H4291" s="7" t="str">
        <f t="shared" si="268"/>
        <v/>
      </c>
      <c r="I4291" s="7" t="str">
        <f>IF(AND(ISBLANK(D4291),ISBLANK(C4291)),"",((VLOOKUP(D4291,Cardápio!$A$2:$C$16,3,0))*E4291)+IF(B4291="iFood",F4291*0.27,(VLOOKUP(VENDAS!C4291,Bairros!$A$2:$B$90,2,0))))</f>
        <v/>
      </c>
      <c r="J4291" s="7" t="str">
        <f t="shared" si="269"/>
        <v/>
      </c>
      <c r="K4291" s="9">
        <f t="shared" ca="1" si="270"/>
        <v>45404.878290162036</v>
      </c>
      <c r="L4291" s="10">
        <f t="shared" ca="1" si="271"/>
        <v>45404.878290162036</v>
      </c>
    </row>
    <row r="4292" spans="6:12" x14ac:dyDescent="0.25">
      <c r="F4292" s="11" t="str">
        <f>IF(ISBLANK(D4292),"",(VLOOKUP(D4292,Cardápio!$A$2:$B$16,2,0))*E4292)</f>
        <v/>
      </c>
      <c r="H4292" s="7" t="str">
        <f t="shared" si="268"/>
        <v/>
      </c>
      <c r="I4292" s="7" t="str">
        <f>IF(AND(ISBLANK(D4292),ISBLANK(C4292)),"",((VLOOKUP(D4292,Cardápio!$A$2:$C$16,3,0))*E4292)+IF(B4292="iFood",F4292*0.27,(VLOOKUP(VENDAS!C4292,Bairros!$A$2:$B$90,2,0))))</f>
        <v/>
      </c>
      <c r="J4292" s="7" t="str">
        <f t="shared" si="269"/>
        <v/>
      </c>
      <c r="K4292" s="9">
        <f t="shared" ca="1" si="270"/>
        <v>45404.878290162036</v>
      </c>
      <c r="L4292" s="10">
        <f t="shared" ca="1" si="271"/>
        <v>45404.878290046297</v>
      </c>
    </row>
    <row r="4293" spans="6:12" x14ac:dyDescent="0.25">
      <c r="F4293" s="11" t="str">
        <f>IF(ISBLANK(D4293),"",(VLOOKUP(D4293,Cardápio!$A$2:$B$16,2,0))*E4293)</f>
        <v/>
      </c>
      <c r="H4293" s="7" t="str">
        <f t="shared" si="268"/>
        <v/>
      </c>
      <c r="I4293" s="7" t="str">
        <f>IF(AND(ISBLANK(D4293),ISBLANK(C4293)),"",((VLOOKUP(D4293,Cardápio!$A$2:$C$16,3,0))*E4293)+IF(B4293="iFood",F4293*0.27,(VLOOKUP(VENDAS!C4293,Bairros!$A$2:$B$90,2,0))))</f>
        <v/>
      </c>
      <c r="J4293" s="7" t="str">
        <f t="shared" si="269"/>
        <v/>
      </c>
      <c r="K4293" s="9">
        <f t="shared" ca="1" si="270"/>
        <v>45404.878290277775</v>
      </c>
      <c r="L4293" s="10">
        <f t="shared" ca="1" si="271"/>
        <v>45404.878290046297</v>
      </c>
    </row>
    <row r="4294" spans="6:12" x14ac:dyDescent="0.25">
      <c r="F4294" s="11" t="str">
        <f>IF(ISBLANK(D4294),"",(VLOOKUP(D4294,Cardápio!$A$2:$B$16,2,0))*E4294)</f>
        <v/>
      </c>
      <c r="H4294" s="7" t="str">
        <f t="shared" si="268"/>
        <v/>
      </c>
      <c r="I4294" s="7" t="str">
        <f>IF(AND(ISBLANK(D4294),ISBLANK(C4294)),"",((VLOOKUP(D4294,Cardápio!$A$2:$C$16,3,0))*E4294)+IF(B4294="iFood",F4294*0.27,(VLOOKUP(VENDAS!C4294,Bairros!$A$2:$B$90,2,0))))</f>
        <v/>
      </c>
      <c r="J4294" s="7" t="str">
        <f t="shared" si="269"/>
        <v/>
      </c>
      <c r="K4294" s="9">
        <f t="shared" ca="1" si="270"/>
        <v>45404.878290162036</v>
      </c>
      <c r="L4294" s="10">
        <f t="shared" ca="1" si="271"/>
        <v>45404.878290046297</v>
      </c>
    </row>
    <row r="4295" spans="6:12" x14ac:dyDescent="0.25">
      <c r="F4295" s="11" t="str">
        <f>IF(ISBLANK(D4295),"",(VLOOKUP(D4295,Cardápio!$A$2:$B$16,2,0))*E4295)</f>
        <v/>
      </c>
      <c r="H4295" s="7" t="str">
        <f t="shared" si="268"/>
        <v/>
      </c>
      <c r="I4295" s="7" t="str">
        <f>IF(AND(ISBLANK(D4295),ISBLANK(C4295)),"",((VLOOKUP(D4295,Cardápio!$A$2:$C$16,3,0))*E4295)+IF(B4295="iFood",F4295*0.27,(VLOOKUP(VENDAS!C4295,Bairros!$A$2:$B$90,2,0))))</f>
        <v/>
      </c>
      <c r="J4295" s="7" t="str">
        <f t="shared" si="269"/>
        <v/>
      </c>
      <c r="K4295" s="9">
        <f t="shared" ca="1" si="270"/>
        <v>45404.878290162036</v>
      </c>
      <c r="L4295" s="10">
        <f t="shared" ca="1" si="271"/>
        <v>45404.878290162036</v>
      </c>
    </row>
    <row r="4296" spans="6:12" x14ac:dyDescent="0.25">
      <c r="F4296" s="11" t="str">
        <f>IF(ISBLANK(D4296),"",(VLOOKUP(D4296,Cardápio!$A$2:$B$16,2,0))*E4296)</f>
        <v/>
      </c>
      <c r="H4296" s="7" t="str">
        <f t="shared" si="268"/>
        <v/>
      </c>
      <c r="I4296" s="7" t="str">
        <f>IF(AND(ISBLANK(D4296),ISBLANK(C4296)),"",((VLOOKUP(D4296,Cardápio!$A$2:$C$16,3,0))*E4296)+IF(B4296="iFood",F4296*0.27,(VLOOKUP(VENDAS!C4296,Bairros!$A$2:$B$90,2,0))))</f>
        <v/>
      </c>
      <c r="J4296" s="7" t="str">
        <f t="shared" si="269"/>
        <v/>
      </c>
      <c r="K4296" s="9">
        <f t="shared" ca="1" si="270"/>
        <v>45404.878290162036</v>
      </c>
      <c r="L4296" s="10">
        <f t="shared" ca="1" si="271"/>
        <v>45404.878290046297</v>
      </c>
    </row>
    <row r="4297" spans="6:12" x14ac:dyDescent="0.25">
      <c r="F4297" s="11" t="str">
        <f>IF(ISBLANK(D4297),"",(VLOOKUP(D4297,Cardápio!$A$2:$B$16,2,0))*E4297)</f>
        <v/>
      </c>
      <c r="H4297" s="7" t="str">
        <f t="shared" si="268"/>
        <v/>
      </c>
      <c r="I4297" s="7" t="str">
        <f>IF(AND(ISBLANK(D4297),ISBLANK(C4297)),"",((VLOOKUP(D4297,Cardápio!$A$2:$C$16,3,0))*E4297)+IF(B4297="iFood",F4297*0.27,(VLOOKUP(VENDAS!C4297,Bairros!$A$2:$B$90,2,0))))</f>
        <v/>
      </c>
      <c r="J4297" s="7" t="str">
        <f t="shared" si="269"/>
        <v/>
      </c>
      <c r="K4297" s="9">
        <f t="shared" ca="1" si="270"/>
        <v>45404.878290277775</v>
      </c>
      <c r="L4297" s="10">
        <f t="shared" ca="1" si="271"/>
        <v>45404.878290046297</v>
      </c>
    </row>
    <row r="4298" spans="6:12" x14ac:dyDescent="0.25">
      <c r="F4298" s="11" t="str">
        <f>IF(ISBLANK(D4298),"",(VLOOKUP(D4298,Cardápio!$A$2:$B$16,2,0))*E4298)</f>
        <v/>
      </c>
      <c r="H4298" s="7" t="str">
        <f t="shared" si="268"/>
        <v/>
      </c>
      <c r="I4298" s="7" t="str">
        <f>IF(AND(ISBLANK(D4298),ISBLANK(C4298)),"",((VLOOKUP(D4298,Cardápio!$A$2:$C$16,3,0))*E4298)+IF(B4298="iFood",F4298*0.27,(VLOOKUP(VENDAS!C4298,Bairros!$A$2:$B$90,2,0))))</f>
        <v/>
      </c>
      <c r="J4298" s="7" t="str">
        <f t="shared" si="269"/>
        <v/>
      </c>
      <c r="K4298" s="9">
        <f t="shared" ca="1" si="270"/>
        <v>45404.878290162036</v>
      </c>
      <c r="L4298" s="10">
        <f t="shared" ca="1" si="271"/>
        <v>45404.878290046297</v>
      </c>
    </row>
    <row r="4299" spans="6:12" x14ac:dyDescent="0.25">
      <c r="F4299" s="11" t="str">
        <f>IF(ISBLANK(D4299),"",(VLOOKUP(D4299,Cardápio!$A$2:$B$16,2,0))*E4299)</f>
        <v/>
      </c>
      <c r="H4299" s="7" t="str">
        <f t="shared" si="268"/>
        <v/>
      </c>
      <c r="I4299" s="7" t="str">
        <f>IF(AND(ISBLANK(D4299),ISBLANK(C4299)),"",((VLOOKUP(D4299,Cardápio!$A$2:$C$16,3,0))*E4299)+IF(B4299="iFood",F4299*0.27,(VLOOKUP(VENDAS!C4299,Bairros!$A$2:$B$90,2,0))))</f>
        <v/>
      </c>
      <c r="J4299" s="7" t="str">
        <f t="shared" si="269"/>
        <v/>
      </c>
      <c r="K4299" s="9">
        <f t="shared" ca="1" si="270"/>
        <v>45404.878290162036</v>
      </c>
      <c r="L4299" s="10">
        <f t="shared" ca="1" si="271"/>
        <v>45404.878290162036</v>
      </c>
    </row>
    <row r="4300" spans="6:12" x14ac:dyDescent="0.25">
      <c r="F4300" s="11" t="str">
        <f>IF(ISBLANK(D4300),"",(VLOOKUP(D4300,Cardápio!$A$2:$B$16,2,0))*E4300)</f>
        <v/>
      </c>
      <c r="H4300" s="7" t="str">
        <f t="shared" si="268"/>
        <v/>
      </c>
      <c r="I4300" s="7" t="str">
        <f>IF(AND(ISBLANK(D4300),ISBLANK(C4300)),"",((VLOOKUP(D4300,Cardápio!$A$2:$C$16,3,0))*E4300)+IF(B4300="iFood",F4300*0.27,(VLOOKUP(VENDAS!C4300,Bairros!$A$2:$B$90,2,0))))</f>
        <v/>
      </c>
      <c r="J4300" s="7" t="str">
        <f t="shared" si="269"/>
        <v/>
      </c>
      <c r="K4300" s="9">
        <f t="shared" ca="1" si="270"/>
        <v>45404.878290162036</v>
      </c>
      <c r="L4300" s="10">
        <f t="shared" ca="1" si="271"/>
        <v>45404.878290046297</v>
      </c>
    </row>
    <row r="4301" spans="6:12" x14ac:dyDescent="0.25">
      <c r="F4301" s="11" t="str">
        <f>IF(ISBLANK(D4301),"",(VLOOKUP(D4301,Cardápio!$A$2:$B$16,2,0))*E4301)</f>
        <v/>
      </c>
      <c r="H4301" s="7" t="str">
        <f t="shared" si="268"/>
        <v/>
      </c>
      <c r="I4301" s="7" t="str">
        <f>IF(AND(ISBLANK(D4301),ISBLANK(C4301)),"",((VLOOKUP(D4301,Cardápio!$A$2:$C$16,3,0))*E4301)+IF(B4301="iFood",F4301*0.27,(VLOOKUP(VENDAS!C4301,Bairros!$A$2:$B$90,2,0))))</f>
        <v/>
      </c>
      <c r="J4301" s="7" t="str">
        <f t="shared" si="269"/>
        <v/>
      </c>
      <c r="K4301" s="9">
        <f t="shared" ca="1" si="270"/>
        <v>45404.878290277775</v>
      </c>
      <c r="L4301" s="10">
        <f t="shared" ca="1" si="271"/>
        <v>45404.878290046297</v>
      </c>
    </row>
    <row r="4302" spans="6:12" x14ac:dyDescent="0.25">
      <c r="F4302" s="11" t="str">
        <f>IF(ISBLANK(D4302),"",(VLOOKUP(D4302,Cardápio!$A$2:$B$16,2,0))*E4302)</f>
        <v/>
      </c>
      <c r="H4302" s="7" t="str">
        <f t="shared" si="268"/>
        <v/>
      </c>
      <c r="I4302" s="7" t="str">
        <f>IF(AND(ISBLANK(D4302),ISBLANK(C4302)),"",((VLOOKUP(D4302,Cardápio!$A$2:$C$16,3,0))*E4302)+IF(B4302="iFood",F4302*0.27,(VLOOKUP(VENDAS!C4302,Bairros!$A$2:$B$90,2,0))))</f>
        <v/>
      </c>
      <c r="J4302" s="7" t="str">
        <f t="shared" si="269"/>
        <v/>
      </c>
      <c r="K4302" s="9">
        <f t="shared" ca="1" si="270"/>
        <v>45404.878290162036</v>
      </c>
      <c r="L4302" s="10">
        <f t="shared" ca="1" si="271"/>
        <v>45404.878290046297</v>
      </c>
    </row>
    <row r="4303" spans="6:12" x14ac:dyDescent="0.25">
      <c r="F4303" s="11" t="str">
        <f>IF(ISBLANK(D4303),"",(VLOOKUP(D4303,Cardápio!$A$2:$B$16,2,0))*E4303)</f>
        <v/>
      </c>
      <c r="H4303" s="7" t="str">
        <f t="shared" si="268"/>
        <v/>
      </c>
      <c r="I4303" s="7" t="str">
        <f>IF(AND(ISBLANK(D4303),ISBLANK(C4303)),"",((VLOOKUP(D4303,Cardápio!$A$2:$C$16,3,0))*E4303)+IF(B4303="iFood",F4303*0.27,(VLOOKUP(VENDAS!C4303,Bairros!$A$2:$B$90,2,0))))</f>
        <v/>
      </c>
      <c r="J4303" s="7" t="str">
        <f t="shared" si="269"/>
        <v/>
      </c>
      <c r="K4303" s="9">
        <f t="shared" ca="1" si="270"/>
        <v>45404.878290162036</v>
      </c>
      <c r="L4303" s="10">
        <f t="shared" ca="1" si="271"/>
        <v>45404.878290162036</v>
      </c>
    </row>
    <row r="4304" spans="6:12" x14ac:dyDescent="0.25">
      <c r="F4304" s="11" t="str">
        <f>IF(ISBLANK(D4304),"",(VLOOKUP(D4304,Cardápio!$A$2:$B$16,2,0))*E4304)</f>
        <v/>
      </c>
      <c r="H4304" s="7" t="str">
        <f t="shared" si="268"/>
        <v/>
      </c>
      <c r="I4304" s="7" t="str">
        <f>IF(AND(ISBLANK(D4304),ISBLANK(C4304)),"",((VLOOKUP(D4304,Cardápio!$A$2:$C$16,3,0))*E4304)+IF(B4304="iFood",F4304*0.27,(VLOOKUP(VENDAS!C4304,Bairros!$A$2:$B$90,2,0))))</f>
        <v/>
      </c>
      <c r="J4304" s="7" t="str">
        <f t="shared" si="269"/>
        <v/>
      </c>
      <c r="K4304" s="9">
        <f t="shared" ca="1" si="270"/>
        <v>45404.878290162036</v>
      </c>
      <c r="L4304" s="10">
        <f t="shared" ca="1" si="271"/>
        <v>45404.878290046297</v>
      </c>
    </row>
    <row r="4305" spans="6:12" x14ac:dyDescent="0.25">
      <c r="F4305" s="11" t="str">
        <f>IF(ISBLANK(D4305),"",(VLOOKUP(D4305,Cardápio!$A$2:$B$16,2,0))*E4305)</f>
        <v/>
      </c>
      <c r="H4305" s="7" t="str">
        <f t="shared" si="268"/>
        <v/>
      </c>
      <c r="I4305" s="7" t="str">
        <f>IF(AND(ISBLANK(D4305),ISBLANK(C4305)),"",((VLOOKUP(D4305,Cardápio!$A$2:$C$16,3,0))*E4305)+IF(B4305="iFood",F4305*0.27,(VLOOKUP(VENDAS!C4305,Bairros!$A$2:$B$90,2,0))))</f>
        <v/>
      </c>
      <c r="J4305" s="7" t="str">
        <f t="shared" si="269"/>
        <v/>
      </c>
      <c r="K4305" s="9">
        <f t="shared" ca="1" si="270"/>
        <v>45404.878290277775</v>
      </c>
      <c r="L4305" s="10">
        <f t="shared" ca="1" si="271"/>
        <v>45404.878290046297</v>
      </c>
    </row>
    <row r="4306" spans="6:12" x14ac:dyDescent="0.25">
      <c r="F4306" s="11" t="str">
        <f>IF(ISBLANK(D4306),"",(VLOOKUP(D4306,Cardápio!$A$2:$B$16,2,0))*E4306)</f>
        <v/>
      </c>
      <c r="H4306" s="7" t="str">
        <f t="shared" si="268"/>
        <v/>
      </c>
      <c r="I4306" s="7" t="str">
        <f>IF(AND(ISBLANK(D4306),ISBLANK(C4306)),"",((VLOOKUP(D4306,Cardápio!$A$2:$C$16,3,0))*E4306)+IF(B4306="iFood",F4306*0.27,(VLOOKUP(VENDAS!C4306,Bairros!$A$2:$B$90,2,0))))</f>
        <v/>
      </c>
      <c r="J4306" s="7" t="str">
        <f t="shared" si="269"/>
        <v/>
      </c>
      <c r="K4306" s="9">
        <f t="shared" ca="1" si="270"/>
        <v>45404.878290162036</v>
      </c>
      <c r="L4306" s="10">
        <f t="shared" ca="1" si="271"/>
        <v>45404.878290046297</v>
      </c>
    </row>
    <row r="4307" spans="6:12" x14ac:dyDescent="0.25">
      <c r="F4307" s="11" t="str">
        <f>IF(ISBLANK(D4307),"",(VLOOKUP(D4307,Cardápio!$A$2:$B$16,2,0))*E4307)</f>
        <v/>
      </c>
      <c r="H4307" s="7" t="str">
        <f t="shared" si="268"/>
        <v/>
      </c>
      <c r="I4307" s="7" t="str">
        <f>IF(AND(ISBLANK(D4307),ISBLANK(C4307)),"",((VLOOKUP(D4307,Cardápio!$A$2:$C$16,3,0))*E4307)+IF(B4307="iFood",F4307*0.27,(VLOOKUP(VENDAS!C4307,Bairros!$A$2:$B$90,2,0))))</f>
        <v/>
      </c>
      <c r="J4307" s="7" t="str">
        <f t="shared" si="269"/>
        <v/>
      </c>
      <c r="K4307" s="9">
        <f t="shared" ca="1" si="270"/>
        <v>45404.878290162036</v>
      </c>
      <c r="L4307" s="10">
        <f t="shared" ca="1" si="271"/>
        <v>45404.878290162036</v>
      </c>
    </row>
    <row r="4308" spans="6:12" x14ac:dyDescent="0.25">
      <c r="F4308" s="11" t="str">
        <f>IF(ISBLANK(D4308),"",(VLOOKUP(D4308,Cardápio!$A$2:$B$16,2,0))*E4308)</f>
        <v/>
      </c>
      <c r="H4308" s="7" t="str">
        <f t="shared" si="268"/>
        <v/>
      </c>
      <c r="I4308" s="7" t="str">
        <f>IF(AND(ISBLANK(D4308),ISBLANK(C4308)),"",((VLOOKUP(D4308,Cardápio!$A$2:$C$16,3,0))*E4308)+IF(B4308="iFood",F4308*0.27,(VLOOKUP(VENDAS!C4308,Bairros!$A$2:$B$90,2,0))))</f>
        <v/>
      </c>
      <c r="J4308" s="7" t="str">
        <f t="shared" si="269"/>
        <v/>
      </c>
      <c r="K4308" s="9">
        <f t="shared" ca="1" si="270"/>
        <v>45404.878290162036</v>
      </c>
      <c r="L4308" s="10">
        <f t="shared" ca="1" si="271"/>
        <v>45404.878290046297</v>
      </c>
    </row>
    <row r="4309" spans="6:12" x14ac:dyDescent="0.25">
      <c r="F4309" s="11" t="str">
        <f>IF(ISBLANK(D4309),"",(VLOOKUP(D4309,Cardápio!$A$2:$B$16,2,0))*E4309)</f>
        <v/>
      </c>
      <c r="H4309" s="7" t="str">
        <f t="shared" si="268"/>
        <v/>
      </c>
      <c r="I4309" s="7" t="str">
        <f>IF(AND(ISBLANK(D4309),ISBLANK(C4309)),"",((VLOOKUP(D4309,Cardápio!$A$2:$C$16,3,0))*E4309)+IF(B4309="iFood",F4309*0.27,(VLOOKUP(VENDAS!C4309,Bairros!$A$2:$B$90,2,0))))</f>
        <v/>
      </c>
      <c r="J4309" s="7" t="str">
        <f t="shared" si="269"/>
        <v/>
      </c>
      <c r="K4309" s="9">
        <f t="shared" ca="1" si="270"/>
        <v>45404.878290277775</v>
      </c>
      <c r="L4309" s="10">
        <f t="shared" ca="1" si="271"/>
        <v>45404.878290046297</v>
      </c>
    </row>
    <row r="4310" spans="6:12" x14ac:dyDescent="0.25">
      <c r="F4310" s="11" t="str">
        <f>IF(ISBLANK(D4310),"",(VLOOKUP(D4310,Cardápio!$A$2:$B$16,2,0))*E4310)</f>
        <v/>
      </c>
      <c r="H4310" s="7" t="str">
        <f t="shared" si="268"/>
        <v/>
      </c>
      <c r="I4310" s="7" t="str">
        <f>IF(AND(ISBLANK(D4310),ISBLANK(C4310)),"",((VLOOKUP(D4310,Cardápio!$A$2:$C$16,3,0))*E4310)+IF(B4310="iFood",F4310*0.27,(VLOOKUP(VENDAS!C4310,Bairros!$A$2:$B$90,2,0))))</f>
        <v/>
      </c>
      <c r="J4310" s="7" t="str">
        <f t="shared" si="269"/>
        <v/>
      </c>
      <c r="K4310" s="9">
        <f t="shared" ca="1" si="270"/>
        <v>45404.878290162036</v>
      </c>
      <c r="L4310" s="10">
        <f t="shared" ca="1" si="271"/>
        <v>45404.878290046297</v>
      </c>
    </row>
    <row r="4311" spans="6:12" x14ac:dyDescent="0.25">
      <c r="F4311" s="11" t="str">
        <f>IF(ISBLANK(D4311),"",(VLOOKUP(D4311,Cardápio!$A$2:$B$16,2,0))*E4311)</f>
        <v/>
      </c>
      <c r="H4311" s="7" t="str">
        <f t="shared" si="268"/>
        <v/>
      </c>
      <c r="I4311" s="7" t="str">
        <f>IF(AND(ISBLANK(D4311),ISBLANK(C4311)),"",((VLOOKUP(D4311,Cardápio!$A$2:$C$16,3,0))*E4311)+IF(B4311="iFood",F4311*0.27,(VLOOKUP(VENDAS!C4311,Bairros!$A$2:$B$90,2,0))))</f>
        <v/>
      </c>
      <c r="J4311" s="7" t="str">
        <f t="shared" si="269"/>
        <v/>
      </c>
      <c r="K4311" s="9">
        <f t="shared" ca="1" si="270"/>
        <v>45404.878290162036</v>
      </c>
      <c r="L4311" s="10">
        <f t="shared" ca="1" si="271"/>
        <v>45404.878290162036</v>
      </c>
    </row>
    <row r="4312" spans="6:12" x14ac:dyDescent="0.25">
      <c r="F4312" s="11" t="str">
        <f>IF(ISBLANK(D4312),"",(VLOOKUP(D4312,Cardápio!$A$2:$B$16,2,0))*E4312)</f>
        <v/>
      </c>
      <c r="H4312" s="7" t="str">
        <f t="shared" si="268"/>
        <v/>
      </c>
      <c r="I4312" s="7" t="str">
        <f>IF(AND(ISBLANK(D4312),ISBLANK(C4312)),"",((VLOOKUP(D4312,Cardápio!$A$2:$C$16,3,0))*E4312)+IF(B4312="iFood",F4312*0.27,(VLOOKUP(VENDAS!C4312,Bairros!$A$2:$B$90,2,0))))</f>
        <v/>
      </c>
      <c r="J4312" s="7" t="str">
        <f t="shared" si="269"/>
        <v/>
      </c>
      <c r="K4312" s="9">
        <f t="shared" ca="1" si="270"/>
        <v>45404.878290162036</v>
      </c>
      <c r="L4312" s="10">
        <f t="shared" ca="1" si="271"/>
        <v>45404.878290046297</v>
      </c>
    </row>
    <row r="4313" spans="6:12" x14ac:dyDescent="0.25">
      <c r="F4313" s="11" t="str">
        <f>IF(ISBLANK(D4313),"",(VLOOKUP(D4313,Cardápio!$A$2:$B$16,2,0))*E4313)</f>
        <v/>
      </c>
      <c r="H4313" s="7" t="str">
        <f t="shared" si="268"/>
        <v/>
      </c>
      <c r="I4313" s="7" t="str">
        <f>IF(AND(ISBLANK(D4313),ISBLANK(C4313)),"",((VLOOKUP(D4313,Cardápio!$A$2:$C$16,3,0))*E4313)+IF(B4313="iFood",F4313*0.27,(VLOOKUP(VENDAS!C4313,Bairros!$A$2:$B$90,2,0))))</f>
        <v/>
      </c>
      <c r="J4313" s="7" t="str">
        <f t="shared" si="269"/>
        <v/>
      </c>
      <c r="K4313" s="9">
        <f t="shared" ca="1" si="270"/>
        <v>45404.878290277775</v>
      </c>
      <c r="L4313" s="10">
        <f t="shared" ca="1" si="271"/>
        <v>45404.878290046297</v>
      </c>
    </row>
    <row r="4314" spans="6:12" x14ac:dyDescent="0.25">
      <c r="F4314" s="11" t="str">
        <f>IF(ISBLANK(D4314),"",(VLOOKUP(D4314,Cardápio!$A$2:$B$16,2,0))*E4314)</f>
        <v/>
      </c>
      <c r="H4314" s="7" t="str">
        <f t="shared" si="268"/>
        <v/>
      </c>
      <c r="I4314" s="7" t="str">
        <f>IF(AND(ISBLANK(D4314),ISBLANK(C4314)),"",((VLOOKUP(D4314,Cardápio!$A$2:$C$16,3,0))*E4314)+IF(B4314="iFood",F4314*0.27,(VLOOKUP(VENDAS!C4314,Bairros!$A$2:$B$90,2,0))))</f>
        <v/>
      </c>
      <c r="J4314" s="7" t="str">
        <f t="shared" si="269"/>
        <v/>
      </c>
      <c r="K4314" s="9">
        <f t="shared" ca="1" si="270"/>
        <v>45404.878290162036</v>
      </c>
      <c r="L4314" s="10">
        <f t="shared" ca="1" si="271"/>
        <v>45404.878290046297</v>
      </c>
    </row>
    <row r="4315" spans="6:12" x14ac:dyDescent="0.25">
      <c r="F4315" s="11" t="str">
        <f>IF(ISBLANK(D4315),"",(VLOOKUP(D4315,Cardápio!$A$2:$B$16,2,0))*E4315)</f>
        <v/>
      </c>
      <c r="H4315" s="7" t="str">
        <f t="shared" si="268"/>
        <v/>
      </c>
      <c r="I4315" s="7" t="str">
        <f>IF(AND(ISBLANK(D4315),ISBLANK(C4315)),"",((VLOOKUP(D4315,Cardápio!$A$2:$C$16,3,0))*E4315)+IF(B4315="iFood",F4315*0.27,(VLOOKUP(VENDAS!C4315,Bairros!$A$2:$B$90,2,0))))</f>
        <v/>
      </c>
      <c r="J4315" s="7" t="str">
        <f t="shared" si="269"/>
        <v/>
      </c>
      <c r="K4315" s="9">
        <f t="shared" ca="1" si="270"/>
        <v>45404.878290162036</v>
      </c>
      <c r="L4315" s="10">
        <f t="shared" ca="1" si="271"/>
        <v>45404.878290162036</v>
      </c>
    </row>
    <row r="4316" spans="6:12" x14ac:dyDescent="0.25">
      <c r="F4316" s="11" t="str">
        <f>IF(ISBLANK(D4316),"",(VLOOKUP(D4316,Cardápio!$A$2:$B$16,2,0))*E4316)</f>
        <v/>
      </c>
      <c r="H4316" s="7" t="str">
        <f t="shared" si="268"/>
        <v/>
      </c>
      <c r="I4316" s="7" t="str">
        <f>IF(AND(ISBLANK(D4316),ISBLANK(C4316)),"",((VLOOKUP(D4316,Cardápio!$A$2:$C$16,3,0))*E4316)+IF(B4316="iFood",F4316*0.27,(VLOOKUP(VENDAS!C4316,Bairros!$A$2:$B$90,2,0))))</f>
        <v/>
      </c>
      <c r="J4316" s="7" t="str">
        <f t="shared" si="269"/>
        <v/>
      </c>
      <c r="K4316" s="9">
        <f t="shared" ca="1" si="270"/>
        <v>45404.878290162036</v>
      </c>
      <c r="L4316" s="10">
        <f t="shared" ca="1" si="271"/>
        <v>45404.878290046297</v>
      </c>
    </row>
    <row r="4317" spans="6:12" x14ac:dyDescent="0.25">
      <c r="F4317" s="11" t="str">
        <f>IF(ISBLANK(D4317),"",(VLOOKUP(D4317,Cardápio!$A$2:$B$16,2,0))*E4317)</f>
        <v/>
      </c>
      <c r="H4317" s="7" t="str">
        <f t="shared" si="268"/>
        <v/>
      </c>
      <c r="I4317" s="7" t="str">
        <f>IF(AND(ISBLANK(D4317),ISBLANK(C4317)),"",((VLOOKUP(D4317,Cardápio!$A$2:$C$16,3,0))*E4317)+IF(B4317="iFood",F4317*0.27,(VLOOKUP(VENDAS!C4317,Bairros!$A$2:$B$90,2,0))))</f>
        <v/>
      </c>
      <c r="J4317" s="7" t="str">
        <f t="shared" si="269"/>
        <v/>
      </c>
      <c r="K4317" s="9">
        <f t="shared" ca="1" si="270"/>
        <v>45404.878290277775</v>
      </c>
      <c r="L4317" s="10">
        <f t="shared" ca="1" si="271"/>
        <v>45404.878290046297</v>
      </c>
    </row>
    <row r="4318" spans="6:12" x14ac:dyDescent="0.25">
      <c r="F4318" s="11" t="str">
        <f>IF(ISBLANK(D4318),"",(VLOOKUP(D4318,Cardápio!$A$2:$B$16,2,0))*E4318)</f>
        <v/>
      </c>
      <c r="H4318" s="7" t="str">
        <f t="shared" si="268"/>
        <v/>
      </c>
      <c r="I4318" s="7" t="str">
        <f>IF(AND(ISBLANK(D4318),ISBLANK(C4318)),"",((VLOOKUP(D4318,Cardápio!$A$2:$C$16,3,0))*E4318)+IF(B4318="iFood",F4318*0.27,(VLOOKUP(VENDAS!C4318,Bairros!$A$2:$B$90,2,0))))</f>
        <v/>
      </c>
      <c r="J4318" s="7" t="str">
        <f t="shared" si="269"/>
        <v/>
      </c>
      <c r="K4318" s="9">
        <f t="shared" ca="1" si="270"/>
        <v>45404.878290162036</v>
      </c>
      <c r="L4318" s="10">
        <f t="shared" ca="1" si="271"/>
        <v>45404.878290046297</v>
      </c>
    </row>
    <row r="4319" spans="6:12" x14ac:dyDescent="0.25">
      <c r="F4319" s="11" t="str">
        <f>IF(ISBLANK(D4319),"",(VLOOKUP(D4319,Cardápio!$A$2:$B$16,2,0))*E4319)</f>
        <v/>
      </c>
      <c r="H4319" s="7" t="str">
        <f t="shared" si="268"/>
        <v/>
      </c>
      <c r="I4319" s="7" t="str">
        <f>IF(AND(ISBLANK(D4319),ISBLANK(C4319)),"",((VLOOKUP(D4319,Cardápio!$A$2:$C$16,3,0))*E4319)+IF(B4319="iFood",F4319*0.27,(VLOOKUP(VENDAS!C4319,Bairros!$A$2:$B$90,2,0))))</f>
        <v/>
      </c>
      <c r="J4319" s="7" t="str">
        <f t="shared" si="269"/>
        <v/>
      </c>
      <c r="K4319" s="9">
        <f t="shared" ca="1" si="270"/>
        <v>45404.878290162036</v>
      </c>
      <c r="L4319" s="10">
        <f t="shared" ca="1" si="271"/>
        <v>45404.878290162036</v>
      </c>
    </row>
    <row r="4320" spans="6:12" x14ac:dyDescent="0.25">
      <c r="F4320" s="11" t="str">
        <f>IF(ISBLANK(D4320),"",(VLOOKUP(D4320,Cardápio!$A$2:$B$16,2,0))*E4320)</f>
        <v/>
      </c>
      <c r="H4320" s="7" t="str">
        <f t="shared" si="268"/>
        <v/>
      </c>
      <c r="I4320" s="7" t="str">
        <f>IF(AND(ISBLANK(D4320),ISBLANK(C4320)),"",((VLOOKUP(D4320,Cardápio!$A$2:$C$16,3,0))*E4320)+IF(B4320="iFood",F4320*0.27,(VLOOKUP(VENDAS!C4320,Bairros!$A$2:$B$90,2,0))))</f>
        <v/>
      </c>
      <c r="J4320" s="7" t="str">
        <f t="shared" si="269"/>
        <v/>
      </c>
      <c r="K4320" s="9">
        <f t="shared" ca="1" si="270"/>
        <v>45404.878290162036</v>
      </c>
      <c r="L4320" s="10">
        <f t="shared" ca="1" si="271"/>
        <v>45404.878290046297</v>
      </c>
    </row>
    <row r="4321" spans="6:12" x14ac:dyDescent="0.25">
      <c r="F4321" s="11" t="str">
        <f>IF(ISBLANK(D4321),"",(VLOOKUP(D4321,Cardápio!$A$2:$B$16,2,0))*E4321)</f>
        <v/>
      </c>
      <c r="H4321" s="7" t="str">
        <f t="shared" si="268"/>
        <v/>
      </c>
      <c r="I4321" s="7" t="str">
        <f>IF(AND(ISBLANK(D4321),ISBLANK(C4321)),"",((VLOOKUP(D4321,Cardápio!$A$2:$C$16,3,0))*E4321)+IF(B4321="iFood",F4321*0.27,(VLOOKUP(VENDAS!C4321,Bairros!$A$2:$B$90,2,0))))</f>
        <v/>
      </c>
      <c r="J4321" s="7" t="str">
        <f t="shared" si="269"/>
        <v/>
      </c>
      <c r="K4321" s="9">
        <f t="shared" ca="1" si="270"/>
        <v>45404.878290277775</v>
      </c>
      <c r="L4321" s="10">
        <f t="shared" ca="1" si="271"/>
        <v>45404.878290046297</v>
      </c>
    </row>
    <row r="4322" spans="6:12" x14ac:dyDescent="0.25">
      <c r="F4322" s="11" t="str">
        <f>IF(ISBLANK(D4322),"",(VLOOKUP(D4322,Cardápio!$A$2:$B$16,2,0))*E4322)</f>
        <v/>
      </c>
      <c r="H4322" s="7" t="str">
        <f t="shared" si="268"/>
        <v/>
      </c>
      <c r="I4322" s="7" t="str">
        <f>IF(AND(ISBLANK(D4322),ISBLANK(C4322)),"",((VLOOKUP(D4322,Cardápio!$A$2:$C$16,3,0))*E4322)+IF(B4322="iFood",F4322*0.27,(VLOOKUP(VENDAS!C4322,Bairros!$A$2:$B$90,2,0))))</f>
        <v/>
      </c>
      <c r="J4322" s="7" t="str">
        <f t="shared" si="269"/>
        <v/>
      </c>
      <c r="K4322" s="9">
        <f t="shared" ca="1" si="270"/>
        <v>45404.878290162036</v>
      </c>
      <c r="L4322" s="10">
        <f t="shared" ca="1" si="271"/>
        <v>45404.878290046297</v>
      </c>
    </row>
    <row r="4323" spans="6:12" x14ac:dyDescent="0.25">
      <c r="F4323" s="11" t="str">
        <f>IF(ISBLANK(D4323),"",(VLOOKUP(D4323,Cardápio!$A$2:$B$16,2,0))*E4323)</f>
        <v/>
      </c>
      <c r="H4323" s="7" t="str">
        <f t="shared" si="268"/>
        <v/>
      </c>
      <c r="I4323" s="7" t="str">
        <f>IF(AND(ISBLANK(D4323),ISBLANK(C4323)),"",((VLOOKUP(D4323,Cardápio!$A$2:$C$16,3,0))*E4323)+IF(B4323="iFood",F4323*0.27,(VLOOKUP(VENDAS!C4323,Bairros!$A$2:$B$90,2,0))))</f>
        <v/>
      </c>
      <c r="J4323" s="7" t="str">
        <f t="shared" si="269"/>
        <v/>
      </c>
      <c r="K4323" s="9">
        <f t="shared" ca="1" si="270"/>
        <v>45404.878290162036</v>
      </c>
      <c r="L4323" s="10">
        <f t="shared" ca="1" si="271"/>
        <v>45404.878290162036</v>
      </c>
    </row>
    <row r="4324" spans="6:12" x14ac:dyDescent="0.25">
      <c r="F4324" s="11" t="str">
        <f>IF(ISBLANK(D4324),"",(VLOOKUP(D4324,Cardápio!$A$2:$B$16,2,0))*E4324)</f>
        <v/>
      </c>
      <c r="H4324" s="7" t="str">
        <f t="shared" si="268"/>
        <v/>
      </c>
      <c r="I4324" s="7" t="str">
        <f>IF(AND(ISBLANK(D4324),ISBLANK(C4324)),"",((VLOOKUP(D4324,Cardápio!$A$2:$C$16,3,0))*E4324)+IF(B4324="iFood",F4324*0.27,(VLOOKUP(VENDAS!C4324,Bairros!$A$2:$B$90,2,0))))</f>
        <v/>
      </c>
      <c r="J4324" s="7" t="str">
        <f t="shared" si="269"/>
        <v/>
      </c>
      <c r="K4324" s="9">
        <f t="shared" ca="1" si="270"/>
        <v>45404.878290162036</v>
      </c>
      <c r="L4324" s="10">
        <f t="shared" ca="1" si="271"/>
        <v>45404.878290046297</v>
      </c>
    </row>
    <row r="4325" spans="6:12" x14ac:dyDescent="0.25">
      <c r="F4325" s="11" t="str">
        <f>IF(ISBLANK(D4325),"",(VLOOKUP(D4325,Cardápio!$A$2:$B$16,2,0))*E4325)</f>
        <v/>
      </c>
      <c r="H4325" s="7" t="str">
        <f t="shared" si="268"/>
        <v/>
      </c>
      <c r="I4325" s="7" t="str">
        <f>IF(AND(ISBLANK(D4325),ISBLANK(C4325)),"",((VLOOKUP(D4325,Cardápio!$A$2:$C$16,3,0))*E4325)+IF(B4325="iFood",F4325*0.27,(VLOOKUP(VENDAS!C4325,Bairros!$A$2:$B$90,2,0))))</f>
        <v/>
      </c>
      <c r="J4325" s="7" t="str">
        <f t="shared" si="269"/>
        <v/>
      </c>
      <c r="K4325" s="9">
        <f t="shared" ca="1" si="270"/>
        <v>45404.878290277775</v>
      </c>
      <c r="L4325" s="10">
        <f t="shared" ca="1" si="271"/>
        <v>45404.878290046297</v>
      </c>
    </row>
    <row r="4326" spans="6:12" x14ac:dyDescent="0.25">
      <c r="F4326" s="11" t="str">
        <f>IF(ISBLANK(D4326),"",(VLOOKUP(D4326,Cardápio!$A$2:$B$16,2,0))*E4326)</f>
        <v/>
      </c>
      <c r="H4326" s="7" t="str">
        <f t="shared" si="268"/>
        <v/>
      </c>
      <c r="I4326" s="7" t="str">
        <f>IF(AND(ISBLANK(D4326),ISBLANK(C4326)),"",((VLOOKUP(D4326,Cardápio!$A$2:$C$16,3,0))*E4326)+IF(B4326="iFood",F4326*0.27,(VLOOKUP(VENDAS!C4326,Bairros!$A$2:$B$90,2,0))))</f>
        <v/>
      </c>
      <c r="J4326" s="7" t="str">
        <f t="shared" si="269"/>
        <v/>
      </c>
      <c r="K4326" s="9">
        <f t="shared" ca="1" si="270"/>
        <v>45404.878290162036</v>
      </c>
      <c r="L4326" s="10">
        <f t="shared" ca="1" si="271"/>
        <v>45404.878290046297</v>
      </c>
    </row>
    <row r="4327" spans="6:12" x14ac:dyDescent="0.25">
      <c r="F4327" s="11" t="str">
        <f>IF(ISBLANK(D4327),"",(VLOOKUP(D4327,Cardápio!$A$2:$B$16,2,0))*E4327)</f>
        <v/>
      </c>
      <c r="H4327" s="7" t="str">
        <f t="shared" si="268"/>
        <v/>
      </c>
      <c r="I4327" s="7" t="str">
        <f>IF(AND(ISBLANK(D4327),ISBLANK(C4327)),"",((VLOOKUP(D4327,Cardápio!$A$2:$C$16,3,0))*E4327)+IF(B4327="iFood",F4327*0.27,(VLOOKUP(VENDAS!C4327,Bairros!$A$2:$B$90,2,0))))</f>
        <v/>
      </c>
      <c r="J4327" s="7" t="str">
        <f t="shared" si="269"/>
        <v/>
      </c>
      <c r="K4327" s="9">
        <f t="shared" ca="1" si="270"/>
        <v>45404.878290162036</v>
      </c>
      <c r="L4327" s="10">
        <f t="shared" ca="1" si="271"/>
        <v>45404.878290162036</v>
      </c>
    </row>
    <row r="4328" spans="6:12" x14ac:dyDescent="0.25">
      <c r="F4328" s="11" t="str">
        <f>IF(ISBLANK(D4328),"",(VLOOKUP(D4328,Cardápio!$A$2:$B$16,2,0))*E4328)</f>
        <v/>
      </c>
      <c r="H4328" s="7" t="str">
        <f t="shared" si="268"/>
        <v/>
      </c>
      <c r="I4328" s="7" t="str">
        <f>IF(AND(ISBLANK(D4328),ISBLANK(C4328)),"",((VLOOKUP(D4328,Cardápio!$A$2:$C$16,3,0))*E4328)+IF(B4328="iFood",F4328*0.27,(VLOOKUP(VENDAS!C4328,Bairros!$A$2:$B$90,2,0))))</f>
        <v/>
      </c>
      <c r="J4328" s="7" t="str">
        <f t="shared" si="269"/>
        <v/>
      </c>
      <c r="K4328" s="9">
        <f t="shared" ca="1" si="270"/>
        <v>45404.878290162036</v>
      </c>
      <c r="L4328" s="10">
        <f t="shared" ca="1" si="271"/>
        <v>45404.878290046297</v>
      </c>
    </row>
    <row r="4329" spans="6:12" x14ac:dyDescent="0.25">
      <c r="F4329" s="11" t="str">
        <f>IF(ISBLANK(D4329),"",(VLOOKUP(D4329,Cardápio!$A$2:$B$16,2,0))*E4329)</f>
        <v/>
      </c>
      <c r="H4329" s="7" t="str">
        <f t="shared" si="268"/>
        <v/>
      </c>
      <c r="I4329" s="7" t="str">
        <f>IF(AND(ISBLANK(D4329),ISBLANK(C4329)),"",((VLOOKUP(D4329,Cardápio!$A$2:$C$16,3,0))*E4329)+IF(B4329="iFood",F4329*0.27,(VLOOKUP(VENDAS!C4329,Bairros!$A$2:$B$90,2,0))))</f>
        <v/>
      </c>
      <c r="J4329" s="7" t="str">
        <f t="shared" si="269"/>
        <v/>
      </c>
      <c r="K4329" s="9">
        <f t="shared" ca="1" si="270"/>
        <v>45404.878290277775</v>
      </c>
      <c r="L4329" s="10">
        <f t="shared" ca="1" si="271"/>
        <v>45404.878290046297</v>
      </c>
    </row>
    <row r="4330" spans="6:12" x14ac:dyDescent="0.25">
      <c r="F4330" s="11" t="str">
        <f>IF(ISBLANK(D4330),"",(VLOOKUP(D4330,Cardápio!$A$2:$B$16,2,0))*E4330)</f>
        <v/>
      </c>
      <c r="H4330" s="7" t="str">
        <f t="shared" si="268"/>
        <v/>
      </c>
      <c r="I4330" s="7" t="str">
        <f>IF(AND(ISBLANK(D4330),ISBLANK(C4330)),"",((VLOOKUP(D4330,Cardápio!$A$2:$C$16,3,0))*E4330)+IF(B4330="iFood",F4330*0.27,(VLOOKUP(VENDAS!C4330,Bairros!$A$2:$B$90,2,0))))</f>
        <v/>
      </c>
      <c r="J4330" s="7" t="str">
        <f t="shared" si="269"/>
        <v/>
      </c>
      <c r="K4330" s="9">
        <f t="shared" ca="1" si="270"/>
        <v>45404.878290162036</v>
      </c>
      <c r="L4330" s="10">
        <f t="shared" ca="1" si="271"/>
        <v>45404.878290046297</v>
      </c>
    </row>
    <row r="4331" spans="6:12" x14ac:dyDescent="0.25">
      <c r="F4331" s="11" t="str">
        <f>IF(ISBLANK(D4331),"",(VLOOKUP(D4331,Cardápio!$A$2:$B$16,2,0))*E4331)</f>
        <v/>
      </c>
      <c r="H4331" s="7" t="str">
        <f t="shared" si="268"/>
        <v/>
      </c>
      <c r="I4331" s="7" t="str">
        <f>IF(AND(ISBLANK(D4331),ISBLANK(C4331)),"",((VLOOKUP(D4331,Cardápio!$A$2:$C$16,3,0))*E4331)+IF(B4331="iFood",F4331*0.27,(VLOOKUP(VENDAS!C4331,Bairros!$A$2:$B$90,2,0))))</f>
        <v/>
      </c>
      <c r="J4331" s="7" t="str">
        <f t="shared" si="269"/>
        <v/>
      </c>
      <c r="K4331" s="9">
        <f t="shared" ca="1" si="270"/>
        <v>45404.878290162036</v>
      </c>
      <c r="L4331" s="10">
        <f t="shared" ca="1" si="271"/>
        <v>45404.878290162036</v>
      </c>
    </row>
    <row r="4332" spans="6:12" x14ac:dyDescent="0.25">
      <c r="F4332" s="11" t="str">
        <f>IF(ISBLANK(D4332),"",(VLOOKUP(D4332,Cardápio!$A$2:$B$16,2,0))*E4332)</f>
        <v/>
      </c>
      <c r="H4332" s="7" t="str">
        <f t="shared" si="268"/>
        <v/>
      </c>
      <c r="I4332" s="7" t="str">
        <f>IF(AND(ISBLANK(D4332),ISBLANK(C4332)),"",((VLOOKUP(D4332,Cardápio!$A$2:$C$16,3,0))*E4332)+IF(B4332="iFood",F4332*0.27,(VLOOKUP(VENDAS!C4332,Bairros!$A$2:$B$90,2,0))))</f>
        <v/>
      </c>
      <c r="J4332" s="7" t="str">
        <f t="shared" si="269"/>
        <v/>
      </c>
      <c r="K4332" s="9">
        <f t="shared" ca="1" si="270"/>
        <v>45404.878290162036</v>
      </c>
      <c r="L4332" s="10">
        <f t="shared" ca="1" si="271"/>
        <v>45404.878290046297</v>
      </c>
    </row>
    <row r="4333" spans="6:12" x14ac:dyDescent="0.25">
      <c r="F4333" s="11" t="str">
        <f>IF(ISBLANK(D4333),"",(VLOOKUP(D4333,Cardápio!$A$2:$B$16,2,0))*E4333)</f>
        <v/>
      </c>
      <c r="H4333" s="7" t="str">
        <f t="shared" si="268"/>
        <v/>
      </c>
      <c r="I4333" s="7" t="str">
        <f>IF(AND(ISBLANK(D4333),ISBLANK(C4333)),"",((VLOOKUP(D4333,Cardápio!$A$2:$C$16,3,0))*E4333)+IF(B4333="iFood",F4333*0.27,(VLOOKUP(VENDAS!C4333,Bairros!$A$2:$B$90,2,0))))</f>
        <v/>
      </c>
      <c r="J4333" s="7" t="str">
        <f t="shared" si="269"/>
        <v/>
      </c>
      <c r="K4333" s="9">
        <f t="shared" ca="1" si="270"/>
        <v>45404.878290277775</v>
      </c>
      <c r="L4333" s="10">
        <f t="shared" ca="1" si="271"/>
        <v>45404.878290046297</v>
      </c>
    </row>
    <row r="4334" spans="6:12" x14ac:dyDescent="0.25">
      <c r="F4334" s="11" t="str">
        <f>IF(ISBLANK(D4334),"",(VLOOKUP(D4334,Cardápio!$A$2:$B$16,2,0))*E4334)</f>
        <v/>
      </c>
      <c r="H4334" s="7" t="str">
        <f t="shared" si="268"/>
        <v/>
      </c>
      <c r="I4334" s="7" t="str">
        <f>IF(AND(ISBLANK(D4334),ISBLANK(C4334)),"",((VLOOKUP(D4334,Cardápio!$A$2:$C$16,3,0))*E4334)+IF(B4334="iFood",F4334*0.27,(VLOOKUP(VENDAS!C4334,Bairros!$A$2:$B$90,2,0))))</f>
        <v/>
      </c>
      <c r="J4334" s="7" t="str">
        <f t="shared" si="269"/>
        <v/>
      </c>
      <c r="K4334" s="9">
        <f t="shared" ca="1" si="270"/>
        <v>45404.878290162036</v>
      </c>
      <c r="L4334" s="10">
        <f t="shared" ca="1" si="271"/>
        <v>45404.878290046297</v>
      </c>
    </row>
    <row r="4335" spans="6:12" x14ac:dyDescent="0.25">
      <c r="F4335" s="11" t="str">
        <f>IF(ISBLANK(D4335),"",(VLOOKUP(D4335,Cardápio!$A$2:$B$16,2,0))*E4335)</f>
        <v/>
      </c>
      <c r="H4335" s="7" t="str">
        <f t="shared" si="268"/>
        <v/>
      </c>
      <c r="I4335" s="7" t="str">
        <f>IF(AND(ISBLANK(D4335),ISBLANK(C4335)),"",((VLOOKUP(D4335,Cardápio!$A$2:$C$16,3,0))*E4335)+IF(B4335="iFood",F4335*0.27,(VLOOKUP(VENDAS!C4335,Bairros!$A$2:$B$90,2,0))))</f>
        <v/>
      </c>
      <c r="J4335" s="7" t="str">
        <f t="shared" si="269"/>
        <v/>
      </c>
      <c r="K4335" s="9">
        <f t="shared" ca="1" si="270"/>
        <v>45404.878290162036</v>
      </c>
      <c r="L4335" s="10">
        <f t="shared" ca="1" si="271"/>
        <v>45404.878290162036</v>
      </c>
    </row>
    <row r="4336" spans="6:12" x14ac:dyDescent="0.25">
      <c r="F4336" s="11" t="str">
        <f>IF(ISBLANK(D4336),"",(VLOOKUP(D4336,Cardápio!$A$2:$B$16,2,0))*E4336)</f>
        <v/>
      </c>
      <c r="H4336" s="7" t="str">
        <f t="shared" si="268"/>
        <v/>
      </c>
      <c r="I4336" s="7" t="str">
        <f>IF(AND(ISBLANK(D4336),ISBLANK(C4336)),"",((VLOOKUP(D4336,Cardápio!$A$2:$C$16,3,0))*E4336)+IF(B4336="iFood",F4336*0.27,(VLOOKUP(VENDAS!C4336,Bairros!$A$2:$B$90,2,0))))</f>
        <v/>
      </c>
      <c r="J4336" s="7" t="str">
        <f t="shared" si="269"/>
        <v/>
      </c>
      <c r="K4336" s="9">
        <f t="shared" ca="1" si="270"/>
        <v>45404.878290162036</v>
      </c>
      <c r="L4336" s="10">
        <f t="shared" ca="1" si="271"/>
        <v>45404.878290046297</v>
      </c>
    </row>
    <row r="4337" spans="6:12" x14ac:dyDescent="0.25">
      <c r="F4337" s="11" t="str">
        <f>IF(ISBLANK(D4337),"",(VLOOKUP(D4337,Cardápio!$A$2:$B$16,2,0))*E4337)</f>
        <v/>
      </c>
      <c r="H4337" s="7" t="str">
        <f t="shared" si="268"/>
        <v/>
      </c>
      <c r="I4337" s="7" t="str">
        <f>IF(AND(ISBLANK(D4337),ISBLANK(C4337)),"",((VLOOKUP(D4337,Cardápio!$A$2:$C$16,3,0))*E4337)+IF(B4337="iFood",F4337*0.27,(VLOOKUP(VENDAS!C4337,Bairros!$A$2:$B$90,2,0))))</f>
        <v/>
      </c>
      <c r="J4337" s="7" t="str">
        <f t="shared" si="269"/>
        <v/>
      </c>
      <c r="K4337" s="9">
        <f t="shared" ca="1" si="270"/>
        <v>45404.878290277775</v>
      </c>
      <c r="L4337" s="10">
        <f t="shared" ca="1" si="271"/>
        <v>45404.878290046297</v>
      </c>
    </row>
    <row r="4338" spans="6:12" x14ac:dyDescent="0.25">
      <c r="F4338" s="11" t="str">
        <f>IF(ISBLANK(D4338),"",(VLOOKUP(D4338,Cardápio!$A$2:$B$16,2,0))*E4338)</f>
        <v/>
      </c>
      <c r="H4338" s="7" t="str">
        <f t="shared" si="268"/>
        <v/>
      </c>
      <c r="I4338" s="7" t="str">
        <f>IF(AND(ISBLANK(D4338),ISBLANK(C4338)),"",((VLOOKUP(D4338,Cardápio!$A$2:$C$16,3,0))*E4338)+IF(B4338="iFood",F4338*0.27,(VLOOKUP(VENDAS!C4338,Bairros!$A$2:$B$90,2,0))))</f>
        <v/>
      </c>
      <c r="J4338" s="7" t="str">
        <f t="shared" si="269"/>
        <v/>
      </c>
      <c r="K4338" s="9">
        <f t="shared" ca="1" si="270"/>
        <v>45404.878290162036</v>
      </c>
      <c r="L4338" s="10">
        <f t="shared" ca="1" si="271"/>
        <v>45404.878290046297</v>
      </c>
    </row>
    <row r="4339" spans="6:12" x14ac:dyDescent="0.25">
      <c r="F4339" s="11" t="str">
        <f>IF(ISBLANK(D4339),"",(VLOOKUP(D4339,Cardápio!$A$2:$B$16,2,0))*E4339)</f>
        <v/>
      </c>
      <c r="H4339" s="7" t="str">
        <f t="shared" si="268"/>
        <v/>
      </c>
      <c r="I4339" s="7" t="str">
        <f>IF(AND(ISBLANK(D4339),ISBLANK(C4339)),"",((VLOOKUP(D4339,Cardápio!$A$2:$C$16,3,0))*E4339)+IF(B4339="iFood",F4339*0.27,(VLOOKUP(VENDAS!C4339,Bairros!$A$2:$B$90,2,0))))</f>
        <v/>
      </c>
      <c r="J4339" s="7" t="str">
        <f t="shared" si="269"/>
        <v/>
      </c>
      <c r="K4339" s="9">
        <f t="shared" ca="1" si="270"/>
        <v>45404.878290162036</v>
      </c>
      <c r="L4339" s="10">
        <f t="shared" ca="1" si="271"/>
        <v>45404.878290162036</v>
      </c>
    </row>
    <row r="4340" spans="6:12" x14ac:dyDescent="0.25">
      <c r="F4340" s="11" t="str">
        <f>IF(ISBLANK(D4340),"",(VLOOKUP(D4340,Cardápio!$A$2:$B$16,2,0))*E4340)</f>
        <v/>
      </c>
      <c r="H4340" s="7" t="str">
        <f t="shared" si="268"/>
        <v/>
      </c>
      <c r="I4340" s="7" t="str">
        <f>IF(AND(ISBLANK(D4340),ISBLANK(C4340)),"",((VLOOKUP(D4340,Cardápio!$A$2:$C$16,3,0))*E4340)+IF(B4340="iFood",F4340*0.27,(VLOOKUP(VENDAS!C4340,Bairros!$A$2:$B$90,2,0))))</f>
        <v/>
      </c>
      <c r="J4340" s="7" t="str">
        <f t="shared" si="269"/>
        <v/>
      </c>
      <c r="K4340" s="9">
        <f t="shared" ca="1" si="270"/>
        <v>45404.878290162036</v>
      </c>
      <c r="L4340" s="10">
        <f t="shared" ca="1" si="271"/>
        <v>45404.878290046297</v>
      </c>
    </row>
    <row r="4341" spans="6:12" x14ac:dyDescent="0.25">
      <c r="F4341" s="11" t="str">
        <f>IF(ISBLANK(D4341),"",(VLOOKUP(D4341,Cardápio!$A$2:$B$16,2,0))*E4341)</f>
        <v/>
      </c>
      <c r="H4341" s="7" t="str">
        <f t="shared" ref="H4341:H4404" si="272">IF(ISBLANK(D4341),"",F4341-G4341)</f>
        <v/>
      </c>
      <c r="I4341" s="7" t="str">
        <f>IF(AND(ISBLANK(D4341),ISBLANK(C4341)),"",((VLOOKUP(D4341,Cardápio!$A$2:$C$16,3,0))*E4341)+IF(B4341="iFood",F4341*0.27,(VLOOKUP(VENDAS!C4341,Bairros!$A$2:$B$90,2,0))))</f>
        <v/>
      </c>
      <c r="J4341" s="7" t="str">
        <f t="shared" ref="J4341:J4404" si="273">IF(OR(AND(ISBLANK(H4341),ISBLANK(I4341)),(AND(H4341="",I4341=""))),"",H4341-I4341)</f>
        <v/>
      </c>
      <c r="K4341" s="9">
        <f t="shared" ref="K4341:K4404" ca="1" si="274">IF(D4341&lt;&gt;"",K4341,NOW())</f>
        <v>45404.878290277775</v>
      </c>
      <c r="L4341" s="10">
        <f t="shared" ref="L4341:L4404" ca="1" si="275">IF(D4341&lt;&gt;"",L4341,NOW())</f>
        <v>45404.878290046297</v>
      </c>
    </row>
    <row r="4342" spans="6:12" x14ac:dyDescent="0.25">
      <c r="F4342" s="11" t="str">
        <f>IF(ISBLANK(D4342),"",(VLOOKUP(D4342,Cardápio!$A$2:$B$16,2,0))*E4342)</f>
        <v/>
      </c>
      <c r="H4342" s="7" t="str">
        <f t="shared" si="272"/>
        <v/>
      </c>
      <c r="I4342" s="7" t="str">
        <f>IF(AND(ISBLANK(D4342),ISBLANK(C4342)),"",((VLOOKUP(D4342,Cardápio!$A$2:$C$16,3,0))*E4342)+IF(B4342="iFood",F4342*0.27,(VLOOKUP(VENDAS!C4342,Bairros!$A$2:$B$90,2,0))))</f>
        <v/>
      </c>
      <c r="J4342" s="7" t="str">
        <f t="shared" si="273"/>
        <v/>
      </c>
      <c r="K4342" s="9">
        <f t="shared" ca="1" si="274"/>
        <v>45404.878290162036</v>
      </c>
      <c r="L4342" s="10">
        <f t="shared" ca="1" si="275"/>
        <v>45404.878290046297</v>
      </c>
    </row>
    <row r="4343" spans="6:12" x14ac:dyDescent="0.25">
      <c r="F4343" s="11" t="str">
        <f>IF(ISBLANK(D4343),"",(VLOOKUP(D4343,Cardápio!$A$2:$B$16,2,0))*E4343)</f>
        <v/>
      </c>
      <c r="H4343" s="7" t="str">
        <f t="shared" si="272"/>
        <v/>
      </c>
      <c r="I4343" s="7" t="str">
        <f>IF(AND(ISBLANK(D4343),ISBLANK(C4343)),"",((VLOOKUP(D4343,Cardápio!$A$2:$C$16,3,0))*E4343)+IF(B4343="iFood",F4343*0.27,(VLOOKUP(VENDAS!C4343,Bairros!$A$2:$B$90,2,0))))</f>
        <v/>
      </c>
      <c r="J4343" s="7" t="str">
        <f t="shared" si="273"/>
        <v/>
      </c>
      <c r="K4343" s="9">
        <f t="shared" ca="1" si="274"/>
        <v>45404.878290162036</v>
      </c>
      <c r="L4343" s="10">
        <f t="shared" ca="1" si="275"/>
        <v>45404.878290162036</v>
      </c>
    </row>
    <row r="4344" spans="6:12" x14ac:dyDescent="0.25">
      <c r="F4344" s="11" t="str">
        <f>IF(ISBLANK(D4344),"",(VLOOKUP(D4344,Cardápio!$A$2:$B$16,2,0))*E4344)</f>
        <v/>
      </c>
      <c r="H4344" s="7" t="str">
        <f t="shared" si="272"/>
        <v/>
      </c>
      <c r="I4344" s="7" t="str">
        <f>IF(AND(ISBLANK(D4344),ISBLANK(C4344)),"",((VLOOKUP(D4344,Cardápio!$A$2:$C$16,3,0))*E4344)+IF(B4344="iFood",F4344*0.27,(VLOOKUP(VENDAS!C4344,Bairros!$A$2:$B$90,2,0))))</f>
        <v/>
      </c>
      <c r="J4344" s="7" t="str">
        <f t="shared" si="273"/>
        <v/>
      </c>
      <c r="K4344" s="9">
        <f t="shared" ca="1" si="274"/>
        <v>45404.878290162036</v>
      </c>
      <c r="L4344" s="10">
        <f t="shared" ca="1" si="275"/>
        <v>45404.878290046297</v>
      </c>
    </row>
    <row r="4345" spans="6:12" x14ac:dyDescent="0.25">
      <c r="F4345" s="11" t="str">
        <f>IF(ISBLANK(D4345),"",(VLOOKUP(D4345,Cardápio!$A$2:$B$16,2,0))*E4345)</f>
        <v/>
      </c>
      <c r="H4345" s="7" t="str">
        <f t="shared" si="272"/>
        <v/>
      </c>
      <c r="I4345" s="7" t="str">
        <f>IF(AND(ISBLANK(D4345),ISBLANK(C4345)),"",((VLOOKUP(D4345,Cardápio!$A$2:$C$16,3,0))*E4345)+IF(B4345="iFood",F4345*0.27,(VLOOKUP(VENDAS!C4345,Bairros!$A$2:$B$90,2,0))))</f>
        <v/>
      </c>
      <c r="J4345" s="7" t="str">
        <f t="shared" si="273"/>
        <v/>
      </c>
      <c r="K4345" s="9">
        <f t="shared" ca="1" si="274"/>
        <v>45404.878290277775</v>
      </c>
      <c r="L4345" s="10">
        <f t="shared" ca="1" si="275"/>
        <v>45404.878290046297</v>
      </c>
    </row>
    <row r="4346" spans="6:12" x14ac:dyDescent="0.25">
      <c r="F4346" s="11" t="str">
        <f>IF(ISBLANK(D4346),"",(VLOOKUP(D4346,Cardápio!$A$2:$B$16,2,0))*E4346)</f>
        <v/>
      </c>
      <c r="H4346" s="7" t="str">
        <f t="shared" si="272"/>
        <v/>
      </c>
      <c r="I4346" s="7" t="str">
        <f>IF(AND(ISBLANK(D4346),ISBLANK(C4346)),"",((VLOOKUP(D4346,Cardápio!$A$2:$C$16,3,0))*E4346)+IF(B4346="iFood",F4346*0.27,(VLOOKUP(VENDAS!C4346,Bairros!$A$2:$B$90,2,0))))</f>
        <v/>
      </c>
      <c r="J4346" s="7" t="str">
        <f t="shared" si="273"/>
        <v/>
      </c>
      <c r="K4346" s="9">
        <f t="shared" ca="1" si="274"/>
        <v>45404.878290162036</v>
      </c>
      <c r="L4346" s="10">
        <f t="shared" ca="1" si="275"/>
        <v>45404.878290046297</v>
      </c>
    </row>
    <row r="4347" spans="6:12" x14ac:dyDescent="0.25">
      <c r="F4347" s="11" t="str">
        <f>IF(ISBLANK(D4347),"",(VLOOKUP(D4347,Cardápio!$A$2:$B$16,2,0))*E4347)</f>
        <v/>
      </c>
      <c r="H4347" s="7" t="str">
        <f t="shared" si="272"/>
        <v/>
      </c>
      <c r="I4347" s="7" t="str">
        <f>IF(AND(ISBLANK(D4347),ISBLANK(C4347)),"",((VLOOKUP(D4347,Cardápio!$A$2:$C$16,3,0))*E4347)+IF(B4347="iFood",F4347*0.27,(VLOOKUP(VENDAS!C4347,Bairros!$A$2:$B$90,2,0))))</f>
        <v/>
      </c>
      <c r="J4347" s="7" t="str">
        <f t="shared" si="273"/>
        <v/>
      </c>
      <c r="K4347" s="9">
        <f t="shared" ca="1" si="274"/>
        <v>45404.878290162036</v>
      </c>
      <c r="L4347" s="10">
        <f t="shared" ca="1" si="275"/>
        <v>45404.878290162036</v>
      </c>
    </row>
    <row r="4348" spans="6:12" x14ac:dyDescent="0.25">
      <c r="F4348" s="11" t="str">
        <f>IF(ISBLANK(D4348),"",(VLOOKUP(D4348,Cardápio!$A$2:$B$16,2,0))*E4348)</f>
        <v/>
      </c>
      <c r="H4348" s="7" t="str">
        <f t="shared" si="272"/>
        <v/>
      </c>
      <c r="I4348" s="7" t="str">
        <f>IF(AND(ISBLANK(D4348),ISBLANK(C4348)),"",((VLOOKUP(D4348,Cardápio!$A$2:$C$16,3,0))*E4348)+IF(B4348="iFood",F4348*0.27,(VLOOKUP(VENDAS!C4348,Bairros!$A$2:$B$90,2,0))))</f>
        <v/>
      </c>
      <c r="J4348" s="7" t="str">
        <f t="shared" si="273"/>
        <v/>
      </c>
      <c r="K4348" s="9">
        <f t="shared" ca="1" si="274"/>
        <v>45404.878290162036</v>
      </c>
      <c r="L4348" s="10">
        <f t="shared" ca="1" si="275"/>
        <v>45404.878290046297</v>
      </c>
    </row>
    <row r="4349" spans="6:12" x14ac:dyDescent="0.25">
      <c r="F4349" s="11" t="str">
        <f>IF(ISBLANK(D4349),"",(VLOOKUP(D4349,Cardápio!$A$2:$B$16,2,0))*E4349)</f>
        <v/>
      </c>
      <c r="H4349" s="7" t="str">
        <f t="shared" si="272"/>
        <v/>
      </c>
      <c r="I4349" s="7" t="str">
        <f>IF(AND(ISBLANK(D4349),ISBLANK(C4349)),"",((VLOOKUP(D4349,Cardápio!$A$2:$C$16,3,0))*E4349)+IF(B4349="iFood",F4349*0.27,(VLOOKUP(VENDAS!C4349,Bairros!$A$2:$B$90,2,0))))</f>
        <v/>
      </c>
      <c r="J4349" s="7" t="str">
        <f t="shared" si="273"/>
        <v/>
      </c>
      <c r="K4349" s="9">
        <f t="shared" ca="1" si="274"/>
        <v>45404.878290277775</v>
      </c>
      <c r="L4349" s="10">
        <f t="shared" ca="1" si="275"/>
        <v>45404.878290046297</v>
      </c>
    </row>
    <row r="4350" spans="6:12" x14ac:dyDescent="0.25">
      <c r="F4350" s="11" t="str">
        <f>IF(ISBLANK(D4350),"",(VLOOKUP(D4350,Cardápio!$A$2:$B$16,2,0))*E4350)</f>
        <v/>
      </c>
      <c r="H4350" s="7" t="str">
        <f t="shared" si="272"/>
        <v/>
      </c>
      <c r="I4350" s="7" t="str">
        <f>IF(AND(ISBLANK(D4350),ISBLANK(C4350)),"",((VLOOKUP(D4350,Cardápio!$A$2:$C$16,3,0))*E4350)+IF(B4350="iFood",F4350*0.27,(VLOOKUP(VENDAS!C4350,Bairros!$A$2:$B$90,2,0))))</f>
        <v/>
      </c>
      <c r="J4350" s="7" t="str">
        <f t="shared" si="273"/>
        <v/>
      </c>
      <c r="K4350" s="9">
        <f t="shared" ca="1" si="274"/>
        <v>45404.878290162036</v>
      </c>
      <c r="L4350" s="10">
        <f t="shared" ca="1" si="275"/>
        <v>45404.878290046297</v>
      </c>
    </row>
    <row r="4351" spans="6:12" x14ac:dyDescent="0.25">
      <c r="F4351" s="11" t="str">
        <f>IF(ISBLANK(D4351),"",(VLOOKUP(D4351,Cardápio!$A$2:$B$16,2,0))*E4351)</f>
        <v/>
      </c>
      <c r="H4351" s="7" t="str">
        <f t="shared" si="272"/>
        <v/>
      </c>
      <c r="I4351" s="7" t="str">
        <f>IF(AND(ISBLANK(D4351),ISBLANK(C4351)),"",((VLOOKUP(D4351,Cardápio!$A$2:$C$16,3,0))*E4351)+IF(B4351="iFood",F4351*0.27,(VLOOKUP(VENDAS!C4351,Bairros!$A$2:$B$90,2,0))))</f>
        <v/>
      </c>
      <c r="J4351" s="7" t="str">
        <f t="shared" si="273"/>
        <v/>
      </c>
      <c r="K4351" s="9">
        <f t="shared" ca="1" si="274"/>
        <v>45404.878290162036</v>
      </c>
      <c r="L4351" s="10">
        <f t="shared" ca="1" si="275"/>
        <v>45404.878290162036</v>
      </c>
    </row>
    <row r="4352" spans="6:12" x14ac:dyDescent="0.25">
      <c r="F4352" s="11" t="str">
        <f>IF(ISBLANK(D4352),"",(VLOOKUP(D4352,Cardápio!$A$2:$B$16,2,0))*E4352)</f>
        <v/>
      </c>
      <c r="H4352" s="7" t="str">
        <f t="shared" si="272"/>
        <v/>
      </c>
      <c r="I4352" s="7" t="str">
        <f>IF(AND(ISBLANK(D4352),ISBLANK(C4352)),"",((VLOOKUP(D4352,Cardápio!$A$2:$C$16,3,0))*E4352)+IF(B4352="iFood",F4352*0.27,(VLOOKUP(VENDAS!C4352,Bairros!$A$2:$B$90,2,0))))</f>
        <v/>
      </c>
      <c r="J4352" s="7" t="str">
        <f t="shared" si="273"/>
        <v/>
      </c>
      <c r="K4352" s="9">
        <f t="shared" ca="1" si="274"/>
        <v>45404.878290162036</v>
      </c>
      <c r="L4352" s="10">
        <f t="shared" ca="1" si="275"/>
        <v>45404.878290046297</v>
      </c>
    </row>
    <row r="4353" spans="6:12" x14ac:dyDescent="0.25">
      <c r="F4353" s="11" t="str">
        <f>IF(ISBLANK(D4353),"",(VLOOKUP(D4353,Cardápio!$A$2:$B$16,2,0))*E4353)</f>
        <v/>
      </c>
      <c r="H4353" s="7" t="str">
        <f t="shared" si="272"/>
        <v/>
      </c>
      <c r="I4353" s="7" t="str">
        <f>IF(AND(ISBLANK(D4353),ISBLANK(C4353)),"",((VLOOKUP(D4353,Cardápio!$A$2:$C$16,3,0))*E4353)+IF(B4353="iFood",F4353*0.27,(VLOOKUP(VENDAS!C4353,Bairros!$A$2:$B$90,2,0))))</f>
        <v/>
      </c>
      <c r="J4353" s="7" t="str">
        <f t="shared" si="273"/>
        <v/>
      </c>
      <c r="K4353" s="9">
        <f t="shared" ca="1" si="274"/>
        <v>45404.878290277775</v>
      </c>
      <c r="L4353" s="10">
        <f t="shared" ca="1" si="275"/>
        <v>45404.878290046297</v>
      </c>
    </row>
    <row r="4354" spans="6:12" x14ac:dyDescent="0.25">
      <c r="F4354" s="11" t="str">
        <f>IF(ISBLANK(D4354),"",(VLOOKUP(D4354,Cardápio!$A$2:$B$16,2,0))*E4354)</f>
        <v/>
      </c>
      <c r="H4354" s="7" t="str">
        <f t="shared" si="272"/>
        <v/>
      </c>
      <c r="I4354" s="7" t="str">
        <f>IF(AND(ISBLANK(D4354),ISBLANK(C4354)),"",((VLOOKUP(D4354,Cardápio!$A$2:$C$16,3,0))*E4354)+IF(B4354="iFood",F4354*0.27,(VLOOKUP(VENDAS!C4354,Bairros!$A$2:$B$90,2,0))))</f>
        <v/>
      </c>
      <c r="J4354" s="7" t="str">
        <f t="shared" si="273"/>
        <v/>
      </c>
      <c r="K4354" s="9">
        <f t="shared" ca="1" si="274"/>
        <v>45404.878290162036</v>
      </c>
      <c r="L4354" s="10">
        <f t="shared" ca="1" si="275"/>
        <v>45404.878290046297</v>
      </c>
    </row>
    <row r="4355" spans="6:12" x14ac:dyDescent="0.25">
      <c r="F4355" s="11" t="str">
        <f>IF(ISBLANK(D4355),"",(VLOOKUP(D4355,Cardápio!$A$2:$B$16,2,0))*E4355)</f>
        <v/>
      </c>
      <c r="H4355" s="7" t="str">
        <f t="shared" si="272"/>
        <v/>
      </c>
      <c r="I4355" s="7" t="str">
        <f>IF(AND(ISBLANK(D4355),ISBLANK(C4355)),"",((VLOOKUP(D4355,Cardápio!$A$2:$C$16,3,0))*E4355)+IF(B4355="iFood",F4355*0.27,(VLOOKUP(VENDAS!C4355,Bairros!$A$2:$B$90,2,0))))</f>
        <v/>
      </c>
      <c r="J4355" s="7" t="str">
        <f t="shared" si="273"/>
        <v/>
      </c>
      <c r="K4355" s="9">
        <f t="shared" ca="1" si="274"/>
        <v>45404.878290162036</v>
      </c>
      <c r="L4355" s="10">
        <f t="shared" ca="1" si="275"/>
        <v>45404.878290162036</v>
      </c>
    </row>
    <row r="4356" spans="6:12" x14ac:dyDescent="0.25">
      <c r="F4356" s="11" t="str">
        <f>IF(ISBLANK(D4356),"",(VLOOKUP(D4356,Cardápio!$A$2:$B$16,2,0))*E4356)</f>
        <v/>
      </c>
      <c r="H4356" s="7" t="str">
        <f t="shared" si="272"/>
        <v/>
      </c>
      <c r="I4356" s="7" t="str">
        <f>IF(AND(ISBLANK(D4356),ISBLANK(C4356)),"",((VLOOKUP(D4356,Cardápio!$A$2:$C$16,3,0))*E4356)+IF(B4356="iFood",F4356*0.27,(VLOOKUP(VENDAS!C4356,Bairros!$A$2:$B$90,2,0))))</f>
        <v/>
      </c>
      <c r="J4356" s="7" t="str">
        <f t="shared" si="273"/>
        <v/>
      </c>
      <c r="K4356" s="9">
        <f t="shared" ca="1" si="274"/>
        <v>45404.878290162036</v>
      </c>
      <c r="L4356" s="10">
        <f t="shared" ca="1" si="275"/>
        <v>45404.878290046297</v>
      </c>
    </row>
    <row r="4357" spans="6:12" x14ac:dyDescent="0.25">
      <c r="F4357" s="11" t="str">
        <f>IF(ISBLANK(D4357),"",(VLOOKUP(D4357,Cardápio!$A$2:$B$16,2,0))*E4357)</f>
        <v/>
      </c>
      <c r="H4357" s="7" t="str">
        <f t="shared" si="272"/>
        <v/>
      </c>
      <c r="I4357" s="7" t="str">
        <f>IF(AND(ISBLANK(D4357),ISBLANK(C4357)),"",((VLOOKUP(D4357,Cardápio!$A$2:$C$16,3,0))*E4357)+IF(B4357="iFood",F4357*0.27,(VLOOKUP(VENDAS!C4357,Bairros!$A$2:$B$90,2,0))))</f>
        <v/>
      </c>
      <c r="J4357" s="7" t="str">
        <f t="shared" si="273"/>
        <v/>
      </c>
      <c r="K4357" s="9">
        <f t="shared" ca="1" si="274"/>
        <v>45404.878290277775</v>
      </c>
      <c r="L4357" s="10">
        <f t="shared" ca="1" si="275"/>
        <v>45404.878290046297</v>
      </c>
    </row>
    <row r="4358" spans="6:12" x14ac:dyDescent="0.25">
      <c r="F4358" s="11" t="str">
        <f>IF(ISBLANK(D4358),"",(VLOOKUP(D4358,Cardápio!$A$2:$B$16,2,0))*E4358)</f>
        <v/>
      </c>
      <c r="H4358" s="7" t="str">
        <f t="shared" si="272"/>
        <v/>
      </c>
      <c r="I4358" s="7" t="str">
        <f>IF(AND(ISBLANK(D4358),ISBLANK(C4358)),"",((VLOOKUP(D4358,Cardápio!$A$2:$C$16,3,0))*E4358)+IF(B4358="iFood",F4358*0.27,(VLOOKUP(VENDAS!C4358,Bairros!$A$2:$B$90,2,0))))</f>
        <v/>
      </c>
      <c r="J4358" s="7" t="str">
        <f t="shared" si="273"/>
        <v/>
      </c>
      <c r="K4358" s="9">
        <f t="shared" ca="1" si="274"/>
        <v>45404.878290162036</v>
      </c>
      <c r="L4358" s="10">
        <f t="shared" ca="1" si="275"/>
        <v>45404.878290046297</v>
      </c>
    </row>
    <row r="4359" spans="6:12" x14ac:dyDescent="0.25">
      <c r="F4359" s="11" t="str">
        <f>IF(ISBLANK(D4359),"",(VLOOKUP(D4359,Cardápio!$A$2:$B$16,2,0))*E4359)</f>
        <v/>
      </c>
      <c r="H4359" s="7" t="str">
        <f t="shared" si="272"/>
        <v/>
      </c>
      <c r="I4359" s="7" t="str">
        <f>IF(AND(ISBLANK(D4359),ISBLANK(C4359)),"",((VLOOKUP(D4359,Cardápio!$A$2:$C$16,3,0))*E4359)+IF(B4359="iFood",F4359*0.27,(VLOOKUP(VENDAS!C4359,Bairros!$A$2:$B$90,2,0))))</f>
        <v/>
      </c>
      <c r="J4359" s="7" t="str">
        <f t="shared" si="273"/>
        <v/>
      </c>
      <c r="K4359" s="9">
        <f t="shared" ca="1" si="274"/>
        <v>45404.878290162036</v>
      </c>
      <c r="L4359" s="10">
        <f t="shared" ca="1" si="275"/>
        <v>45404.878290162036</v>
      </c>
    </row>
    <row r="4360" spans="6:12" x14ac:dyDescent="0.25">
      <c r="F4360" s="11" t="str">
        <f>IF(ISBLANK(D4360),"",(VLOOKUP(D4360,Cardápio!$A$2:$B$16,2,0))*E4360)</f>
        <v/>
      </c>
      <c r="H4360" s="7" t="str">
        <f t="shared" si="272"/>
        <v/>
      </c>
      <c r="I4360" s="7" t="str">
        <f>IF(AND(ISBLANK(D4360),ISBLANK(C4360)),"",((VLOOKUP(D4360,Cardápio!$A$2:$C$16,3,0))*E4360)+IF(B4360="iFood",F4360*0.27,(VLOOKUP(VENDAS!C4360,Bairros!$A$2:$B$90,2,0))))</f>
        <v/>
      </c>
      <c r="J4360" s="7" t="str">
        <f t="shared" si="273"/>
        <v/>
      </c>
      <c r="K4360" s="9">
        <f t="shared" ca="1" si="274"/>
        <v>45404.878290162036</v>
      </c>
      <c r="L4360" s="10">
        <f t="shared" ca="1" si="275"/>
        <v>45404.878290046297</v>
      </c>
    </row>
    <row r="4361" spans="6:12" x14ac:dyDescent="0.25">
      <c r="F4361" s="11" t="str">
        <f>IF(ISBLANK(D4361),"",(VLOOKUP(D4361,Cardápio!$A$2:$B$16,2,0))*E4361)</f>
        <v/>
      </c>
      <c r="H4361" s="7" t="str">
        <f t="shared" si="272"/>
        <v/>
      </c>
      <c r="I4361" s="7" t="str">
        <f>IF(AND(ISBLANK(D4361),ISBLANK(C4361)),"",((VLOOKUP(D4361,Cardápio!$A$2:$C$16,3,0))*E4361)+IF(B4361="iFood",F4361*0.27,(VLOOKUP(VENDAS!C4361,Bairros!$A$2:$B$90,2,0))))</f>
        <v/>
      </c>
      <c r="J4361" s="7" t="str">
        <f t="shared" si="273"/>
        <v/>
      </c>
      <c r="K4361" s="9">
        <f t="shared" ca="1" si="274"/>
        <v>45404.878290277775</v>
      </c>
      <c r="L4361" s="10">
        <f t="shared" ca="1" si="275"/>
        <v>45404.878290046297</v>
      </c>
    </row>
    <row r="4362" spans="6:12" x14ac:dyDescent="0.25">
      <c r="F4362" s="11" t="str">
        <f>IF(ISBLANK(D4362),"",(VLOOKUP(D4362,Cardápio!$A$2:$B$16,2,0))*E4362)</f>
        <v/>
      </c>
      <c r="H4362" s="7" t="str">
        <f t="shared" si="272"/>
        <v/>
      </c>
      <c r="I4362" s="7" t="str">
        <f>IF(AND(ISBLANK(D4362),ISBLANK(C4362)),"",((VLOOKUP(D4362,Cardápio!$A$2:$C$16,3,0))*E4362)+IF(B4362="iFood",F4362*0.27,(VLOOKUP(VENDAS!C4362,Bairros!$A$2:$B$90,2,0))))</f>
        <v/>
      </c>
      <c r="J4362" s="7" t="str">
        <f t="shared" si="273"/>
        <v/>
      </c>
      <c r="K4362" s="9">
        <f t="shared" ca="1" si="274"/>
        <v>45404.878290162036</v>
      </c>
      <c r="L4362" s="10">
        <f t="shared" ca="1" si="275"/>
        <v>45404.878290046297</v>
      </c>
    </row>
    <row r="4363" spans="6:12" x14ac:dyDescent="0.25">
      <c r="F4363" s="11" t="str">
        <f>IF(ISBLANK(D4363),"",(VLOOKUP(D4363,Cardápio!$A$2:$B$16,2,0))*E4363)</f>
        <v/>
      </c>
      <c r="H4363" s="7" t="str">
        <f t="shared" si="272"/>
        <v/>
      </c>
      <c r="I4363" s="7" t="str">
        <f>IF(AND(ISBLANK(D4363),ISBLANK(C4363)),"",((VLOOKUP(D4363,Cardápio!$A$2:$C$16,3,0))*E4363)+IF(B4363="iFood",F4363*0.27,(VLOOKUP(VENDAS!C4363,Bairros!$A$2:$B$90,2,0))))</f>
        <v/>
      </c>
      <c r="J4363" s="7" t="str">
        <f t="shared" si="273"/>
        <v/>
      </c>
      <c r="K4363" s="9">
        <f t="shared" ca="1" si="274"/>
        <v>45404.878290162036</v>
      </c>
      <c r="L4363" s="10">
        <f t="shared" ca="1" si="275"/>
        <v>45404.878290162036</v>
      </c>
    </row>
    <row r="4364" spans="6:12" x14ac:dyDescent="0.25">
      <c r="F4364" s="11" t="str">
        <f>IF(ISBLANK(D4364),"",(VLOOKUP(D4364,Cardápio!$A$2:$B$16,2,0))*E4364)</f>
        <v/>
      </c>
      <c r="H4364" s="7" t="str">
        <f t="shared" si="272"/>
        <v/>
      </c>
      <c r="I4364" s="7" t="str">
        <f>IF(AND(ISBLANK(D4364),ISBLANK(C4364)),"",((VLOOKUP(D4364,Cardápio!$A$2:$C$16,3,0))*E4364)+IF(B4364="iFood",F4364*0.27,(VLOOKUP(VENDAS!C4364,Bairros!$A$2:$B$90,2,0))))</f>
        <v/>
      </c>
      <c r="J4364" s="7" t="str">
        <f t="shared" si="273"/>
        <v/>
      </c>
      <c r="K4364" s="9">
        <f t="shared" ca="1" si="274"/>
        <v>45404.878290162036</v>
      </c>
      <c r="L4364" s="10">
        <f t="shared" ca="1" si="275"/>
        <v>45404.878290046297</v>
      </c>
    </row>
    <row r="4365" spans="6:12" x14ac:dyDescent="0.25">
      <c r="F4365" s="11" t="str">
        <f>IF(ISBLANK(D4365),"",(VLOOKUP(D4365,Cardápio!$A$2:$B$16,2,0))*E4365)</f>
        <v/>
      </c>
      <c r="H4365" s="7" t="str">
        <f t="shared" si="272"/>
        <v/>
      </c>
      <c r="I4365" s="7" t="str">
        <f>IF(AND(ISBLANK(D4365),ISBLANK(C4365)),"",((VLOOKUP(D4365,Cardápio!$A$2:$C$16,3,0))*E4365)+IF(B4365="iFood",F4365*0.27,(VLOOKUP(VENDAS!C4365,Bairros!$A$2:$B$90,2,0))))</f>
        <v/>
      </c>
      <c r="J4365" s="7" t="str">
        <f t="shared" si="273"/>
        <v/>
      </c>
      <c r="K4365" s="9">
        <f t="shared" ca="1" si="274"/>
        <v>45404.878290277775</v>
      </c>
      <c r="L4365" s="10">
        <f t="shared" ca="1" si="275"/>
        <v>45404.878290046297</v>
      </c>
    </row>
    <row r="4366" spans="6:12" x14ac:dyDescent="0.25">
      <c r="F4366" s="11" t="str">
        <f>IF(ISBLANK(D4366),"",(VLOOKUP(D4366,Cardápio!$A$2:$B$16,2,0))*E4366)</f>
        <v/>
      </c>
      <c r="H4366" s="7" t="str">
        <f t="shared" si="272"/>
        <v/>
      </c>
      <c r="I4366" s="7" t="str">
        <f>IF(AND(ISBLANK(D4366),ISBLANK(C4366)),"",((VLOOKUP(D4366,Cardápio!$A$2:$C$16,3,0))*E4366)+IF(B4366="iFood",F4366*0.27,(VLOOKUP(VENDAS!C4366,Bairros!$A$2:$B$90,2,0))))</f>
        <v/>
      </c>
      <c r="J4366" s="7" t="str">
        <f t="shared" si="273"/>
        <v/>
      </c>
      <c r="K4366" s="9">
        <f t="shared" ca="1" si="274"/>
        <v>45404.878290162036</v>
      </c>
      <c r="L4366" s="10">
        <f t="shared" ca="1" si="275"/>
        <v>45404.878290046297</v>
      </c>
    </row>
    <row r="4367" spans="6:12" x14ac:dyDescent="0.25">
      <c r="F4367" s="11" t="str">
        <f>IF(ISBLANK(D4367),"",(VLOOKUP(D4367,Cardápio!$A$2:$B$16,2,0))*E4367)</f>
        <v/>
      </c>
      <c r="H4367" s="7" t="str">
        <f t="shared" si="272"/>
        <v/>
      </c>
      <c r="I4367" s="7" t="str">
        <f>IF(AND(ISBLANK(D4367),ISBLANK(C4367)),"",((VLOOKUP(D4367,Cardápio!$A$2:$C$16,3,0))*E4367)+IF(B4367="iFood",F4367*0.27,(VLOOKUP(VENDAS!C4367,Bairros!$A$2:$B$90,2,0))))</f>
        <v/>
      </c>
      <c r="J4367" s="7" t="str">
        <f t="shared" si="273"/>
        <v/>
      </c>
      <c r="K4367" s="9">
        <f t="shared" ca="1" si="274"/>
        <v>45404.878290162036</v>
      </c>
      <c r="L4367" s="10">
        <f t="shared" ca="1" si="275"/>
        <v>45404.878290162036</v>
      </c>
    </row>
    <row r="4368" spans="6:12" x14ac:dyDescent="0.25">
      <c r="F4368" s="11" t="str">
        <f>IF(ISBLANK(D4368),"",(VLOOKUP(D4368,Cardápio!$A$2:$B$16,2,0))*E4368)</f>
        <v/>
      </c>
      <c r="H4368" s="7" t="str">
        <f t="shared" si="272"/>
        <v/>
      </c>
      <c r="I4368" s="7" t="str">
        <f>IF(AND(ISBLANK(D4368),ISBLANK(C4368)),"",((VLOOKUP(D4368,Cardápio!$A$2:$C$16,3,0))*E4368)+IF(B4368="iFood",F4368*0.27,(VLOOKUP(VENDAS!C4368,Bairros!$A$2:$B$90,2,0))))</f>
        <v/>
      </c>
      <c r="J4368" s="7" t="str">
        <f t="shared" si="273"/>
        <v/>
      </c>
      <c r="K4368" s="9">
        <f t="shared" ca="1" si="274"/>
        <v>45404.878290162036</v>
      </c>
      <c r="L4368" s="10">
        <f t="shared" ca="1" si="275"/>
        <v>45404.878290046297</v>
      </c>
    </row>
    <row r="4369" spans="6:12" x14ac:dyDescent="0.25">
      <c r="F4369" s="11" t="str">
        <f>IF(ISBLANK(D4369),"",(VLOOKUP(D4369,Cardápio!$A$2:$B$16,2,0))*E4369)</f>
        <v/>
      </c>
      <c r="H4369" s="7" t="str">
        <f t="shared" si="272"/>
        <v/>
      </c>
      <c r="I4369" s="7" t="str">
        <f>IF(AND(ISBLANK(D4369),ISBLANK(C4369)),"",((VLOOKUP(D4369,Cardápio!$A$2:$C$16,3,0))*E4369)+IF(B4369="iFood",F4369*0.27,(VLOOKUP(VENDAS!C4369,Bairros!$A$2:$B$90,2,0))))</f>
        <v/>
      </c>
      <c r="J4369" s="7" t="str">
        <f t="shared" si="273"/>
        <v/>
      </c>
      <c r="K4369" s="9">
        <f t="shared" ca="1" si="274"/>
        <v>45404.878290277775</v>
      </c>
      <c r="L4369" s="10">
        <f t="shared" ca="1" si="275"/>
        <v>45404.878290046297</v>
      </c>
    </row>
    <row r="4370" spans="6:12" x14ac:dyDescent="0.25">
      <c r="F4370" s="11" t="str">
        <f>IF(ISBLANK(D4370),"",(VLOOKUP(D4370,Cardápio!$A$2:$B$16,2,0))*E4370)</f>
        <v/>
      </c>
      <c r="H4370" s="7" t="str">
        <f t="shared" si="272"/>
        <v/>
      </c>
      <c r="I4370" s="7" t="str">
        <f>IF(AND(ISBLANK(D4370),ISBLANK(C4370)),"",((VLOOKUP(D4370,Cardápio!$A$2:$C$16,3,0))*E4370)+IF(B4370="iFood",F4370*0.27,(VLOOKUP(VENDAS!C4370,Bairros!$A$2:$B$90,2,0))))</f>
        <v/>
      </c>
      <c r="J4370" s="7" t="str">
        <f t="shared" si="273"/>
        <v/>
      </c>
      <c r="K4370" s="9">
        <f t="shared" ca="1" si="274"/>
        <v>45404.878290162036</v>
      </c>
      <c r="L4370" s="10">
        <f t="shared" ca="1" si="275"/>
        <v>45404.878290046297</v>
      </c>
    </row>
    <row r="4371" spans="6:12" x14ac:dyDescent="0.25">
      <c r="F4371" s="11" t="str">
        <f>IF(ISBLANK(D4371),"",(VLOOKUP(D4371,Cardápio!$A$2:$B$16,2,0))*E4371)</f>
        <v/>
      </c>
      <c r="H4371" s="7" t="str">
        <f t="shared" si="272"/>
        <v/>
      </c>
      <c r="I4371" s="7" t="str">
        <f>IF(AND(ISBLANK(D4371),ISBLANK(C4371)),"",((VLOOKUP(D4371,Cardápio!$A$2:$C$16,3,0))*E4371)+IF(B4371="iFood",F4371*0.27,(VLOOKUP(VENDAS!C4371,Bairros!$A$2:$B$90,2,0))))</f>
        <v/>
      </c>
      <c r="J4371" s="7" t="str">
        <f t="shared" si="273"/>
        <v/>
      </c>
      <c r="K4371" s="9">
        <f t="shared" ca="1" si="274"/>
        <v>45404.878290162036</v>
      </c>
      <c r="L4371" s="10">
        <f t="shared" ca="1" si="275"/>
        <v>45404.878290162036</v>
      </c>
    </row>
    <row r="4372" spans="6:12" x14ac:dyDescent="0.25">
      <c r="F4372" s="11" t="str">
        <f>IF(ISBLANK(D4372),"",(VLOOKUP(D4372,Cardápio!$A$2:$B$16,2,0))*E4372)</f>
        <v/>
      </c>
      <c r="H4372" s="7" t="str">
        <f t="shared" si="272"/>
        <v/>
      </c>
      <c r="I4372" s="7" t="str">
        <f>IF(AND(ISBLANK(D4372),ISBLANK(C4372)),"",((VLOOKUP(D4372,Cardápio!$A$2:$C$16,3,0))*E4372)+IF(B4372="iFood",F4372*0.27,(VLOOKUP(VENDAS!C4372,Bairros!$A$2:$B$90,2,0))))</f>
        <v/>
      </c>
      <c r="J4372" s="7" t="str">
        <f t="shared" si="273"/>
        <v/>
      </c>
      <c r="K4372" s="9">
        <f t="shared" ca="1" si="274"/>
        <v>45404.878290162036</v>
      </c>
      <c r="L4372" s="10">
        <f t="shared" ca="1" si="275"/>
        <v>45404.878290046297</v>
      </c>
    </row>
    <row r="4373" spans="6:12" x14ac:dyDescent="0.25">
      <c r="F4373" s="11" t="str">
        <f>IF(ISBLANK(D4373),"",(VLOOKUP(D4373,Cardápio!$A$2:$B$16,2,0))*E4373)</f>
        <v/>
      </c>
      <c r="H4373" s="7" t="str">
        <f t="shared" si="272"/>
        <v/>
      </c>
      <c r="I4373" s="7" t="str">
        <f>IF(AND(ISBLANK(D4373),ISBLANK(C4373)),"",((VLOOKUP(D4373,Cardápio!$A$2:$C$16,3,0))*E4373)+IF(B4373="iFood",F4373*0.27,(VLOOKUP(VENDAS!C4373,Bairros!$A$2:$B$90,2,0))))</f>
        <v/>
      </c>
      <c r="J4373" s="7" t="str">
        <f t="shared" si="273"/>
        <v/>
      </c>
      <c r="K4373" s="9">
        <f t="shared" ca="1" si="274"/>
        <v>45404.878290277775</v>
      </c>
      <c r="L4373" s="10">
        <f t="shared" ca="1" si="275"/>
        <v>45404.878290046297</v>
      </c>
    </row>
    <row r="4374" spans="6:12" x14ac:dyDescent="0.25">
      <c r="F4374" s="11" t="str">
        <f>IF(ISBLANK(D4374),"",(VLOOKUP(D4374,Cardápio!$A$2:$B$16,2,0))*E4374)</f>
        <v/>
      </c>
      <c r="H4374" s="7" t="str">
        <f t="shared" si="272"/>
        <v/>
      </c>
      <c r="I4374" s="7" t="str">
        <f>IF(AND(ISBLANK(D4374),ISBLANK(C4374)),"",((VLOOKUP(D4374,Cardápio!$A$2:$C$16,3,0))*E4374)+IF(B4374="iFood",F4374*0.27,(VLOOKUP(VENDAS!C4374,Bairros!$A$2:$B$90,2,0))))</f>
        <v/>
      </c>
      <c r="J4374" s="7" t="str">
        <f t="shared" si="273"/>
        <v/>
      </c>
      <c r="K4374" s="9">
        <f t="shared" ca="1" si="274"/>
        <v>45404.878290162036</v>
      </c>
      <c r="L4374" s="10">
        <f t="shared" ca="1" si="275"/>
        <v>45404.878290046297</v>
      </c>
    </row>
    <row r="4375" spans="6:12" x14ac:dyDescent="0.25">
      <c r="F4375" s="11" t="str">
        <f>IF(ISBLANK(D4375),"",(VLOOKUP(D4375,Cardápio!$A$2:$B$16,2,0))*E4375)</f>
        <v/>
      </c>
      <c r="H4375" s="7" t="str">
        <f t="shared" si="272"/>
        <v/>
      </c>
      <c r="I4375" s="7" t="str">
        <f>IF(AND(ISBLANK(D4375),ISBLANK(C4375)),"",((VLOOKUP(D4375,Cardápio!$A$2:$C$16,3,0))*E4375)+IF(B4375="iFood",F4375*0.27,(VLOOKUP(VENDAS!C4375,Bairros!$A$2:$B$90,2,0))))</f>
        <v/>
      </c>
      <c r="J4375" s="7" t="str">
        <f t="shared" si="273"/>
        <v/>
      </c>
      <c r="K4375" s="9">
        <f t="shared" ca="1" si="274"/>
        <v>45404.878290162036</v>
      </c>
      <c r="L4375" s="10">
        <f t="shared" ca="1" si="275"/>
        <v>45404.878290162036</v>
      </c>
    </row>
    <row r="4376" spans="6:12" x14ac:dyDescent="0.25">
      <c r="F4376" s="11" t="str">
        <f>IF(ISBLANK(D4376),"",(VLOOKUP(D4376,Cardápio!$A$2:$B$16,2,0))*E4376)</f>
        <v/>
      </c>
      <c r="H4376" s="7" t="str">
        <f t="shared" si="272"/>
        <v/>
      </c>
      <c r="I4376" s="7" t="str">
        <f>IF(AND(ISBLANK(D4376),ISBLANK(C4376)),"",((VLOOKUP(D4376,Cardápio!$A$2:$C$16,3,0))*E4376)+IF(B4376="iFood",F4376*0.27,(VLOOKUP(VENDAS!C4376,Bairros!$A$2:$B$90,2,0))))</f>
        <v/>
      </c>
      <c r="J4376" s="7" t="str">
        <f t="shared" si="273"/>
        <v/>
      </c>
      <c r="K4376" s="9">
        <f t="shared" ca="1" si="274"/>
        <v>45404.878290162036</v>
      </c>
      <c r="L4376" s="10">
        <f t="shared" ca="1" si="275"/>
        <v>45404.878290046297</v>
      </c>
    </row>
    <row r="4377" spans="6:12" x14ac:dyDescent="0.25">
      <c r="F4377" s="11" t="str">
        <f>IF(ISBLANK(D4377),"",(VLOOKUP(D4377,Cardápio!$A$2:$B$16,2,0))*E4377)</f>
        <v/>
      </c>
      <c r="H4377" s="7" t="str">
        <f t="shared" si="272"/>
        <v/>
      </c>
      <c r="I4377" s="7" t="str">
        <f>IF(AND(ISBLANK(D4377),ISBLANK(C4377)),"",((VLOOKUP(D4377,Cardápio!$A$2:$C$16,3,0))*E4377)+IF(B4377="iFood",F4377*0.27,(VLOOKUP(VENDAS!C4377,Bairros!$A$2:$B$90,2,0))))</f>
        <v/>
      </c>
      <c r="J4377" s="7" t="str">
        <f t="shared" si="273"/>
        <v/>
      </c>
      <c r="K4377" s="9">
        <f t="shared" ca="1" si="274"/>
        <v>45404.878290277775</v>
      </c>
      <c r="L4377" s="10">
        <f t="shared" ca="1" si="275"/>
        <v>45404.878290046297</v>
      </c>
    </row>
    <row r="4378" spans="6:12" x14ac:dyDescent="0.25">
      <c r="F4378" s="11" t="str">
        <f>IF(ISBLANK(D4378),"",(VLOOKUP(D4378,Cardápio!$A$2:$B$16,2,0))*E4378)</f>
        <v/>
      </c>
      <c r="H4378" s="7" t="str">
        <f t="shared" si="272"/>
        <v/>
      </c>
      <c r="I4378" s="7" t="str">
        <f>IF(AND(ISBLANK(D4378),ISBLANK(C4378)),"",((VLOOKUP(D4378,Cardápio!$A$2:$C$16,3,0))*E4378)+IF(B4378="iFood",F4378*0.27,(VLOOKUP(VENDAS!C4378,Bairros!$A$2:$B$90,2,0))))</f>
        <v/>
      </c>
      <c r="J4378" s="7" t="str">
        <f t="shared" si="273"/>
        <v/>
      </c>
      <c r="K4378" s="9">
        <f t="shared" ca="1" si="274"/>
        <v>45404.878290162036</v>
      </c>
      <c r="L4378" s="10">
        <f t="shared" ca="1" si="275"/>
        <v>45404.878290046297</v>
      </c>
    </row>
    <row r="4379" spans="6:12" x14ac:dyDescent="0.25">
      <c r="F4379" s="11" t="str">
        <f>IF(ISBLANK(D4379),"",(VLOOKUP(D4379,Cardápio!$A$2:$B$16,2,0))*E4379)</f>
        <v/>
      </c>
      <c r="H4379" s="7" t="str">
        <f t="shared" si="272"/>
        <v/>
      </c>
      <c r="I4379" s="7" t="str">
        <f>IF(AND(ISBLANK(D4379),ISBLANK(C4379)),"",((VLOOKUP(D4379,Cardápio!$A$2:$C$16,3,0))*E4379)+IF(B4379="iFood",F4379*0.27,(VLOOKUP(VENDAS!C4379,Bairros!$A$2:$B$90,2,0))))</f>
        <v/>
      </c>
      <c r="J4379" s="7" t="str">
        <f t="shared" si="273"/>
        <v/>
      </c>
      <c r="K4379" s="9">
        <f t="shared" ca="1" si="274"/>
        <v>45404.878290162036</v>
      </c>
      <c r="L4379" s="10">
        <f t="shared" ca="1" si="275"/>
        <v>45404.878290162036</v>
      </c>
    </row>
    <row r="4380" spans="6:12" x14ac:dyDescent="0.25">
      <c r="F4380" s="11" t="str">
        <f>IF(ISBLANK(D4380),"",(VLOOKUP(D4380,Cardápio!$A$2:$B$16,2,0))*E4380)</f>
        <v/>
      </c>
      <c r="H4380" s="7" t="str">
        <f t="shared" si="272"/>
        <v/>
      </c>
      <c r="I4380" s="7" t="str">
        <f>IF(AND(ISBLANK(D4380),ISBLANK(C4380)),"",((VLOOKUP(D4380,Cardápio!$A$2:$C$16,3,0))*E4380)+IF(B4380="iFood",F4380*0.27,(VLOOKUP(VENDAS!C4380,Bairros!$A$2:$B$90,2,0))))</f>
        <v/>
      </c>
      <c r="J4380" s="7" t="str">
        <f t="shared" si="273"/>
        <v/>
      </c>
      <c r="K4380" s="9">
        <f t="shared" ca="1" si="274"/>
        <v>45404.878290162036</v>
      </c>
      <c r="L4380" s="10">
        <f t="shared" ca="1" si="275"/>
        <v>45404.878290046297</v>
      </c>
    </row>
    <row r="4381" spans="6:12" x14ac:dyDescent="0.25">
      <c r="F4381" s="11" t="str">
        <f>IF(ISBLANK(D4381),"",(VLOOKUP(D4381,Cardápio!$A$2:$B$16,2,0))*E4381)</f>
        <v/>
      </c>
      <c r="H4381" s="7" t="str">
        <f t="shared" si="272"/>
        <v/>
      </c>
      <c r="I4381" s="7" t="str">
        <f>IF(AND(ISBLANK(D4381),ISBLANK(C4381)),"",((VLOOKUP(D4381,Cardápio!$A$2:$C$16,3,0))*E4381)+IF(B4381="iFood",F4381*0.27,(VLOOKUP(VENDAS!C4381,Bairros!$A$2:$B$90,2,0))))</f>
        <v/>
      </c>
      <c r="J4381" s="7" t="str">
        <f t="shared" si="273"/>
        <v/>
      </c>
      <c r="K4381" s="9">
        <f t="shared" ca="1" si="274"/>
        <v>45404.878290277775</v>
      </c>
      <c r="L4381" s="10">
        <f t="shared" ca="1" si="275"/>
        <v>45404.878290046297</v>
      </c>
    </row>
    <row r="4382" spans="6:12" x14ac:dyDescent="0.25">
      <c r="F4382" s="11" t="str">
        <f>IF(ISBLANK(D4382),"",(VLOOKUP(D4382,Cardápio!$A$2:$B$16,2,0))*E4382)</f>
        <v/>
      </c>
      <c r="H4382" s="7" t="str">
        <f t="shared" si="272"/>
        <v/>
      </c>
      <c r="I4382" s="7" t="str">
        <f>IF(AND(ISBLANK(D4382),ISBLANK(C4382)),"",((VLOOKUP(D4382,Cardápio!$A$2:$C$16,3,0))*E4382)+IF(B4382="iFood",F4382*0.27,(VLOOKUP(VENDAS!C4382,Bairros!$A$2:$B$90,2,0))))</f>
        <v/>
      </c>
      <c r="J4382" s="7" t="str">
        <f t="shared" si="273"/>
        <v/>
      </c>
      <c r="K4382" s="9">
        <f t="shared" ca="1" si="274"/>
        <v>45404.878290162036</v>
      </c>
      <c r="L4382" s="10">
        <f t="shared" ca="1" si="275"/>
        <v>45404.878290046297</v>
      </c>
    </row>
    <row r="4383" spans="6:12" x14ac:dyDescent="0.25">
      <c r="F4383" s="11" t="str">
        <f>IF(ISBLANK(D4383),"",(VLOOKUP(D4383,Cardápio!$A$2:$B$16,2,0))*E4383)</f>
        <v/>
      </c>
      <c r="H4383" s="7" t="str">
        <f t="shared" si="272"/>
        <v/>
      </c>
      <c r="I4383" s="7" t="str">
        <f>IF(AND(ISBLANK(D4383),ISBLANK(C4383)),"",((VLOOKUP(D4383,Cardápio!$A$2:$C$16,3,0))*E4383)+IF(B4383="iFood",F4383*0.27,(VLOOKUP(VENDAS!C4383,Bairros!$A$2:$B$90,2,0))))</f>
        <v/>
      </c>
      <c r="J4383" s="7" t="str">
        <f t="shared" si="273"/>
        <v/>
      </c>
      <c r="K4383" s="9">
        <f t="shared" ca="1" si="274"/>
        <v>45404.878290162036</v>
      </c>
      <c r="L4383" s="10">
        <f t="shared" ca="1" si="275"/>
        <v>45404.878290162036</v>
      </c>
    </row>
    <row r="4384" spans="6:12" x14ac:dyDescent="0.25">
      <c r="F4384" s="11" t="str">
        <f>IF(ISBLANK(D4384),"",(VLOOKUP(D4384,Cardápio!$A$2:$B$16,2,0))*E4384)</f>
        <v/>
      </c>
      <c r="H4384" s="7" t="str">
        <f t="shared" si="272"/>
        <v/>
      </c>
      <c r="I4384" s="7" t="str">
        <f>IF(AND(ISBLANK(D4384),ISBLANK(C4384)),"",((VLOOKUP(D4384,Cardápio!$A$2:$C$16,3,0))*E4384)+IF(B4384="iFood",F4384*0.27,(VLOOKUP(VENDAS!C4384,Bairros!$A$2:$B$90,2,0))))</f>
        <v/>
      </c>
      <c r="J4384" s="7" t="str">
        <f t="shared" si="273"/>
        <v/>
      </c>
      <c r="K4384" s="9">
        <f t="shared" ca="1" si="274"/>
        <v>45404.878290162036</v>
      </c>
      <c r="L4384" s="10">
        <f t="shared" ca="1" si="275"/>
        <v>45404.878290046297</v>
      </c>
    </row>
    <row r="4385" spans="6:12" x14ac:dyDescent="0.25">
      <c r="F4385" s="11" t="str">
        <f>IF(ISBLANK(D4385),"",(VLOOKUP(D4385,Cardápio!$A$2:$B$16,2,0))*E4385)</f>
        <v/>
      </c>
      <c r="H4385" s="7" t="str">
        <f t="shared" si="272"/>
        <v/>
      </c>
      <c r="I4385" s="7" t="str">
        <f>IF(AND(ISBLANK(D4385),ISBLANK(C4385)),"",((VLOOKUP(D4385,Cardápio!$A$2:$C$16,3,0))*E4385)+IF(B4385="iFood",F4385*0.27,(VLOOKUP(VENDAS!C4385,Bairros!$A$2:$B$90,2,0))))</f>
        <v/>
      </c>
      <c r="J4385" s="7" t="str">
        <f t="shared" si="273"/>
        <v/>
      </c>
      <c r="K4385" s="9">
        <f t="shared" ca="1" si="274"/>
        <v>45404.878290277775</v>
      </c>
      <c r="L4385" s="10">
        <f t="shared" ca="1" si="275"/>
        <v>45404.878290046297</v>
      </c>
    </row>
    <row r="4386" spans="6:12" x14ac:dyDescent="0.25">
      <c r="F4386" s="11" t="str">
        <f>IF(ISBLANK(D4386),"",(VLOOKUP(D4386,Cardápio!$A$2:$B$16,2,0))*E4386)</f>
        <v/>
      </c>
      <c r="H4386" s="7" t="str">
        <f t="shared" si="272"/>
        <v/>
      </c>
      <c r="I4386" s="7" t="str">
        <f>IF(AND(ISBLANK(D4386),ISBLANK(C4386)),"",((VLOOKUP(D4386,Cardápio!$A$2:$C$16,3,0))*E4386)+IF(B4386="iFood",F4386*0.27,(VLOOKUP(VENDAS!C4386,Bairros!$A$2:$B$90,2,0))))</f>
        <v/>
      </c>
      <c r="J4386" s="7" t="str">
        <f t="shared" si="273"/>
        <v/>
      </c>
      <c r="K4386" s="9">
        <f t="shared" ca="1" si="274"/>
        <v>45404.878290162036</v>
      </c>
      <c r="L4386" s="10">
        <f t="shared" ca="1" si="275"/>
        <v>45404.878290046297</v>
      </c>
    </row>
    <row r="4387" spans="6:12" x14ac:dyDescent="0.25">
      <c r="F4387" s="11" t="str">
        <f>IF(ISBLANK(D4387),"",(VLOOKUP(D4387,Cardápio!$A$2:$B$16,2,0))*E4387)</f>
        <v/>
      </c>
      <c r="H4387" s="7" t="str">
        <f t="shared" si="272"/>
        <v/>
      </c>
      <c r="I4387" s="7" t="str">
        <f>IF(AND(ISBLANK(D4387),ISBLANK(C4387)),"",((VLOOKUP(D4387,Cardápio!$A$2:$C$16,3,0))*E4387)+IF(B4387="iFood",F4387*0.27,(VLOOKUP(VENDAS!C4387,Bairros!$A$2:$B$90,2,0))))</f>
        <v/>
      </c>
      <c r="J4387" s="7" t="str">
        <f t="shared" si="273"/>
        <v/>
      </c>
      <c r="K4387" s="9">
        <f t="shared" ca="1" si="274"/>
        <v>45404.878290162036</v>
      </c>
      <c r="L4387" s="10">
        <f t="shared" ca="1" si="275"/>
        <v>45404.878290162036</v>
      </c>
    </row>
    <row r="4388" spans="6:12" x14ac:dyDescent="0.25">
      <c r="F4388" s="11" t="str">
        <f>IF(ISBLANK(D4388),"",(VLOOKUP(D4388,Cardápio!$A$2:$B$16,2,0))*E4388)</f>
        <v/>
      </c>
      <c r="H4388" s="7" t="str">
        <f t="shared" si="272"/>
        <v/>
      </c>
      <c r="I4388" s="7" t="str">
        <f>IF(AND(ISBLANK(D4388),ISBLANK(C4388)),"",((VLOOKUP(D4388,Cardápio!$A$2:$C$16,3,0))*E4388)+IF(B4388="iFood",F4388*0.27,(VLOOKUP(VENDAS!C4388,Bairros!$A$2:$B$90,2,0))))</f>
        <v/>
      </c>
      <c r="J4388" s="7" t="str">
        <f t="shared" si="273"/>
        <v/>
      </c>
      <c r="K4388" s="9">
        <f t="shared" ca="1" si="274"/>
        <v>45404.878290162036</v>
      </c>
      <c r="L4388" s="10">
        <f t="shared" ca="1" si="275"/>
        <v>45404.878290046297</v>
      </c>
    </row>
    <row r="4389" spans="6:12" x14ac:dyDescent="0.25">
      <c r="F4389" s="11" t="str">
        <f>IF(ISBLANK(D4389),"",(VLOOKUP(D4389,Cardápio!$A$2:$B$16,2,0))*E4389)</f>
        <v/>
      </c>
      <c r="H4389" s="7" t="str">
        <f t="shared" si="272"/>
        <v/>
      </c>
      <c r="I4389" s="7" t="str">
        <f>IF(AND(ISBLANK(D4389),ISBLANK(C4389)),"",((VLOOKUP(D4389,Cardápio!$A$2:$C$16,3,0))*E4389)+IF(B4389="iFood",F4389*0.27,(VLOOKUP(VENDAS!C4389,Bairros!$A$2:$B$90,2,0))))</f>
        <v/>
      </c>
      <c r="J4389" s="7" t="str">
        <f t="shared" si="273"/>
        <v/>
      </c>
      <c r="K4389" s="9">
        <f t="shared" ca="1" si="274"/>
        <v>45404.878290277775</v>
      </c>
      <c r="L4389" s="10">
        <f t="shared" ca="1" si="275"/>
        <v>45404.878290046297</v>
      </c>
    </row>
    <row r="4390" spans="6:12" x14ac:dyDescent="0.25">
      <c r="F4390" s="11" t="str">
        <f>IF(ISBLANK(D4390),"",(VLOOKUP(D4390,Cardápio!$A$2:$B$16,2,0))*E4390)</f>
        <v/>
      </c>
      <c r="H4390" s="7" t="str">
        <f t="shared" si="272"/>
        <v/>
      </c>
      <c r="I4390" s="7" t="str">
        <f>IF(AND(ISBLANK(D4390),ISBLANK(C4390)),"",((VLOOKUP(D4390,Cardápio!$A$2:$C$16,3,0))*E4390)+IF(B4390="iFood",F4390*0.27,(VLOOKUP(VENDAS!C4390,Bairros!$A$2:$B$90,2,0))))</f>
        <v/>
      </c>
      <c r="J4390" s="7" t="str">
        <f t="shared" si="273"/>
        <v/>
      </c>
      <c r="K4390" s="9">
        <f t="shared" ca="1" si="274"/>
        <v>45404.878290162036</v>
      </c>
      <c r="L4390" s="10">
        <f t="shared" ca="1" si="275"/>
        <v>45404.878290046297</v>
      </c>
    </row>
    <row r="4391" spans="6:12" x14ac:dyDescent="0.25">
      <c r="F4391" s="11" t="str">
        <f>IF(ISBLANK(D4391),"",(VLOOKUP(D4391,Cardápio!$A$2:$B$16,2,0))*E4391)</f>
        <v/>
      </c>
      <c r="H4391" s="7" t="str">
        <f t="shared" si="272"/>
        <v/>
      </c>
      <c r="I4391" s="7" t="str">
        <f>IF(AND(ISBLANK(D4391),ISBLANK(C4391)),"",((VLOOKUP(D4391,Cardápio!$A$2:$C$16,3,0))*E4391)+IF(B4391="iFood",F4391*0.27,(VLOOKUP(VENDAS!C4391,Bairros!$A$2:$B$90,2,0))))</f>
        <v/>
      </c>
      <c r="J4391" s="7" t="str">
        <f t="shared" si="273"/>
        <v/>
      </c>
      <c r="K4391" s="9">
        <f t="shared" ca="1" si="274"/>
        <v>45404.878290162036</v>
      </c>
      <c r="L4391" s="10">
        <f t="shared" ca="1" si="275"/>
        <v>45404.878290162036</v>
      </c>
    </row>
    <row r="4392" spans="6:12" x14ac:dyDescent="0.25">
      <c r="F4392" s="11" t="str">
        <f>IF(ISBLANK(D4392),"",(VLOOKUP(D4392,Cardápio!$A$2:$B$16,2,0))*E4392)</f>
        <v/>
      </c>
      <c r="H4392" s="7" t="str">
        <f t="shared" si="272"/>
        <v/>
      </c>
      <c r="I4392" s="7" t="str">
        <f>IF(AND(ISBLANK(D4392),ISBLANK(C4392)),"",((VLOOKUP(D4392,Cardápio!$A$2:$C$16,3,0))*E4392)+IF(B4392="iFood",F4392*0.27,(VLOOKUP(VENDAS!C4392,Bairros!$A$2:$B$90,2,0))))</f>
        <v/>
      </c>
      <c r="J4392" s="7" t="str">
        <f t="shared" si="273"/>
        <v/>
      </c>
      <c r="K4392" s="9">
        <f t="shared" ca="1" si="274"/>
        <v>45404.878290162036</v>
      </c>
      <c r="L4392" s="10">
        <f t="shared" ca="1" si="275"/>
        <v>45404.878290046297</v>
      </c>
    </row>
    <row r="4393" spans="6:12" x14ac:dyDescent="0.25">
      <c r="F4393" s="11" t="str">
        <f>IF(ISBLANK(D4393),"",(VLOOKUP(D4393,Cardápio!$A$2:$B$16,2,0))*E4393)</f>
        <v/>
      </c>
      <c r="H4393" s="7" t="str">
        <f t="shared" si="272"/>
        <v/>
      </c>
      <c r="I4393" s="7" t="str">
        <f>IF(AND(ISBLANK(D4393),ISBLANK(C4393)),"",((VLOOKUP(D4393,Cardápio!$A$2:$C$16,3,0))*E4393)+IF(B4393="iFood",F4393*0.27,(VLOOKUP(VENDAS!C4393,Bairros!$A$2:$B$90,2,0))))</f>
        <v/>
      </c>
      <c r="J4393" s="7" t="str">
        <f t="shared" si="273"/>
        <v/>
      </c>
      <c r="K4393" s="9">
        <f t="shared" ca="1" si="274"/>
        <v>45404.878290277775</v>
      </c>
      <c r="L4393" s="10">
        <f t="shared" ca="1" si="275"/>
        <v>45404.878290046297</v>
      </c>
    </row>
    <row r="4394" spans="6:12" x14ac:dyDescent="0.25">
      <c r="F4394" s="11" t="str">
        <f>IF(ISBLANK(D4394),"",(VLOOKUP(D4394,Cardápio!$A$2:$B$16,2,0))*E4394)</f>
        <v/>
      </c>
      <c r="H4394" s="7" t="str">
        <f t="shared" si="272"/>
        <v/>
      </c>
      <c r="I4394" s="7" t="str">
        <f>IF(AND(ISBLANK(D4394),ISBLANK(C4394)),"",((VLOOKUP(D4394,Cardápio!$A$2:$C$16,3,0))*E4394)+IF(B4394="iFood",F4394*0.27,(VLOOKUP(VENDAS!C4394,Bairros!$A$2:$B$90,2,0))))</f>
        <v/>
      </c>
      <c r="J4394" s="7" t="str">
        <f t="shared" si="273"/>
        <v/>
      </c>
      <c r="K4394" s="9">
        <f t="shared" ca="1" si="274"/>
        <v>45404.878290162036</v>
      </c>
      <c r="L4394" s="10">
        <f t="shared" ca="1" si="275"/>
        <v>45404.878290046297</v>
      </c>
    </row>
    <row r="4395" spans="6:12" x14ac:dyDescent="0.25">
      <c r="F4395" s="11" t="str">
        <f>IF(ISBLANK(D4395),"",(VLOOKUP(D4395,Cardápio!$A$2:$B$16,2,0))*E4395)</f>
        <v/>
      </c>
      <c r="H4395" s="7" t="str">
        <f t="shared" si="272"/>
        <v/>
      </c>
      <c r="I4395" s="7" t="str">
        <f>IF(AND(ISBLANK(D4395),ISBLANK(C4395)),"",((VLOOKUP(D4395,Cardápio!$A$2:$C$16,3,0))*E4395)+IF(B4395="iFood",F4395*0.27,(VLOOKUP(VENDAS!C4395,Bairros!$A$2:$B$90,2,0))))</f>
        <v/>
      </c>
      <c r="J4395" s="7" t="str">
        <f t="shared" si="273"/>
        <v/>
      </c>
      <c r="K4395" s="9">
        <f t="shared" ca="1" si="274"/>
        <v>45404.878290162036</v>
      </c>
      <c r="L4395" s="10">
        <f t="shared" ca="1" si="275"/>
        <v>45404.878290162036</v>
      </c>
    </row>
    <row r="4396" spans="6:12" x14ac:dyDescent="0.25">
      <c r="F4396" s="11" t="str">
        <f>IF(ISBLANK(D4396),"",(VLOOKUP(D4396,Cardápio!$A$2:$B$16,2,0))*E4396)</f>
        <v/>
      </c>
      <c r="H4396" s="7" t="str">
        <f t="shared" si="272"/>
        <v/>
      </c>
      <c r="I4396" s="7" t="str">
        <f>IF(AND(ISBLANK(D4396),ISBLANK(C4396)),"",((VLOOKUP(D4396,Cardápio!$A$2:$C$16,3,0))*E4396)+IF(B4396="iFood",F4396*0.27,(VLOOKUP(VENDAS!C4396,Bairros!$A$2:$B$90,2,0))))</f>
        <v/>
      </c>
      <c r="J4396" s="7" t="str">
        <f t="shared" si="273"/>
        <v/>
      </c>
      <c r="K4396" s="9">
        <f t="shared" ca="1" si="274"/>
        <v>45404.878290162036</v>
      </c>
      <c r="L4396" s="10">
        <f t="shared" ca="1" si="275"/>
        <v>45404.878290046297</v>
      </c>
    </row>
    <row r="4397" spans="6:12" x14ac:dyDescent="0.25">
      <c r="F4397" s="11" t="str">
        <f>IF(ISBLANK(D4397),"",(VLOOKUP(D4397,Cardápio!$A$2:$B$16,2,0))*E4397)</f>
        <v/>
      </c>
      <c r="H4397" s="7" t="str">
        <f t="shared" si="272"/>
        <v/>
      </c>
      <c r="I4397" s="7" t="str">
        <f>IF(AND(ISBLANK(D4397),ISBLANK(C4397)),"",((VLOOKUP(D4397,Cardápio!$A$2:$C$16,3,0))*E4397)+IF(B4397="iFood",F4397*0.27,(VLOOKUP(VENDAS!C4397,Bairros!$A$2:$B$90,2,0))))</f>
        <v/>
      </c>
      <c r="J4397" s="7" t="str">
        <f t="shared" si="273"/>
        <v/>
      </c>
      <c r="K4397" s="9">
        <f t="shared" ca="1" si="274"/>
        <v>45404.878290277775</v>
      </c>
      <c r="L4397" s="10">
        <f t="shared" ca="1" si="275"/>
        <v>45404.878290046297</v>
      </c>
    </row>
    <row r="4398" spans="6:12" x14ac:dyDescent="0.25">
      <c r="F4398" s="11" t="str">
        <f>IF(ISBLANK(D4398),"",(VLOOKUP(D4398,Cardápio!$A$2:$B$16,2,0))*E4398)</f>
        <v/>
      </c>
      <c r="H4398" s="7" t="str">
        <f t="shared" si="272"/>
        <v/>
      </c>
      <c r="I4398" s="7" t="str">
        <f>IF(AND(ISBLANK(D4398),ISBLANK(C4398)),"",((VLOOKUP(D4398,Cardápio!$A$2:$C$16,3,0))*E4398)+IF(B4398="iFood",F4398*0.27,(VLOOKUP(VENDAS!C4398,Bairros!$A$2:$B$90,2,0))))</f>
        <v/>
      </c>
      <c r="J4398" s="7" t="str">
        <f t="shared" si="273"/>
        <v/>
      </c>
      <c r="K4398" s="9">
        <f t="shared" ca="1" si="274"/>
        <v>45404.878290162036</v>
      </c>
      <c r="L4398" s="10">
        <f t="shared" ca="1" si="275"/>
        <v>45404.878290046297</v>
      </c>
    </row>
    <row r="4399" spans="6:12" x14ac:dyDescent="0.25">
      <c r="F4399" s="11" t="str">
        <f>IF(ISBLANK(D4399),"",(VLOOKUP(D4399,Cardápio!$A$2:$B$16,2,0))*E4399)</f>
        <v/>
      </c>
      <c r="H4399" s="7" t="str">
        <f t="shared" si="272"/>
        <v/>
      </c>
      <c r="I4399" s="7" t="str">
        <f>IF(AND(ISBLANK(D4399),ISBLANK(C4399)),"",((VLOOKUP(D4399,Cardápio!$A$2:$C$16,3,0))*E4399)+IF(B4399="iFood",F4399*0.27,(VLOOKUP(VENDAS!C4399,Bairros!$A$2:$B$90,2,0))))</f>
        <v/>
      </c>
      <c r="J4399" s="7" t="str">
        <f t="shared" si="273"/>
        <v/>
      </c>
      <c r="K4399" s="9">
        <f t="shared" ca="1" si="274"/>
        <v>45404.878290162036</v>
      </c>
      <c r="L4399" s="10">
        <f t="shared" ca="1" si="275"/>
        <v>45404.878290162036</v>
      </c>
    </row>
    <row r="4400" spans="6:12" x14ac:dyDescent="0.25">
      <c r="F4400" s="11" t="str">
        <f>IF(ISBLANK(D4400),"",(VLOOKUP(D4400,Cardápio!$A$2:$B$16,2,0))*E4400)</f>
        <v/>
      </c>
      <c r="H4400" s="7" t="str">
        <f t="shared" si="272"/>
        <v/>
      </c>
      <c r="I4400" s="7" t="str">
        <f>IF(AND(ISBLANK(D4400),ISBLANK(C4400)),"",((VLOOKUP(D4400,Cardápio!$A$2:$C$16,3,0))*E4400)+IF(B4400="iFood",F4400*0.27,(VLOOKUP(VENDAS!C4400,Bairros!$A$2:$B$90,2,0))))</f>
        <v/>
      </c>
      <c r="J4400" s="7" t="str">
        <f t="shared" si="273"/>
        <v/>
      </c>
      <c r="K4400" s="9">
        <f t="shared" ca="1" si="274"/>
        <v>45404.878290162036</v>
      </c>
      <c r="L4400" s="10">
        <f t="shared" ca="1" si="275"/>
        <v>45404.878290046297</v>
      </c>
    </row>
    <row r="4401" spans="6:12" x14ac:dyDescent="0.25">
      <c r="F4401" s="11" t="str">
        <f>IF(ISBLANK(D4401),"",(VLOOKUP(D4401,Cardápio!$A$2:$B$16,2,0))*E4401)</f>
        <v/>
      </c>
      <c r="H4401" s="7" t="str">
        <f t="shared" si="272"/>
        <v/>
      </c>
      <c r="I4401" s="7" t="str">
        <f>IF(AND(ISBLANK(D4401),ISBLANK(C4401)),"",((VLOOKUP(D4401,Cardápio!$A$2:$C$16,3,0))*E4401)+IF(B4401="iFood",F4401*0.27,(VLOOKUP(VENDAS!C4401,Bairros!$A$2:$B$90,2,0))))</f>
        <v/>
      </c>
      <c r="J4401" s="7" t="str">
        <f t="shared" si="273"/>
        <v/>
      </c>
      <c r="K4401" s="9">
        <f t="shared" ca="1" si="274"/>
        <v>45404.878290277775</v>
      </c>
      <c r="L4401" s="10">
        <f t="shared" ca="1" si="275"/>
        <v>45404.878290046297</v>
      </c>
    </row>
    <row r="4402" spans="6:12" x14ac:dyDescent="0.25">
      <c r="F4402" s="11" t="str">
        <f>IF(ISBLANK(D4402),"",(VLOOKUP(D4402,Cardápio!$A$2:$B$16,2,0))*E4402)</f>
        <v/>
      </c>
      <c r="H4402" s="7" t="str">
        <f t="shared" si="272"/>
        <v/>
      </c>
      <c r="I4402" s="7" t="str">
        <f>IF(AND(ISBLANK(D4402),ISBLANK(C4402)),"",((VLOOKUP(D4402,Cardápio!$A$2:$C$16,3,0))*E4402)+IF(B4402="iFood",F4402*0.27,(VLOOKUP(VENDAS!C4402,Bairros!$A$2:$B$90,2,0))))</f>
        <v/>
      </c>
      <c r="J4402" s="7" t="str">
        <f t="shared" si="273"/>
        <v/>
      </c>
      <c r="K4402" s="9">
        <f t="shared" ca="1" si="274"/>
        <v>45404.878290162036</v>
      </c>
      <c r="L4402" s="10">
        <f t="shared" ca="1" si="275"/>
        <v>45404.878290046297</v>
      </c>
    </row>
    <row r="4403" spans="6:12" x14ac:dyDescent="0.25">
      <c r="F4403" s="11" t="str">
        <f>IF(ISBLANK(D4403),"",(VLOOKUP(D4403,Cardápio!$A$2:$B$16,2,0))*E4403)</f>
        <v/>
      </c>
      <c r="H4403" s="7" t="str">
        <f t="shared" si="272"/>
        <v/>
      </c>
      <c r="I4403" s="7" t="str">
        <f>IF(AND(ISBLANK(D4403),ISBLANK(C4403)),"",((VLOOKUP(D4403,Cardápio!$A$2:$C$16,3,0))*E4403)+IF(B4403="iFood",F4403*0.27,(VLOOKUP(VENDAS!C4403,Bairros!$A$2:$B$90,2,0))))</f>
        <v/>
      </c>
      <c r="J4403" s="7" t="str">
        <f t="shared" si="273"/>
        <v/>
      </c>
      <c r="K4403" s="9">
        <f t="shared" ca="1" si="274"/>
        <v>45404.878290162036</v>
      </c>
      <c r="L4403" s="10">
        <f t="shared" ca="1" si="275"/>
        <v>45404.878290162036</v>
      </c>
    </row>
    <row r="4404" spans="6:12" x14ac:dyDescent="0.25">
      <c r="F4404" s="11" t="str">
        <f>IF(ISBLANK(D4404),"",(VLOOKUP(D4404,Cardápio!$A$2:$B$16,2,0))*E4404)</f>
        <v/>
      </c>
      <c r="H4404" s="7" t="str">
        <f t="shared" si="272"/>
        <v/>
      </c>
      <c r="I4404" s="7" t="str">
        <f>IF(AND(ISBLANK(D4404),ISBLANK(C4404)),"",((VLOOKUP(D4404,Cardápio!$A$2:$C$16,3,0))*E4404)+IF(B4404="iFood",F4404*0.27,(VLOOKUP(VENDAS!C4404,Bairros!$A$2:$B$90,2,0))))</f>
        <v/>
      </c>
      <c r="J4404" s="7" t="str">
        <f t="shared" si="273"/>
        <v/>
      </c>
      <c r="K4404" s="9">
        <f t="shared" ca="1" si="274"/>
        <v>45404.878290162036</v>
      </c>
      <c r="L4404" s="10">
        <f t="shared" ca="1" si="275"/>
        <v>45404.878290046297</v>
      </c>
    </row>
    <row r="4405" spans="6:12" x14ac:dyDescent="0.25">
      <c r="F4405" s="11" t="str">
        <f>IF(ISBLANK(D4405),"",(VLOOKUP(D4405,Cardápio!$A$2:$B$16,2,0))*E4405)</f>
        <v/>
      </c>
      <c r="H4405" s="7" t="str">
        <f t="shared" ref="H4405:H4468" si="276">IF(ISBLANK(D4405),"",F4405-G4405)</f>
        <v/>
      </c>
      <c r="I4405" s="7" t="str">
        <f>IF(AND(ISBLANK(D4405),ISBLANK(C4405)),"",((VLOOKUP(D4405,Cardápio!$A$2:$C$16,3,0))*E4405)+IF(B4405="iFood",F4405*0.27,(VLOOKUP(VENDAS!C4405,Bairros!$A$2:$B$90,2,0))))</f>
        <v/>
      </c>
      <c r="J4405" s="7" t="str">
        <f t="shared" ref="J4405:J4468" si="277">IF(OR(AND(ISBLANK(H4405),ISBLANK(I4405)),(AND(H4405="",I4405=""))),"",H4405-I4405)</f>
        <v/>
      </c>
      <c r="K4405" s="9">
        <f t="shared" ref="K4405:K4468" ca="1" si="278">IF(D4405&lt;&gt;"",K4405,NOW())</f>
        <v>45404.878290277775</v>
      </c>
      <c r="L4405" s="10">
        <f t="shared" ref="L4405:L4468" ca="1" si="279">IF(D4405&lt;&gt;"",L4405,NOW())</f>
        <v>45404.878290046297</v>
      </c>
    </row>
    <row r="4406" spans="6:12" x14ac:dyDescent="0.25">
      <c r="F4406" s="11" t="str">
        <f>IF(ISBLANK(D4406),"",(VLOOKUP(D4406,Cardápio!$A$2:$B$16,2,0))*E4406)</f>
        <v/>
      </c>
      <c r="H4406" s="7" t="str">
        <f t="shared" si="276"/>
        <v/>
      </c>
      <c r="I4406" s="7" t="str">
        <f>IF(AND(ISBLANK(D4406),ISBLANK(C4406)),"",((VLOOKUP(D4406,Cardápio!$A$2:$C$16,3,0))*E4406)+IF(B4406="iFood",F4406*0.27,(VLOOKUP(VENDAS!C4406,Bairros!$A$2:$B$90,2,0))))</f>
        <v/>
      </c>
      <c r="J4406" s="7" t="str">
        <f t="shared" si="277"/>
        <v/>
      </c>
      <c r="K4406" s="9">
        <f t="shared" ca="1" si="278"/>
        <v>45404.878290162036</v>
      </c>
      <c r="L4406" s="10">
        <f t="shared" ca="1" si="279"/>
        <v>45404.878290046297</v>
      </c>
    </row>
    <row r="4407" spans="6:12" x14ac:dyDescent="0.25">
      <c r="F4407" s="11" t="str">
        <f>IF(ISBLANK(D4407),"",(VLOOKUP(D4407,Cardápio!$A$2:$B$16,2,0))*E4407)</f>
        <v/>
      </c>
      <c r="H4407" s="7" t="str">
        <f t="shared" si="276"/>
        <v/>
      </c>
      <c r="I4407" s="7" t="str">
        <f>IF(AND(ISBLANK(D4407),ISBLANK(C4407)),"",((VLOOKUP(D4407,Cardápio!$A$2:$C$16,3,0))*E4407)+IF(B4407="iFood",F4407*0.27,(VLOOKUP(VENDAS!C4407,Bairros!$A$2:$B$90,2,0))))</f>
        <v/>
      </c>
      <c r="J4407" s="7" t="str">
        <f t="shared" si="277"/>
        <v/>
      </c>
      <c r="K4407" s="9">
        <f t="shared" ca="1" si="278"/>
        <v>45404.878290162036</v>
      </c>
      <c r="L4407" s="10">
        <f t="shared" ca="1" si="279"/>
        <v>45404.878290162036</v>
      </c>
    </row>
    <row r="4408" spans="6:12" x14ac:dyDescent="0.25">
      <c r="F4408" s="11" t="str">
        <f>IF(ISBLANK(D4408),"",(VLOOKUP(D4408,Cardápio!$A$2:$B$16,2,0))*E4408)</f>
        <v/>
      </c>
      <c r="H4408" s="7" t="str">
        <f t="shared" si="276"/>
        <v/>
      </c>
      <c r="I4408" s="7" t="str">
        <f>IF(AND(ISBLANK(D4408),ISBLANK(C4408)),"",((VLOOKUP(D4408,Cardápio!$A$2:$C$16,3,0))*E4408)+IF(B4408="iFood",F4408*0.27,(VLOOKUP(VENDAS!C4408,Bairros!$A$2:$B$90,2,0))))</f>
        <v/>
      </c>
      <c r="J4408" s="7" t="str">
        <f t="shared" si="277"/>
        <v/>
      </c>
      <c r="K4408" s="9">
        <f t="shared" ca="1" si="278"/>
        <v>45404.878290162036</v>
      </c>
      <c r="L4408" s="10">
        <f t="shared" ca="1" si="279"/>
        <v>45404.878290046297</v>
      </c>
    </row>
    <row r="4409" spans="6:12" x14ac:dyDescent="0.25">
      <c r="F4409" s="11" t="str">
        <f>IF(ISBLANK(D4409),"",(VLOOKUP(D4409,Cardápio!$A$2:$B$16,2,0))*E4409)</f>
        <v/>
      </c>
      <c r="H4409" s="7" t="str">
        <f t="shared" si="276"/>
        <v/>
      </c>
      <c r="I4409" s="7" t="str">
        <f>IF(AND(ISBLANK(D4409),ISBLANK(C4409)),"",((VLOOKUP(D4409,Cardápio!$A$2:$C$16,3,0))*E4409)+IF(B4409="iFood",F4409*0.27,(VLOOKUP(VENDAS!C4409,Bairros!$A$2:$B$90,2,0))))</f>
        <v/>
      </c>
      <c r="J4409" s="7" t="str">
        <f t="shared" si="277"/>
        <v/>
      </c>
      <c r="K4409" s="9">
        <f t="shared" ca="1" si="278"/>
        <v>45404.878290277775</v>
      </c>
      <c r="L4409" s="10">
        <f t="shared" ca="1" si="279"/>
        <v>45404.878290046297</v>
      </c>
    </row>
    <row r="4410" spans="6:12" x14ac:dyDescent="0.25">
      <c r="F4410" s="11" t="str">
        <f>IF(ISBLANK(D4410),"",(VLOOKUP(D4410,Cardápio!$A$2:$B$16,2,0))*E4410)</f>
        <v/>
      </c>
      <c r="H4410" s="7" t="str">
        <f t="shared" si="276"/>
        <v/>
      </c>
      <c r="I4410" s="7" t="str">
        <f>IF(AND(ISBLANK(D4410),ISBLANK(C4410)),"",((VLOOKUP(D4410,Cardápio!$A$2:$C$16,3,0))*E4410)+IF(B4410="iFood",F4410*0.27,(VLOOKUP(VENDAS!C4410,Bairros!$A$2:$B$90,2,0))))</f>
        <v/>
      </c>
      <c r="J4410" s="7" t="str">
        <f t="shared" si="277"/>
        <v/>
      </c>
      <c r="K4410" s="9">
        <f t="shared" ca="1" si="278"/>
        <v>45404.878290162036</v>
      </c>
      <c r="L4410" s="10">
        <f t="shared" ca="1" si="279"/>
        <v>45404.878290046297</v>
      </c>
    </row>
    <row r="4411" spans="6:12" x14ac:dyDescent="0.25">
      <c r="F4411" s="11" t="str">
        <f>IF(ISBLANK(D4411),"",(VLOOKUP(D4411,Cardápio!$A$2:$B$16,2,0))*E4411)</f>
        <v/>
      </c>
      <c r="H4411" s="7" t="str">
        <f t="shared" si="276"/>
        <v/>
      </c>
      <c r="I4411" s="7" t="str">
        <f>IF(AND(ISBLANK(D4411),ISBLANK(C4411)),"",((VLOOKUP(D4411,Cardápio!$A$2:$C$16,3,0))*E4411)+IF(B4411="iFood",F4411*0.27,(VLOOKUP(VENDAS!C4411,Bairros!$A$2:$B$90,2,0))))</f>
        <v/>
      </c>
      <c r="J4411" s="7" t="str">
        <f t="shared" si="277"/>
        <v/>
      </c>
      <c r="K4411" s="9">
        <f t="shared" ca="1" si="278"/>
        <v>45404.878290162036</v>
      </c>
      <c r="L4411" s="10">
        <f t="shared" ca="1" si="279"/>
        <v>45404.878290162036</v>
      </c>
    </row>
    <row r="4412" spans="6:12" x14ac:dyDescent="0.25">
      <c r="F4412" s="11" t="str">
        <f>IF(ISBLANK(D4412),"",(VLOOKUP(D4412,Cardápio!$A$2:$B$16,2,0))*E4412)</f>
        <v/>
      </c>
      <c r="H4412" s="7" t="str">
        <f t="shared" si="276"/>
        <v/>
      </c>
      <c r="I4412" s="7" t="str">
        <f>IF(AND(ISBLANK(D4412),ISBLANK(C4412)),"",((VLOOKUP(D4412,Cardápio!$A$2:$C$16,3,0))*E4412)+IF(B4412="iFood",F4412*0.27,(VLOOKUP(VENDAS!C4412,Bairros!$A$2:$B$90,2,0))))</f>
        <v/>
      </c>
      <c r="J4412" s="7" t="str">
        <f t="shared" si="277"/>
        <v/>
      </c>
      <c r="K4412" s="9">
        <f t="shared" ca="1" si="278"/>
        <v>45404.878290162036</v>
      </c>
      <c r="L4412" s="10">
        <f t="shared" ca="1" si="279"/>
        <v>45404.878290046297</v>
      </c>
    </row>
    <row r="4413" spans="6:12" x14ac:dyDescent="0.25">
      <c r="F4413" s="11" t="str">
        <f>IF(ISBLANK(D4413),"",(VLOOKUP(D4413,Cardápio!$A$2:$B$16,2,0))*E4413)</f>
        <v/>
      </c>
      <c r="H4413" s="7" t="str">
        <f t="shared" si="276"/>
        <v/>
      </c>
      <c r="I4413" s="7" t="str">
        <f>IF(AND(ISBLANK(D4413),ISBLANK(C4413)),"",((VLOOKUP(D4413,Cardápio!$A$2:$C$16,3,0))*E4413)+IF(B4413="iFood",F4413*0.27,(VLOOKUP(VENDAS!C4413,Bairros!$A$2:$B$90,2,0))))</f>
        <v/>
      </c>
      <c r="J4413" s="7" t="str">
        <f t="shared" si="277"/>
        <v/>
      </c>
      <c r="K4413" s="9">
        <f t="shared" ca="1" si="278"/>
        <v>45404.878290277775</v>
      </c>
      <c r="L4413" s="10">
        <f t="shared" ca="1" si="279"/>
        <v>45404.878290046297</v>
      </c>
    </row>
    <row r="4414" spans="6:12" x14ac:dyDescent="0.25">
      <c r="F4414" s="11" t="str">
        <f>IF(ISBLANK(D4414),"",(VLOOKUP(D4414,Cardápio!$A$2:$B$16,2,0))*E4414)</f>
        <v/>
      </c>
      <c r="H4414" s="7" t="str">
        <f t="shared" si="276"/>
        <v/>
      </c>
      <c r="I4414" s="7" t="str">
        <f>IF(AND(ISBLANK(D4414),ISBLANK(C4414)),"",((VLOOKUP(D4414,Cardápio!$A$2:$C$16,3,0))*E4414)+IF(B4414="iFood",F4414*0.27,(VLOOKUP(VENDAS!C4414,Bairros!$A$2:$B$90,2,0))))</f>
        <v/>
      </c>
      <c r="J4414" s="7" t="str">
        <f t="shared" si="277"/>
        <v/>
      </c>
      <c r="K4414" s="9">
        <f t="shared" ca="1" si="278"/>
        <v>45404.878290162036</v>
      </c>
      <c r="L4414" s="10">
        <f t="shared" ca="1" si="279"/>
        <v>45404.878290046297</v>
      </c>
    </row>
    <row r="4415" spans="6:12" x14ac:dyDescent="0.25">
      <c r="F4415" s="11" t="str">
        <f>IF(ISBLANK(D4415),"",(VLOOKUP(D4415,Cardápio!$A$2:$B$16,2,0))*E4415)</f>
        <v/>
      </c>
      <c r="H4415" s="7" t="str">
        <f t="shared" si="276"/>
        <v/>
      </c>
      <c r="I4415" s="7" t="str">
        <f>IF(AND(ISBLANK(D4415),ISBLANK(C4415)),"",((VLOOKUP(D4415,Cardápio!$A$2:$C$16,3,0))*E4415)+IF(B4415="iFood",F4415*0.27,(VLOOKUP(VENDAS!C4415,Bairros!$A$2:$B$90,2,0))))</f>
        <v/>
      </c>
      <c r="J4415" s="7" t="str">
        <f t="shared" si="277"/>
        <v/>
      </c>
      <c r="K4415" s="9">
        <f t="shared" ca="1" si="278"/>
        <v>45404.878290162036</v>
      </c>
      <c r="L4415" s="10">
        <f t="shared" ca="1" si="279"/>
        <v>45404.878290162036</v>
      </c>
    </row>
    <row r="4416" spans="6:12" x14ac:dyDescent="0.25">
      <c r="F4416" s="11" t="str">
        <f>IF(ISBLANK(D4416),"",(VLOOKUP(D4416,Cardápio!$A$2:$B$16,2,0))*E4416)</f>
        <v/>
      </c>
      <c r="H4416" s="7" t="str">
        <f t="shared" si="276"/>
        <v/>
      </c>
      <c r="I4416" s="7" t="str">
        <f>IF(AND(ISBLANK(D4416),ISBLANK(C4416)),"",((VLOOKUP(D4416,Cardápio!$A$2:$C$16,3,0))*E4416)+IF(B4416="iFood",F4416*0.27,(VLOOKUP(VENDAS!C4416,Bairros!$A$2:$B$90,2,0))))</f>
        <v/>
      </c>
      <c r="J4416" s="7" t="str">
        <f t="shared" si="277"/>
        <v/>
      </c>
      <c r="K4416" s="9">
        <f t="shared" ca="1" si="278"/>
        <v>45404.878290162036</v>
      </c>
      <c r="L4416" s="10">
        <f t="shared" ca="1" si="279"/>
        <v>45404.878290046297</v>
      </c>
    </row>
    <row r="4417" spans="6:12" x14ac:dyDescent="0.25">
      <c r="F4417" s="11" t="str">
        <f>IF(ISBLANK(D4417),"",(VLOOKUP(D4417,Cardápio!$A$2:$B$16,2,0))*E4417)</f>
        <v/>
      </c>
      <c r="H4417" s="7" t="str">
        <f t="shared" si="276"/>
        <v/>
      </c>
      <c r="I4417" s="7" t="str">
        <f>IF(AND(ISBLANK(D4417),ISBLANK(C4417)),"",((VLOOKUP(D4417,Cardápio!$A$2:$C$16,3,0))*E4417)+IF(B4417="iFood",F4417*0.27,(VLOOKUP(VENDAS!C4417,Bairros!$A$2:$B$90,2,0))))</f>
        <v/>
      </c>
      <c r="J4417" s="7" t="str">
        <f t="shared" si="277"/>
        <v/>
      </c>
      <c r="K4417" s="9">
        <f t="shared" ca="1" si="278"/>
        <v>45404.878290277775</v>
      </c>
      <c r="L4417" s="10">
        <f t="shared" ca="1" si="279"/>
        <v>45404.878290046297</v>
      </c>
    </row>
    <row r="4418" spans="6:12" x14ac:dyDescent="0.25">
      <c r="F4418" s="11" t="str">
        <f>IF(ISBLANK(D4418),"",(VLOOKUP(D4418,Cardápio!$A$2:$B$16,2,0))*E4418)</f>
        <v/>
      </c>
      <c r="H4418" s="7" t="str">
        <f t="shared" si="276"/>
        <v/>
      </c>
      <c r="I4418" s="7" t="str">
        <f>IF(AND(ISBLANK(D4418),ISBLANK(C4418)),"",((VLOOKUP(D4418,Cardápio!$A$2:$C$16,3,0))*E4418)+IF(B4418="iFood",F4418*0.27,(VLOOKUP(VENDAS!C4418,Bairros!$A$2:$B$90,2,0))))</f>
        <v/>
      </c>
      <c r="J4418" s="7" t="str">
        <f t="shared" si="277"/>
        <v/>
      </c>
      <c r="K4418" s="9">
        <f t="shared" ca="1" si="278"/>
        <v>45404.878290162036</v>
      </c>
      <c r="L4418" s="10">
        <f t="shared" ca="1" si="279"/>
        <v>45404.878290046297</v>
      </c>
    </row>
    <row r="4419" spans="6:12" x14ac:dyDescent="0.25">
      <c r="F4419" s="11" t="str">
        <f>IF(ISBLANK(D4419),"",(VLOOKUP(D4419,Cardápio!$A$2:$B$16,2,0))*E4419)</f>
        <v/>
      </c>
      <c r="H4419" s="7" t="str">
        <f t="shared" si="276"/>
        <v/>
      </c>
      <c r="I4419" s="7" t="str">
        <f>IF(AND(ISBLANK(D4419),ISBLANK(C4419)),"",((VLOOKUP(D4419,Cardápio!$A$2:$C$16,3,0))*E4419)+IF(B4419="iFood",F4419*0.27,(VLOOKUP(VENDAS!C4419,Bairros!$A$2:$B$90,2,0))))</f>
        <v/>
      </c>
      <c r="J4419" s="7" t="str">
        <f t="shared" si="277"/>
        <v/>
      </c>
      <c r="K4419" s="9">
        <f t="shared" ca="1" si="278"/>
        <v>45404.878290162036</v>
      </c>
      <c r="L4419" s="10">
        <f t="shared" ca="1" si="279"/>
        <v>45404.878290162036</v>
      </c>
    </row>
    <row r="4420" spans="6:12" x14ac:dyDescent="0.25">
      <c r="F4420" s="11" t="str">
        <f>IF(ISBLANK(D4420),"",(VLOOKUP(D4420,Cardápio!$A$2:$B$16,2,0))*E4420)</f>
        <v/>
      </c>
      <c r="H4420" s="7" t="str">
        <f t="shared" si="276"/>
        <v/>
      </c>
      <c r="I4420" s="7" t="str">
        <f>IF(AND(ISBLANK(D4420),ISBLANK(C4420)),"",((VLOOKUP(D4420,Cardápio!$A$2:$C$16,3,0))*E4420)+IF(B4420="iFood",F4420*0.27,(VLOOKUP(VENDAS!C4420,Bairros!$A$2:$B$90,2,0))))</f>
        <v/>
      </c>
      <c r="J4420" s="7" t="str">
        <f t="shared" si="277"/>
        <v/>
      </c>
      <c r="K4420" s="9">
        <f t="shared" ca="1" si="278"/>
        <v>45404.878290162036</v>
      </c>
      <c r="L4420" s="10">
        <f t="shared" ca="1" si="279"/>
        <v>45404.878290046297</v>
      </c>
    </row>
    <row r="4421" spans="6:12" x14ac:dyDescent="0.25">
      <c r="F4421" s="11" t="str">
        <f>IF(ISBLANK(D4421),"",(VLOOKUP(D4421,Cardápio!$A$2:$B$16,2,0))*E4421)</f>
        <v/>
      </c>
      <c r="H4421" s="7" t="str">
        <f t="shared" si="276"/>
        <v/>
      </c>
      <c r="I4421" s="7" t="str">
        <f>IF(AND(ISBLANK(D4421),ISBLANK(C4421)),"",((VLOOKUP(D4421,Cardápio!$A$2:$C$16,3,0))*E4421)+IF(B4421="iFood",F4421*0.27,(VLOOKUP(VENDAS!C4421,Bairros!$A$2:$B$90,2,0))))</f>
        <v/>
      </c>
      <c r="J4421" s="7" t="str">
        <f t="shared" si="277"/>
        <v/>
      </c>
      <c r="K4421" s="9">
        <f t="shared" ca="1" si="278"/>
        <v>45404.878290277775</v>
      </c>
      <c r="L4421" s="10">
        <f t="shared" ca="1" si="279"/>
        <v>45404.878290046297</v>
      </c>
    </row>
    <row r="4422" spans="6:12" x14ac:dyDescent="0.25">
      <c r="F4422" s="11" t="str">
        <f>IF(ISBLANK(D4422),"",(VLOOKUP(D4422,Cardápio!$A$2:$B$16,2,0))*E4422)</f>
        <v/>
      </c>
      <c r="H4422" s="7" t="str">
        <f t="shared" si="276"/>
        <v/>
      </c>
      <c r="I4422" s="7" t="str">
        <f>IF(AND(ISBLANK(D4422),ISBLANK(C4422)),"",((VLOOKUP(D4422,Cardápio!$A$2:$C$16,3,0))*E4422)+IF(B4422="iFood",F4422*0.27,(VLOOKUP(VENDAS!C4422,Bairros!$A$2:$B$90,2,0))))</f>
        <v/>
      </c>
      <c r="J4422" s="7" t="str">
        <f t="shared" si="277"/>
        <v/>
      </c>
      <c r="K4422" s="9">
        <f t="shared" ca="1" si="278"/>
        <v>45404.878290162036</v>
      </c>
      <c r="L4422" s="10">
        <f t="shared" ca="1" si="279"/>
        <v>45404.878290046297</v>
      </c>
    </row>
    <row r="4423" spans="6:12" x14ac:dyDescent="0.25">
      <c r="F4423" s="11" t="str">
        <f>IF(ISBLANK(D4423),"",(VLOOKUP(D4423,Cardápio!$A$2:$B$16,2,0))*E4423)</f>
        <v/>
      </c>
      <c r="H4423" s="7" t="str">
        <f t="shared" si="276"/>
        <v/>
      </c>
      <c r="I4423" s="7" t="str">
        <f>IF(AND(ISBLANK(D4423),ISBLANK(C4423)),"",((VLOOKUP(D4423,Cardápio!$A$2:$C$16,3,0))*E4423)+IF(B4423="iFood",F4423*0.27,(VLOOKUP(VENDAS!C4423,Bairros!$A$2:$B$90,2,0))))</f>
        <v/>
      </c>
      <c r="J4423" s="7" t="str">
        <f t="shared" si="277"/>
        <v/>
      </c>
      <c r="K4423" s="9">
        <f t="shared" ca="1" si="278"/>
        <v>45404.878290162036</v>
      </c>
      <c r="L4423" s="10">
        <f t="shared" ca="1" si="279"/>
        <v>45404.878290162036</v>
      </c>
    </row>
    <row r="4424" spans="6:12" x14ac:dyDescent="0.25">
      <c r="F4424" s="11" t="str">
        <f>IF(ISBLANK(D4424),"",(VLOOKUP(D4424,Cardápio!$A$2:$B$16,2,0))*E4424)</f>
        <v/>
      </c>
      <c r="H4424" s="7" t="str">
        <f t="shared" si="276"/>
        <v/>
      </c>
      <c r="I4424" s="7" t="str">
        <f>IF(AND(ISBLANK(D4424),ISBLANK(C4424)),"",((VLOOKUP(D4424,Cardápio!$A$2:$C$16,3,0))*E4424)+IF(B4424="iFood",F4424*0.27,(VLOOKUP(VENDAS!C4424,Bairros!$A$2:$B$90,2,0))))</f>
        <v/>
      </c>
      <c r="J4424" s="7" t="str">
        <f t="shared" si="277"/>
        <v/>
      </c>
      <c r="K4424" s="9">
        <f t="shared" ca="1" si="278"/>
        <v>45404.878290162036</v>
      </c>
      <c r="L4424" s="10">
        <f t="shared" ca="1" si="279"/>
        <v>45404.878290046297</v>
      </c>
    </row>
    <row r="4425" spans="6:12" x14ac:dyDescent="0.25">
      <c r="F4425" s="11" t="str">
        <f>IF(ISBLANK(D4425),"",(VLOOKUP(D4425,Cardápio!$A$2:$B$16,2,0))*E4425)</f>
        <v/>
      </c>
      <c r="H4425" s="7" t="str">
        <f t="shared" si="276"/>
        <v/>
      </c>
      <c r="I4425" s="7" t="str">
        <f>IF(AND(ISBLANK(D4425),ISBLANK(C4425)),"",((VLOOKUP(D4425,Cardápio!$A$2:$C$16,3,0))*E4425)+IF(B4425="iFood",F4425*0.27,(VLOOKUP(VENDAS!C4425,Bairros!$A$2:$B$90,2,0))))</f>
        <v/>
      </c>
      <c r="J4425" s="7" t="str">
        <f t="shared" si="277"/>
        <v/>
      </c>
      <c r="K4425" s="9">
        <f t="shared" ca="1" si="278"/>
        <v>45404.878290277775</v>
      </c>
      <c r="L4425" s="10">
        <f t="shared" ca="1" si="279"/>
        <v>45404.878290046297</v>
      </c>
    </row>
    <row r="4426" spans="6:12" x14ac:dyDescent="0.25">
      <c r="F4426" s="11" t="str">
        <f>IF(ISBLANK(D4426),"",(VLOOKUP(D4426,Cardápio!$A$2:$B$16,2,0))*E4426)</f>
        <v/>
      </c>
      <c r="H4426" s="7" t="str">
        <f t="shared" si="276"/>
        <v/>
      </c>
      <c r="I4426" s="7" t="str">
        <f>IF(AND(ISBLANK(D4426),ISBLANK(C4426)),"",((VLOOKUP(D4426,Cardápio!$A$2:$C$16,3,0))*E4426)+IF(B4426="iFood",F4426*0.27,(VLOOKUP(VENDAS!C4426,Bairros!$A$2:$B$90,2,0))))</f>
        <v/>
      </c>
      <c r="J4426" s="7" t="str">
        <f t="shared" si="277"/>
        <v/>
      </c>
      <c r="K4426" s="9">
        <f t="shared" ca="1" si="278"/>
        <v>45404.878290162036</v>
      </c>
      <c r="L4426" s="10">
        <f t="shared" ca="1" si="279"/>
        <v>45404.878290046297</v>
      </c>
    </row>
    <row r="4427" spans="6:12" x14ac:dyDescent="0.25">
      <c r="F4427" s="11" t="str">
        <f>IF(ISBLANK(D4427),"",(VLOOKUP(D4427,Cardápio!$A$2:$B$16,2,0))*E4427)</f>
        <v/>
      </c>
      <c r="H4427" s="7" t="str">
        <f t="shared" si="276"/>
        <v/>
      </c>
      <c r="I4427" s="7" t="str">
        <f>IF(AND(ISBLANK(D4427),ISBLANK(C4427)),"",((VLOOKUP(D4427,Cardápio!$A$2:$C$16,3,0))*E4427)+IF(B4427="iFood",F4427*0.27,(VLOOKUP(VENDAS!C4427,Bairros!$A$2:$B$90,2,0))))</f>
        <v/>
      </c>
      <c r="J4427" s="7" t="str">
        <f t="shared" si="277"/>
        <v/>
      </c>
      <c r="K4427" s="9">
        <f t="shared" ca="1" si="278"/>
        <v>45404.878290162036</v>
      </c>
      <c r="L4427" s="10">
        <f t="shared" ca="1" si="279"/>
        <v>45404.878290162036</v>
      </c>
    </row>
    <row r="4428" spans="6:12" x14ac:dyDescent="0.25">
      <c r="F4428" s="11" t="str">
        <f>IF(ISBLANK(D4428),"",(VLOOKUP(D4428,Cardápio!$A$2:$B$16,2,0))*E4428)</f>
        <v/>
      </c>
      <c r="H4428" s="7" t="str">
        <f t="shared" si="276"/>
        <v/>
      </c>
      <c r="I4428" s="7" t="str">
        <f>IF(AND(ISBLANK(D4428),ISBLANK(C4428)),"",((VLOOKUP(D4428,Cardápio!$A$2:$C$16,3,0))*E4428)+IF(B4428="iFood",F4428*0.27,(VLOOKUP(VENDAS!C4428,Bairros!$A$2:$B$90,2,0))))</f>
        <v/>
      </c>
      <c r="J4428" s="7" t="str">
        <f t="shared" si="277"/>
        <v/>
      </c>
      <c r="K4428" s="9">
        <f t="shared" ca="1" si="278"/>
        <v>45404.878290162036</v>
      </c>
      <c r="L4428" s="10">
        <f t="shared" ca="1" si="279"/>
        <v>45404.878290046297</v>
      </c>
    </row>
    <row r="4429" spans="6:12" x14ac:dyDescent="0.25">
      <c r="F4429" s="11" t="str">
        <f>IF(ISBLANK(D4429),"",(VLOOKUP(D4429,Cardápio!$A$2:$B$16,2,0))*E4429)</f>
        <v/>
      </c>
      <c r="H4429" s="7" t="str">
        <f t="shared" si="276"/>
        <v/>
      </c>
      <c r="I4429" s="7" t="str">
        <f>IF(AND(ISBLANK(D4429),ISBLANK(C4429)),"",((VLOOKUP(D4429,Cardápio!$A$2:$C$16,3,0))*E4429)+IF(B4429="iFood",F4429*0.27,(VLOOKUP(VENDAS!C4429,Bairros!$A$2:$B$90,2,0))))</f>
        <v/>
      </c>
      <c r="J4429" s="7" t="str">
        <f t="shared" si="277"/>
        <v/>
      </c>
      <c r="K4429" s="9">
        <f t="shared" ca="1" si="278"/>
        <v>45404.878290277775</v>
      </c>
      <c r="L4429" s="10">
        <f t="shared" ca="1" si="279"/>
        <v>45404.878290046297</v>
      </c>
    </row>
    <row r="4430" spans="6:12" x14ac:dyDescent="0.25">
      <c r="F4430" s="11" t="str">
        <f>IF(ISBLANK(D4430),"",(VLOOKUP(D4430,Cardápio!$A$2:$B$16,2,0))*E4430)</f>
        <v/>
      </c>
      <c r="H4430" s="7" t="str">
        <f t="shared" si="276"/>
        <v/>
      </c>
      <c r="I4430" s="7" t="str">
        <f>IF(AND(ISBLANK(D4430),ISBLANK(C4430)),"",((VLOOKUP(D4430,Cardápio!$A$2:$C$16,3,0))*E4430)+IF(B4430="iFood",F4430*0.27,(VLOOKUP(VENDAS!C4430,Bairros!$A$2:$B$90,2,0))))</f>
        <v/>
      </c>
      <c r="J4430" s="7" t="str">
        <f t="shared" si="277"/>
        <v/>
      </c>
      <c r="K4430" s="9">
        <f t="shared" ca="1" si="278"/>
        <v>45404.878290162036</v>
      </c>
      <c r="L4430" s="10">
        <f t="shared" ca="1" si="279"/>
        <v>45404.878290046297</v>
      </c>
    </row>
    <row r="4431" spans="6:12" x14ac:dyDescent="0.25">
      <c r="F4431" s="11" t="str">
        <f>IF(ISBLANK(D4431),"",(VLOOKUP(D4431,Cardápio!$A$2:$B$16,2,0))*E4431)</f>
        <v/>
      </c>
      <c r="H4431" s="7" t="str">
        <f t="shared" si="276"/>
        <v/>
      </c>
      <c r="I4431" s="7" t="str">
        <f>IF(AND(ISBLANK(D4431),ISBLANK(C4431)),"",((VLOOKUP(D4431,Cardápio!$A$2:$C$16,3,0))*E4431)+IF(B4431="iFood",F4431*0.27,(VLOOKUP(VENDAS!C4431,Bairros!$A$2:$B$90,2,0))))</f>
        <v/>
      </c>
      <c r="J4431" s="7" t="str">
        <f t="shared" si="277"/>
        <v/>
      </c>
      <c r="K4431" s="9">
        <f t="shared" ca="1" si="278"/>
        <v>45404.878290162036</v>
      </c>
      <c r="L4431" s="10">
        <f t="shared" ca="1" si="279"/>
        <v>45404.878290162036</v>
      </c>
    </row>
    <row r="4432" spans="6:12" x14ac:dyDescent="0.25">
      <c r="F4432" s="11" t="str">
        <f>IF(ISBLANK(D4432),"",(VLOOKUP(D4432,Cardápio!$A$2:$B$16,2,0))*E4432)</f>
        <v/>
      </c>
      <c r="H4432" s="7" t="str">
        <f t="shared" si="276"/>
        <v/>
      </c>
      <c r="I4432" s="7" t="str">
        <f>IF(AND(ISBLANK(D4432),ISBLANK(C4432)),"",((VLOOKUP(D4432,Cardápio!$A$2:$C$16,3,0))*E4432)+IF(B4432="iFood",F4432*0.27,(VLOOKUP(VENDAS!C4432,Bairros!$A$2:$B$90,2,0))))</f>
        <v/>
      </c>
      <c r="J4432" s="7" t="str">
        <f t="shared" si="277"/>
        <v/>
      </c>
      <c r="K4432" s="9">
        <f t="shared" ca="1" si="278"/>
        <v>45404.878290162036</v>
      </c>
      <c r="L4432" s="10">
        <f t="shared" ca="1" si="279"/>
        <v>45404.878290046297</v>
      </c>
    </row>
    <row r="4433" spans="6:12" x14ac:dyDescent="0.25">
      <c r="F4433" s="11" t="str">
        <f>IF(ISBLANK(D4433),"",(VLOOKUP(D4433,Cardápio!$A$2:$B$16,2,0))*E4433)</f>
        <v/>
      </c>
      <c r="H4433" s="7" t="str">
        <f t="shared" si="276"/>
        <v/>
      </c>
      <c r="I4433" s="7" t="str">
        <f>IF(AND(ISBLANK(D4433),ISBLANK(C4433)),"",((VLOOKUP(D4433,Cardápio!$A$2:$C$16,3,0))*E4433)+IF(B4433="iFood",F4433*0.27,(VLOOKUP(VENDAS!C4433,Bairros!$A$2:$B$90,2,0))))</f>
        <v/>
      </c>
      <c r="J4433" s="7" t="str">
        <f t="shared" si="277"/>
        <v/>
      </c>
      <c r="K4433" s="9">
        <f t="shared" ca="1" si="278"/>
        <v>45404.878290277775</v>
      </c>
      <c r="L4433" s="10">
        <f t="shared" ca="1" si="279"/>
        <v>45404.878290046297</v>
      </c>
    </row>
    <row r="4434" spans="6:12" x14ac:dyDescent="0.25">
      <c r="F4434" s="11" t="str">
        <f>IF(ISBLANK(D4434),"",(VLOOKUP(D4434,Cardápio!$A$2:$B$16,2,0))*E4434)</f>
        <v/>
      </c>
      <c r="H4434" s="7" t="str">
        <f t="shared" si="276"/>
        <v/>
      </c>
      <c r="I4434" s="7" t="str">
        <f>IF(AND(ISBLANK(D4434),ISBLANK(C4434)),"",((VLOOKUP(D4434,Cardápio!$A$2:$C$16,3,0))*E4434)+IF(B4434="iFood",F4434*0.27,(VLOOKUP(VENDAS!C4434,Bairros!$A$2:$B$90,2,0))))</f>
        <v/>
      </c>
      <c r="J4434" s="7" t="str">
        <f t="shared" si="277"/>
        <v/>
      </c>
      <c r="K4434" s="9">
        <f t="shared" ca="1" si="278"/>
        <v>45404.878290162036</v>
      </c>
      <c r="L4434" s="10">
        <f t="shared" ca="1" si="279"/>
        <v>45404.878290046297</v>
      </c>
    </row>
    <row r="4435" spans="6:12" x14ac:dyDescent="0.25">
      <c r="F4435" s="11" t="str">
        <f>IF(ISBLANK(D4435),"",(VLOOKUP(D4435,Cardápio!$A$2:$B$16,2,0))*E4435)</f>
        <v/>
      </c>
      <c r="H4435" s="7" t="str">
        <f t="shared" si="276"/>
        <v/>
      </c>
      <c r="I4435" s="7" t="str">
        <f>IF(AND(ISBLANK(D4435),ISBLANK(C4435)),"",((VLOOKUP(D4435,Cardápio!$A$2:$C$16,3,0))*E4435)+IF(B4435="iFood",F4435*0.27,(VLOOKUP(VENDAS!C4435,Bairros!$A$2:$B$90,2,0))))</f>
        <v/>
      </c>
      <c r="J4435" s="7" t="str">
        <f t="shared" si="277"/>
        <v/>
      </c>
      <c r="K4435" s="9">
        <f t="shared" ca="1" si="278"/>
        <v>45404.878290162036</v>
      </c>
      <c r="L4435" s="10">
        <f t="shared" ca="1" si="279"/>
        <v>45404.878290162036</v>
      </c>
    </row>
    <row r="4436" spans="6:12" x14ac:dyDescent="0.25">
      <c r="F4436" s="11" t="str">
        <f>IF(ISBLANK(D4436),"",(VLOOKUP(D4436,Cardápio!$A$2:$B$16,2,0))*E4436)</f>
        <v/>
      </c>
      <c r="H4436" s="7" t="str">
        <f t="shared" si="276"/>
        <v/>
      </c>
      <c r="I4436" s="7" t="str">
        <f>IF(AND(ISBLANK(D4436),ISBLANK(C4436)),"",((VLOOKUP(D4436,Cardápio!$A$2:$C$16,3,0))*E4436)+IF(B4436="iFood",F4436*0.27,(VLOOKUP(VENDAS!C4436,Bairros!$A$2:$B$90,2,0))))</f>
        <v/>
      </c>
      <c r="J4436" s="7" t="str">
        <f t="shared" si="277"/>
        <v/>
      </c>
      <c r="K4436" s="9">
        <f t="shared" ca="1" si="278"/>
        <v>45404.878290162036</v>
      </c>
      <c r="L4436" s="10">
        <f t="shared" ca="1" si="279"/>
        <v>45404.878290046297</v>
      </c>
    </row>
    <row r="4437" spans="6:12" x14ac:dyDescent="0.25">
      <c r="F4437" s="11" t="str">
        <f>IF(ISBLANK(D4437),"",(VLOOKUP(D4437,Cardápio!$A$2:$B$16,2,0))*E4437)</f>
        <v/>
      </c>
      <c r="H4437" s="7" t="str">
        <f t="shared" si="276"/>
        <v/>
      </c>
      <c r="I4437" s="7" t="str">
        <f>IF(AND(ISBLANK(D4437),ISBLANK(C4437)),"",((VLOOKUP(D4437,Cardápio!$A$2:$C$16,3,0))*E4437)+IF(B4437="iFood",F4437*0.27,(VLOOKUP(VENDAS!C4437,Bairros!$A$2:$B$90,2,0))))</f>
        <v/>
      </c>
      <c r="J4437" s="7" t="str">
        <f t="shared" si="277"/>
        <v/>
      </c>
      <c r="K4437" s="9">
        <f t="shared" ca="1" si="278"/>
        <v>45404.878290277775</v>
      </c>
      <c r="L4437" s="10">
        <f t="shared" ca="1" si="279"/>
        <v>45404.878290046297</v>
      </c>
    </row>
    <row r="4438" spans="6:12" x14ac:dyDescent="0.25">
      <c r="F4438" s="11" t="str">
        <f>IF(ISBLANK(D4438),"",(VLOOKUP(D4438,Cardápio!$A$2:$B$16,2,0))*E4438)</f>
        <v/>
      </c>
      <c r="H4438" s="7" t="str">
        <f t="shared" si="276"/>
        <v/>
      </c>
      <c r="I4438" s="7" t="str">
        <f>IF(AND(ISBLANK(D4438),ISBLANK(C4438)),"",((VLOOKUP(D4438,Cardápio!$A$2:$C$16,3,0))*E4438)+IF(B4438="iFood",F4438*0.27,(VLOOKUP(VENDAS!C4438,Bairros!$A$2:$B$90,2,0))))</f>
        <v/>
      </c>
      <c r="J4438" s="7" t="str">
        <f t="shared" si="277"/>
        <v/>
      </c>
      <c r="K4438" s="9">
        <f t="shared" ca="1" si="278"/>
        <v>45404.878290162036</v>
      </c>
      <c r="L4438" s="10">
        <f t="shared" ca="1" si="279"/>
        <v>45404.878290046297</v>
      </c>
    </row>
    <row r="4439" spans="6:12" x14ac:dyDescent="0.25">
      <c r="F4439" s="11" t="str">
        <f>IF(ISBLANK(D4439),"",(VLOOKUP(D4439,Cardápio!$A$2:$B$16,2,0))*E4439)</f>
        <v/>
      </c>
      <c r="H4439" s="7" t="str">
        <f t="shared" si="276"/>
        <v/>
      </c>
      <c r="I4439" s="7" t="str">
        <f>IF(AND(ISBLANK(D4439),ISBLANK(C4439)),"",((VLOOKUP(D4439,Cardápio!$A$2:$C$16,3,0))*E4439)+IF(B4439="iFood",F4439*0.27,(VLOOKUP(VENDAS!C4439,Bairros!$A$2:$B$90,2,0))))</f>
        <v/>
      </c>
      <c r="J4439" s="7" t="str">
        <f t="shared" si="277"/>
        <v/>
      </c>
      <c r="K4439" s="9">
        <f t="shared" ca="1" si="278"/>
        <v>45404.878290162036</v>
      </c>
      <c r="L4439" s="10">
        <f t="shared" ca="1" si="279"/>
        <v>45404.878290162036</v>
      </c>
    </row>
    <row r="4440" spans="6:12" x14ac:dyDescent="0.25">
      <c r="F4440" s="11" t="str">
        <f>IF(ISBLANK(D4440),"",(VLOOKUP(D4440,Cardápio!$A$2:$B$16,2,0))*E4440)</f>
        <v/>
      </c>
      <c r="H4440" s="7" t="str">
        <f t="shared" si="276"/>
        <v/>
      </c>
      <c r="I4440" s="7" t="str">
        <f>IF(AND(ISBLANK(D4440),ISBLANK(C4440)),"",((VLOOKUP(D4440,Cardápio!$A$2:$C$16,3,0))*E4440)+IF(B4440="iFood",F4440*0.27,(VLOOKUP(VENDAS!C4440,Bairros!$A$2:$B$90,2,0))))</f>
        <v/>
      </c>
      <c r="J4440" s="7" t="str">
        <f t="shared" si="277"/>
        <v/>
      </c>
      <c r="K4440" s="9">
        <f t="shared" ca="1" si="278"/>
        <v>45404.878290162036</v>
      </c>
      <c r="L4440" s="10">
        <f t="shared" ca="1" si="279"/>
        <v>45404.878290046297</v>
      </c>
    </row>
    <row r="4441" spans="6:12" x14ac:dyDescent="0.25">
      <c r="F4441" s="11" t="str">
        <f>IF(ISBLANK(D4441),"",(VLOOKUP(D4441,Cardápio!$A$2:$B$16,2,0))*E4441)</f>
        <v/>
      </c>
      <c r="H4441" s="7" t="str">
        <f t="shared" si="276"/>
        <v/>
      </c>
      <c r="I4441" s="7" t="str">
        <f>IF(AND(ISBLANK(D4441),ISBLANK(C4441)),"",((VLOOKUP(D4441,Cardápio!$A$2:$C$16,3,0))*E4441)+IF(B4441="iFood",F4441*0.27,(VLOOKUP(VENDAS!C4441,Bairros!$A$2:$B$90,2,0))))</f>
        <v/>
      </c>
      <c r="J4441" s="7" t="str">
        <f t="shared" si="277"/>
        <v/>
      </c>
      <c r="K4441" s="9">
        <f t="shared" ca="1" si="278"/>
        <v>45404.878290277775</v>
      </c>
      <c r="L4441" s="10">
        <f t="shared" ca="1" si="279"/>
        <v>45404.878290046297</v>
      </c>
    </row>
    <row r="4442" spans="6:12" x14ac:dyDescent="0.25">
      <c r="F4442" s="11" t="str">
        <f>IF(ISBLANK(D4442),"",(VLOOKUP(D4442,Cardápio!$A$2:$B$16,2,0))*E4442)</f>
        <v/>
      </c>
      <c r="H4442" s="7" t="str">
        <f t="shared" si="276"/>
        <v/>
      </c>
      <c r="I4442" s="7" t="str">
        <f>IF(AND(ISBLANK(D4442),ISBLANK(C4442)),"",((VLOOKUP(D4442,Cardápio!$A$2:$C$16,3,0))*E4442)+IF(B4442="iFood",F4442*0.27,(VLOOKUP(VENDAS!C4442,Bairros!$A$2:$B$90,2,0))))</f>
        <v/>
      </c>
      <c r="J4442" s="7" t="str">
        <f t="shared" si="277"/>
        <v/>
      </c>
      <c r="K4442" s="9">
        <f t="shared" ca="1" si="278"/>
        <v>45404.878290162036</v>
      </c>
      <c r="L4442" s="10">
        <f t="shared" ca="1" si="279"/>
        <v>45404.878290046297</v>
      </c>
    </row>
    <row r="4443" spans="6:12" x14ac:dyDescent="0.25">
      <c r="F4443" s="11" t="str">
        <f>IF(ISBLANK(D4443),"",(VLOOKUP(D4443,Cardápio!$A$2:$B$16,2,0))*E4443)</f>
        <v/>
      </c>
      <c r="H4443" s="7" t="str">
        <f t="shared" si="276"/>
        <v/>
      </c>
      <c r="I4443" s="7" t="str">
        <f>IF(AND(ISBLANK(D4443),ISBLANK(C4443)),"",((VLOOKUP(D4443,Cardápio!$A$2:$C$16,3,0))*E4443)+IF(B4443="iFood",F4443*0.27,(VLOOKUP(VENDAS!C4443,Bairros!$A$2:$B$90,2,0))))</f>
        <v/>
      </c>
      <c r="J4443" s="7" t="str">
        <f t="shared" si="277"/>
        <v/>
      </c>
      <c r="K4443" s="9">
        <f t="shared" ca="1" si="278"/>
        <v>45404.878290162036</v>
      </c>
      <c r="L4443" s="10">
        <f t="shared" ca="1" si="279"/>
        <v>45404.878290162036</v>
      </c>
    </row>
    <row r="4444" spans="6:12" x14ac:dyDescent="0.25">
      <c r="F4444" s="11" t="str">
        <f>IF(ISBLANK(D4444),"",(VLOOKUP(D4444,Cardápio!$A$2:$B$16,2,0))*E4444)</f>
        <v/>
      </c>
      <c r="H4444" s="7" t="str">
        <f t="shared" si="276"/>
        <v/>
      </c>
      <c r="I4444" s="7" t="str">
        <f>IF(AND(ISBLANK(D4444),ISBLANK(C4444)),"",((VLOOKUP(D4444,Cardápio!$A$2:$C$16,3,0))*E4444)+IF(B4444="iFood",F4444*0.27,(VLOOKUP(VENDAS!C4444,Bairros!$A$2:$B$90,2,0))))</f>
        <v/>
      </c>
      <c r="J4444" s="7" t="str">
        <f t="shared" si="277"/>
        <v/>
      </c>
      <c r="K4444" s="9">
        <f t="shared" ca="1" si="278"/>
        <v>45404.878290162036</v>
      </c>
      <c r="L4444" s="10">
        <f t="shared" ca="1" si="279"/>
        <v>45404.878290046297</v>
      </c>
    </row>
    <row r="4445" spans="6:12" x14ac:dyDescent="0.25">
      <c r="F4445" s="11" t="str">
        <f>IF(ISBLANK(D4445),"",(VLOOKUP(D4445,Cardápio!$A$2:$B$16,2,0))*E4445)</f>
        <v/>
      </c>
      <c r="H4445" s="7" t="str">
        <f t="shared" si="276"/>
        <v/>
      </c>
      <c r="I4445" s="7" t="str">
        <f>IF(AND(ISBLANK(D4445),ISBLANK(C4445)),"",((VLOOKUP(D4445,Cardápio!$A$2:$C$16,3,0))*E4445)+IF(B4445="iFood",F4445*0.27,(VLOOKUP(VENDAS!C4445,Bairros!$A$2:$B$90,2,0))))</f>
        <v/>
      </c>
      <c r="J4445" s="7" t="str">
        <f t="shared" si="277"/>
        <v/>
      </c>
      <c r="K4445" s="9">
        <f t="shared" ca="1" si="278"/>
        <v>45404.878290277775</v>
      </c>
      <c r="L4445" s="10">
        <f t="shared" ca="1" si="279"/>
        <v>45404.878290046297</v>
      </c>
    </row>
    <row r="4446" spans="6:12" x14ac:dyDescent="0.25">
      <c r="F4446" s="11" t="str">
        <f>IF(ISBLANK(D4446),"",(VLOOKUP(D4446,Cardápio!$A$2:$B$16,2,0))*E4446)</f>
        <v/>
      </c>
      <c r="H4446" s="7" t="str">
        <f t="shared" si="276"/>
        <v/>
      </c>
      <c r="I4446" s="7" t="str">
        <f>IF(AND(ISBLANK(D4446),ISBLANK(C4446)),"",((VLOOKUP(D4446,Cardápio!$A$2:$C$16,3,0))*E4446)+IF(B4446="iFood",F4446*0.27,(VLOOKUP(VENDAS!C4446,Bairros!$A$2:$B$90,2,0))))</f>
        <v/>
      </c>
      <c r="J4446" s="7" t="str">
        <f t="shared" si="277"/>
        <v/>
      </c>
      <c r="K4446" s="9">
        <f t="shared" ca="1" si="278"/>
        <v>45404.878290162036</v>
      </c>
      <c r="L4446" s="10">
        <f t="shared" ca="1" si="279"/>
        <v>45404.878290046297</v>
      </c>
    </row>
    <row r="4447" spans="6:12" x14ac:dyDescent="0.25">
      <c r="F4447" s="11" t="str">
        <f>IF(ISBLANK(D4447),"",(VLOOKUP(D4447,Cardápio!$A$2:$B$16,2,0))*E4447)</f>
        <v/>
      </c>
      <c r="H4447" s="7" t="str">
        <f t="shared" si="276"/>
        <v/>
      </c>
      <c r="I4447" s="7" t="str">
        <f>IF(AND(ISBLANK(D4447),ISBLANK(C4447)),"",((VLOOKUP(D4447,Cardápio!$A$2:$C$16,3,0))*E4447)+IF(B4447="iFood",F4447*0.27,(VLOOKUP(VENDAS!C4447,Bairros!$A$2:$B$90,2,0))))</f>
        <v/>
      </c>
      <c r="J4447" s="7" t="str">
        <f t="shared" si="277"/>
        <v/>
      </c>
      <c r="K4447" s="9">
        <f t="shared" ca="1" si="278"/>
        <v>45404.878290162036</v>
      </c>
      <c r="L4447" s="10">
        <f t="shared" ca="1" si="279"/>
        <v>45404.878290162036</v>
      </c>
    </row>
    <row r="4448" spans="6:12" x14ac:dyDescent="0.25">
      <c r="F4448" s="11" t="str">
        <f>IF(ISBLANK(D4448),"",(VLOOKUP(D4448,Cardápio!$A$2:$B$16,2,0))*E4448)</f>
        <v/>
      </c>
      <c r="H4448" s="7" t="str">
        <f t="shared" si="276"/>
        <v/>
      </c>
      <c r="I4448" s="7" t="str">
        <f>IF(AND(ISBLANK(D4448),ISBLANK(C4448)),"",((VLOOKUP(D4448,Cardápio!$A$2:$C$16,3,0))*E4448)+IF(B4448="iFood",F4448*0.27,(VLOOKUP(VENDAS!C4448,Bairros!$A$2:$B$90,2,0))))</f>
        <v/>
      </c>
      <c r="J4448" s="7" t="str">
        <f t="shared" si="277"/>
        <v/>
      </c>
      <c r="K4448" s="9">
        <f t="shared" ca="1" si="278"/>
        <v>45404.878290162036</v>
      </c>
      <c r="L4448" s="10">
        <f t="shared" ca="1" si="279"/>
        <v>45404.878290046297</v>
      </c>
    </row>
    <row r="4449" spans="6:12" x14ac:dyDescent="0.25">
      <c r="F4449" s="11" t="str">
        <f>IF(ISBLANK(D4449),"",(VLOOKUP(D4449,Cardápio!$A$2:$B$16,2,0))*E4449)</f>
        <v/>
      </c>
      <c r="H4449" s="7" t="str">
        <f t="shared" si="276"/>
        <v/>
      </c>
      <c r="I4449" s="7" t="str">
        <f>IF(AND(ISBLANK(D4449),ISBLANK(C4449)),"",((VLOOKUP(D4449,Cardápio!$A$2:$C$16,3,0))*E4449)+IF(B4449="iFood",F4449*0.27,(VLOOKUP(VENDAS!C4449,Bairros!$A$2:$B$90,2,0))))</f>
        <v/>
      </c>
      <c r="J4449" s="7" t="str">
        <f t="shared" si="277"/>
        <v/>
      </c>
      <c r="K4449" s="9">
        <f t="shared" ca="1" si="278"/>
        <v>45404.878290277775</v>
      </c>
      <c r="L4449" s="10">
        <f t="shared" ca="1" si="279"/>
        <v>45404.878290046297</v>
      </c>
    </row>
    <row r="4450" spans="6:12" x14ac:dyDescent="0.25">
      <c r="F4450" s="11" t="str">
        <f>IF(ISBLANK(D4450),"",(VLOOKUP(D4450,Cardápio!$A$2:$B$16,2,0))*E4450)</f>
        <v/>
      </c>
      <c r="H4450" s="7" t="str">
        <f t="shared" si="276"/>
        <v/>
      </c>
      <c r="I4450" s="7" t="str">
        <f>IF(AND(ISBLANK(D4450),ISBLANK(C4450)),"",((VLOOKUP(D4450,Cardápio!$A$2:$C$16,3,0))*E4450)+IF(B4450="iFood",F4450*0.27,(VLOOKUP(VENDAS!C4450,Bairros!$A$2:$B$90,2,0))))</f>
        <v/>
      </c>
      <c r="J4450" s="7" t="str">
        <f t="shared" si="277"/>
        <v/>
      </c>
      <c r="K4450" s="9">
        <f t="shared" ca="1" si="278"/>
        <v>45404.878290162036</v>
      </c>
      <c r="L4450" s="10">
        <f t="shared" ca="1" si="279"/>
        <v>45404.878290046297</v>
      </c>
    </row>
    <row r="4451" spans="6:12" x14ac:dyDescent="0.25">
      <c r="F4451" s="11" t="str">
        <f>IF(ISBLANK(D4451),"",(VLOOKUP(D4451,Cardápio!$A$2:$B$16,2,0))*E4451)</f>
        <v/>
      </c>
      <c r="H4451" s="7" t="str">
        <f t="shared" si="276"/>
        <v/>
      </c>
      <c r="I4451" s="7" t="str">
        <f>IF(AND(ISBLANK(D4451),ISBLANK(C4451)),"",((VLOOKUP(D4451,Cardápio!$A$2:$C$16,3,0))*E4451)+IF(B4451="iFood",F4451*0.27,(VLOOKUP(VENDAS!C4451,Bairros!$A$2:$B$90,2,0))))</f>
        <v/>
      </c>
      <c r="J4451" s="7" t="str">
        <f t="shared" si="277"/>
        <v/>
      </c>
      <c r="K4451" s="9">
        <f t="shared" ca="1" si="278"/>
        <v>45404.878290162036</v>
      </c>
      <c r="L4451" s="10">
        <f t="shared" ca="1" si="279"/>
        <v>45404.878290162036</v>
      </c>
    </row>
    <row r="4452" spans="6:12" x14ac:dyDescent="0.25">
      <c r="F4452" s="11" t="str">
        <f>IF(ISBLANK(D4452),"",(VLOOKUP(D4452,Cardápio!$A$2:$B$16,2,0))*E4452)</f>
        <v/>
      </c>
      <c r="H4452" s="7" t="str">
        <f t="shared" si="276"/>
        <v/>
      </c>
      <c r="I4452" s="7" t="str">
        <f>IF(AND(ISBLANK(D4452),ISBLANK(C4452)),"",((VLOOKUP(D4452,Cardápio!$A$2:$C$16,3,0))*E4452)+IF(B4452="iFood",F4452*0.27,(VLOOKUP(VENDAS!C4452,Bairros!$A$2:$B$90,2,0))))</f>
        <v/>
      </c>
      <c r="J4452" s="7" t="str">
        <f t="shared" si="277"/>
        <v/>
      </c>
      <c r="K4452" s="9">
        <f t="shared" ca="1" si="278"/>
        <v>45404.878290162036</v>
      </c>
      <c r="L4452" s="10">
        <f t="shared" ca="1" si="279"/>
        <v>45404.878290046297</v>
      </c>
    </row>
    <row r="4453" spans="6:12" x14ac:dyDescent="0.25">
      <c r="F4453" s="11" t="str">
        <f>IF(ISBLANK(D4453),"",(VLOOKUP(D4453,Cardápio!$A$2:$B$16,2,0))*E4453)</f>
        <v/>
      </c>
      <c r="H4453" s="7" t="str">
        <f t="shared" si="276"/>
        <v/>
      </c>
      <c r="I4453" s="7" t="str">
        <f>IF(AND(ISBLANK(D4453),ISBLANK(C4453)),"",((VLOOKUP(D4453,Cardápio!$A$2:$C$16,3,0))*E4453)+IF(B4453="iFood",F4453*0.27,(VLOOKUP(VENDAS!C4453,Bairros!$A$2:$B$90,2,0))))</f>
        <v/>
      </c>
      <c r="J4453" s="7" t="str">
        <f t="shared" si="277"/>
        <v/>
      </c>
      <c r="K4453" s="9">
        <f t="shared" ca="1" si="278"/>
        <v>45404.878290277775</v>
      </c>
      <c r="L4453" s="10">
        <f t="shared" ca="1" si="279"/>
        <v>45404.878290046297</v>
      </c>
    </row>
    <row r="4454" spans="6:12" x14ac:dyDescent="0.25">
      <c r="F4454" s="11" t="str">
        <f>IF(ISBLANK(D4454),"",(VLOOKUP(D4454,Cardápio!$A$2:$B$16,2,0))*E4454)</f>
        <v/>
      </c>
      <c r="H4454" s="7" t="str">
        <f t="shared" si="276"/>
        <v/>
      </c>
      <c r="I4454" s="7" t="str">
        <f>IF(AND(ISBLANK(D4454),ISBLANK(C4454)),"",((VLOOKUP(D4454,Cardápio!$A$2:$C$16,3,0))*E4454)+IF(B4454="iFood",F4454*0.27,(VLOOKUP(VENDAS!C4454,Bairros!$A$2:$B$90,2,0))))</f>
        <v/>
      </c>
      <c r="J4454" s="7" t="str">
        <f t="shared" si="277"/>
        <v/>
      </c>
      <c r="K4454" s="9">
        <f t="shared" ca="1" si="278"/>
        <v>45404.878290162036</v>
      </c>
      <c r="L4454" s="10">
        <f t="shared" ca="1" si="279"/>
        <v>45404.878290046297</v>
      </c>
    </row>
    <row r="4455" spans="6:12" x14ac:dyDescent="0.25">
      <c r="F4455" s="11" t="str">
        <f>IF(ISBLANK(D4455),"",(VLOOKUP(D4455,Cardápio!$A$2:$B$16,2,0))*E4455)</f>
        <v/>
      </c>
      <c r="H4455" s="7" t="str">
        <f t="shared" si="276"/>
        <v/>
      </c>
      <c r="I4455" s="7" t="str">
        <f>IF(AND(ISBLANK(D4455),ISBLANK(C4455)),"",((VLOOKUP(D4455,Cardápio!$A$2:$C$16,3,0))*E4455)+IF(B4455="iFood",F4455*0.27,(VLOOKUP(VENDAS!C4455,Bairros!$A$2:$B$90,2,0))))</f>
        <v/>
      </c>
      <c r="J4455" s="7" t="str">
        <f t="shared" si="277"/>
        <v/>
      </c>
      <c r="K4455" s="9">
        <f t="shared" ca="1" si="278"/>
        <v>45404.878290162036</v>
      </c>
      <c r="L4455" s="10">
        <f t="shared" ca="1" si="279"/>
        <v>45404.878290162036</v>
      </c>
    </row>
    <row r="4456" spans="6:12" x14ac:dyDescent="0.25">
      <c r="F4456" s="11" t="str">
        <f>IF(ISBLANK(D4456),"",(VLOOKUP(D4456,Cardápio!$A$2:$B$16,2,0))*E4456)</f>
        <v/>
      </c>
      <c r="H4456" s="7" t="str">
        <f t="shared" si="276"/>
        <v/>
      </c>
      <c r="I4456" s="7" t="str">
        <f>IF(AND(ISBLANK(D4456),ISBLANK(C4456)),"",((VLOOKUP(D4456,Cardápio!$A$2:$C$16,3,0))*E4456)+IF(B4456="iFood",F4456*0.27,(VLOOKUP(VENDAS!C4456,Bairros!$A$2:$B$90,2,0))))</f>
        <v/>
      </c>
      <c r="J4456" s="7" t="str">
        <f t="shared" si="277"/>
        <v/>
      </c>
      <c r="K4456" s="9">
        <f t="shared" ca="1" si="278"/>
        <v>45404.878290162036</v>
      </c>
      <c r="L4456" s="10">
        <f t="shared" ca="1" si="279"/>
        <v>45404.878290046297</v>
      </c>
    </row>
    <row r="4457" spans="6:12" x14ac:dyDescent="0.25">
      <c r="F4457" s="11" t="str">
        <f>IF(ISBLANK(D4457),"",(VLOOKUP(D4457,Cardápio!$A$2:$B$16,2,0))*E4457)</f>
        <v/>
      </c>
      <c r="H4457" s="7" t="str">
        <f t="shared" si="276"/>
        <v/>
      </c>
      <c r="I4457" s="7" t="str">
        <f>IF(AND(ISBLANK(D4457),ISBLANK(C4457)),"",((VLOOKUP(D4457,Cardápio!$A$2:$C$16,3,0))*E4457)+IF(B4457="iFood",F4457*0.27,(VLOOKUP(VENDAS!C4457,Bairros!$A$2:$B$90,2,0))))</f>
        <v/>
      </c>
      <c r="J4457" s="7" t="str">
        <f t="shared" si="277"/>
        <v/>
      </c>
      <c r="K4457" s="9">
        <f t="shared" ca="1" si="278"/>
        <v>45404.878290277775</v>
      </c>
      <c r="L4457" s="10">
        <f t="shared" ca="1" si="279"/>
        <v>45404.878290046297</v>
      </c>
    </row>
    <row r="4458" spans="6:12" x14ac:dyDescent="0.25">
      <c r="F4458" s="11" t="str">
        <f>IF(ISBLANK(D4458),"",(VLOOKUP(D4458,Cardápio!$A$2:$B$16,2,0))*E4458)</f>
        <v/>
      </c>
      <c r="H4458" s="7" t="str">
        <f t="shared" si="276"/>
        <v/>
      </c>
      <c r="I4458" s="7" t="str">
        <f>IF(AND(ISBLANK(D4458),ISBLANK(C4458)),"",((VLOOKUP(D4458,Cardápio!$A$2:$C$16,3,0))*E4458)+IF(B4458="iFood",F4458*0.27,(VLOOKUP(VENDAS!C4458,Bairros!$A$2:$B$90,2,0))))</f>
        <v/>
      </c>
      <c r="J4458" s="7" t="str">
        <f t="shared" si="277"/>
        <v/>
      </c>
      <c r="K4458" s="9">
        <f t="shared" ca="1" si="278"/>
        <v>45404.878290162036</v>
      </c>
      <c r="L4458" s="10">
        <f t="shared" ca="1" si="279"/>
        <v>45404.878290046297</v>
      </c>
    </row>
    <row r="4459" spans="6:12" x14ac:dyDescent="0.25">
      <c r="F4459" s="11" t="str">
        <f>IF(ISBLANK(D4459),"",(VLOOKUP(D4459,Cardápio!$A$2:$B$16,2,0))*E4459)</f>
        <v/>
      </c>
      <c r="H4459" s="7" t="str">
        <f t="shared" si="276"/>
        <v/>
      </c>
      <c r="I4459" s="7" t="str">
        <f>IF(AND(ISBLANK(D4459),ISBLANK(C4459)),"",((VLOOKUP(D4459,Cardápio!$A$2:$C$16,3,0))*E4459)+IF(B4459="iFood",F4459*0.27,(VLOOKUP(VENDAS!C4459,Bairros!$A$2:$B$90,2,0))))</f>
        <v/>
      </c>
      <c r="J4459" s="7" t="str">
        <f t="shared" si="277"/>
        <v/>
      </c>
      <c r="K4459" s="9">
        <f t="shared" ca="1" si="278"/>
        <v>45404.878290162036</v>
      </c>
      <c r="L4459" s="10">
        <f t="shared" ca="1" si="279"/>
        <v>45404.878290162036</v>
      </c>
    </row>
    <row r="4460" spans="6:12" x14ac:dyDescent="0.25">
      <c r="F4460" s="11" t="str">
        <f>IF(ISBLANK(D4460),"",(VLOOKUP(D4460,Cardápio!$A$2:$B$16,2,0))*E4460)</f>
        <v/>
      </c>
      <c r="H4460" s="7" t="str">
        <f t="shared" si="276"/>
        <v/>
      </c>
      <c r="I4460" s="7" t="str">
        <f>IF(AND(ISBLANK(D4460),ISBLANK(C4460)),"",((VLOOKUP(D4460,Cardápio!$A$2:$C$16,3,0))*E4460)+IF(B4460="iFood",F4460*0.27,(VLOOKUP(VENDAS!C4460,Bairros!$A$2:$B$90,2,0))))</f>
        <v/>
      </c>
      <c r="J4460" s="7" t="str">
        <f t="shared" si="277"/>
        <v/>
      </c>
      <c r="K4460" s="9">
        <f t="shared" ca="1" si="278"/>
        <v>45404.878290162036</v>
      </c>
      <c r="L4460" s="10">
        <f t="shared" ca="1" si="279"/>
        <v>45404.878290046297</v>
      </c>
    </row>
    <row r="4461" spans="6:12" x14ac:dyDescent="0.25">
      <c r="F4461" s="11" t="str">
        <f>IF(ISBLANK(D4461),"",(VLOOKUP(D4461,Cardápio!$A$2:$B$16,2,0))*E4461)</f>
        <v/>
      </c>
      <c r="H4461" s="7" t="str">
        <f t="shared" si="276"/>
        <v/>
      </c>
      <c r="I4461" s="7" t="str">
        <f>IF(AND(ISBLANK(D4461),ISBLANK(C4461)),"",((VLOOKUP(D4461,Cardápio!$A$2:$C$16,3,0))*E4461)+IF(B4461="iFood",F4461*0.27,(VLOOKUP(VENDAS!C4461,Bairros!$A$2:$B$90,2,0))))</f>
        <v/>
      </c>
      <c r="J4461" s="7" t="str">
        <f t="shared" si="277"/>
        <v/>
      </c>
      <c r="K4461" s="9">
        <f t="shared" ca="1" si="278"/>
        <v>45404.878290277775</v>
      </c>
      <c r="L4461" s="10">
        <f t="shared" ca="1" si="279"/>
        <v>45404.878290046297</v>
      </c>
    </row>
    <row r="4462" spans="6:12" x14ac:dyDescent="0.25">
      <c r="F4462" s="11" t="str">
        <f>IF(ISBLANK(D4462),"",(VLOOKUP(D4462,Cardápio!$A$2:$B$16,2,0))*E4462)</f>
        <v/>
      </c>
      <c r="H4462" s="7" t="str">
        <f t="shared" si="276"/>
        <v/>
      </c>
      <c r="I4462" s="7" t="str">
        <f>IF(AND(ISBLANK(D4462),ISBLANK(C4462)),"",((VLOOKUP(D4462,Cardápio!$A$2:$C$16,3,0))*E4462)+IF(B4462="iFood",F4462*0.27,(VLOOKUP(VENDAS!C4462,Bairros!$A$2:$B$90,2,0))))</f>
        <v/>
      </c>
      <c r="J4462" s="7" t="str">
        <f t="shared" si="277"/>
        <v/>
      </c>
      <c r="K4462" s="9">
        <f t="shared" ca="1" si="278"/>
        <v>45404.878290162036</v>
      </c>
      <c r="L4462" s="10">
        <f t="shared" ca="1" si="279"/>
        <v>45404.878290046297</v>
      </c>
    </row>
    <row r="4463" spans="6:12" x14ac:dyDescent="0.25">
      <c r="F4463" s="11" t="str">
        <f>IF(ISBLANK(D4463),"",(VLOOKUP(D4463,Cardápio!$A$2:$B$16,2,0))*E4463)</f>
        <v/>
      </c>
      <c r="H4463" s="7" t="str">
        <f t="shared" si="276"/>
        <v/>
      </c>
      <c r="I4463" s="7" t="str">
        <f>IF(AND(ISBLANK(D4463),ISBLANK(C4463)),"",((VLOOKUP(D4463,Cardápio!$A$2:$C$16,3,0))*E4463)+IF(B4463="iFood",F4463*0.27,(VLOOKUP(VENDAS!C4463,Bairros!$A$2:$B$90,2,0))))</f>
        <v/>
      </c>
      <c r="J4463" s="7" t="str">
        <f t="shared" si="277"/>
        <v/>
      </c>
      <c r="K4463" s="9">
        <f t="shared" ca="1" si="278"/>
        <v>45404.878290162036</v>
      </c>
      <c r="L4463" s="10">
        <f t="shared" ca="1" si="279"/>
        <v>45404.878290162036</v>
      </c>
    </row>
    <row r="4464" spans="6:12" x14ac:dyDescent="0.25">
      <c r="F4464" s="11" t="str">
        <f>IF(ISBLANK(D4464),"",(VLOOKUP(D4464,Cardápio!$A$2:$B$16,2,0))*E4464)</f>
        <v/>
      </c>
      <c r="H4464" s="7" t="str">
        <f t="shared" si="276"/>
        <v/>
      </c>
      <c r="I4464" s="7" t="str">
        <f>IF(AND(ISBLANK(D4464),ISBLANK(C4464)),"",((VLOOKUP(D4464,Cardápio!$A$2:$C$16,3,0))*E4464)+IF(B4464="iFood",F4464*0.27,(VLOOKUP(VENDAS!C4464,Bairros!$A$2:$B$90,2,0))))</f>
        <v/>
      </c>
      <c r="J4464" s="7" t="str">
        <f t="shared" si="277"/>
        <v/>
      </c>
      <c r="K4464" s="9">
        <f t="shared" ca="1" si="278"/>
        <v>45404.878290162036</v>
      </c>
      <c r="L4464" s="10">
        <f t="shared" ca="1" si="279"/>
        <v>45404.878290046297</v>
      </c>
    </row>
    <row r="4465" spans="6:12" x14ac:dyDescent="0.25">
      <c r="F4465" s="11" t="str">
        <f>IF(ISBLANK(D4465),"",(VLOOKUP(D4465,Cardápio!$A$2:$B$16,2,0))*E4465)</f>
        <v/>
      </c>
      <c r="H4465" s="7" t="str">
        <f t="shared" si="276"/>
        <v/>
      </c>
      <c r="I4465" s="7" t="str">
        <f>IF(AND(ISBLANK(D4465),ISBLANK(C4465)),"",((VLOOKUP(D4465,Cardápio!$A$2:$C$16,3,0))*E4465)+IF(B4465="iFood",F4465*0.27,(VLOOKUP(VENDAS!C4465,Bairros!$A$2:$B$90,2,0))))</f>
        <v/>
      </c>
      <c r="J4465" s="7" t="str">
        <f t="shared" si="277"/>
        <v/>
      </c>
      <c r="K4465" s="9">
        <f t="shared" ca="1" si="278"/>
        <v>45404.878290277775</v>
      </c>
      <c r="L4465" s="10">
        <f t="shared" ca="1" si="279"/>
        <v>45404.878290046297</v>
      </c>
    </row>
    <row r="4466" spans="6:12" x14ac:dyDescent="0.25">
      <c r="F4466" s="11" t="str">
        <f>IF(ISBLANK(D4466),"",(VLOOKUP(D4466,Cardápio!$A$2:$B$16,2,0))*E4466)</f>
        <v/>
      </c>
      <c r="H4466" s="7" t="str">
        <f t="shared" si="276"/>
        <v/>
      </c>
      <c r="I4466" s="7" t="str">
        <f>IF(AND(ISBLANK(D4466),ISBLANK(C4466)),"",((VLOOKUP(D4466,Cardápio!$A$2:$C$16,3,0))*E4466)+IF(B4466="iFood",F4466*0.27,(VLOOKUP(VENDAS!C4466,Bairros!$A$2:$B$90,2,0))))</f>
        <v/>
      </c>
      <c r="J4466" s="7" t="str">
        <f t="shared" si="277"/>
        <v/>
      </c>
      <c r="K4466" s="9">
        <f t="shared" ca="1" si="278"/>
        <v>45404.878290162036</v>
      </c>
      <c r="L4466" s="10">
        <f t="shared" ca="1" si="279"/>
        <v>45404.878290046297</v>
      </c>
    </row>
    <row r="4467" spans="6:12" x14ac:dyDescent="0.25">
      <c r="F4467" s="11" t="str">
        <f>IF(ISBLANK(D4467),"",(VLOOKUP(D4467,Cardápio!$A$2:$B$16,2,0))*E4467)</f>
        <v/>
      </c>
      <c r="H4467" s="7" t="str">
        <f t="shared" si="276"/>
        <v/>
      </c>
      <c r="I4467" s="7" t="str">
        <f>IF(AND(ISBLANK(D4467),ISBLANK(C4467)),"",((VLOOKUP(D4467,Cardápio!$A$2:$C$16,3,0))*E4467)+IF(B4467="iFood",F4467*0.27,(VLOOKUP(VENDAS!C4467,Bairros!$A$2:$B$90,2,0))))</f>
        <v/>
      </c>
      <c r="J4467" s="7" t="str">
        <f t="shared" si="277"/>
        <v/>
      </c>
      <c r="K4467" s="9">
        <f t="shared" ca="1" si="278"/>
        <v>45404.878290162036</v>
      </c>
      <c r="L4467" s="10">
        <f t="shared" ca="1" si="279"/>
        <v>45404.878290162036</v>
      </c>
    </row>
    <row r="4468" spans="6:12" x14ac:dyDescent="0.25">
      <c r="F4468" s="11" t="str">
        <f>IF(ISBLANK(D4468),"",(VLOOKUP(D4468,Cardápio!$A$2:$B$16,2,0))*E4468)</f>
        <v/>
      </c>
      <c r="H4468" s="7" t="str">
        <f t="shared" si="276"/>
        <v/>
      </c>
      <c r="I4468" s="7" t="str">
        <f>IF(AND(ISBLANK(D4468),ISBLANK(C4468)),"",((VLOOKUP(D4468,Cardápio!$A$2:$C$16,3,0))*E4468)+IF(B4468="iFood",F4468*0.27,(VLOOKUP(VENDAS!C4468,Bairros!$A$2:$B$90,2,0))))</f>
        <v/>
      </c>
      <c r="J4468" s="7" t="str">
        <f t="shared" si="277"/>
        <v/>
      </c>
      <c r="K4468" s="9">
        <f t="shared" ca="1" si="278"/>
        <v>45404.878290162036</v>
      </c>
      <c r="L4468" s="10">
        <f t="shared" ca="1" si="279"/>
        <v>45404.878290046297</v>
      </c>
    </row>
    <row r="4469" spans="6:12" x14ac:dyDescent="0.25">
      <c r="F4469" s="11" t="str">
        <f>IF(ISBLANK(D4469),"",(VLOOKUP(D4469,Cardápio!$A$2:$B$16,2,0))*E4469)</f>
        <v/>
      </c>
      <c r="H4469" s="7" t="str">
        <f t="shared" ref="H4469:H4532" si="280">IF(ISBLANK(D4469),"",F4469-G4469)</f>
        <v/>
      </c>
      <c r="I4469" s="7" t="str">
        <f>IF(AND(ISBLANK(D4469),ISBLANK(C4469)),"",((VLOOKUP(D4469,Cardápio!$A$2:$C$16,3,0))*E4469)+IF(B4469="iFood",F4469*0.27,(VLOOKUP(VENDAS!C4469,Bairros!$A$2:$B$90,2,0))))</f>
        <v/>
      </c>
      <c r="J4469" s="7" t="str">
        <f t="shared" ref="J4469:J4532" si="281">IF(OR(AND(ISBLANK(H4469),ISBLANK(I4469)),(AND(H4469="",I4469=""))),"",H4469-I4469)</f>
        <v/>
      </c>
      <c r="K4469" s="9">
        <f t="shared" ref="K4469:K4532" ca="1" si="282">IF(D4469&lt;&gt;"",K4469,NOW())</f>
        <v>45404.878290277775</v>
      </c>
      <c r="L4469" s="10">
        <f t="shared" ref="L4469:L4532" ca="1" si="283">IF(D4469&lt;&gt;"",L4469,NOW())</f>
        <v>45404.878290046297</v>
      </c>
    </row>
    <row r="4470" spans="6:12" x14ac:dyDescent="0.25">
      <c r="F4470" s="11" t="str">
        <f>IF(ISBLANK(D4470),"",(VLOOKUP(D4470,Cardápio!$A$2:$B$16,2,0))*E4470)</f>
        <v/>
      </c>
      <c r="H4470" s="7" t="str">
        <f t="shared" si="280"/>
        <v/>
      </c>
      <c r="I4470" s="7" t="str">
        <f>IF(AND(ISBLANK(D4470),ISBLANK(C4470)),"",((VLOOKUP(D4470,Cardápio!$A$2:$C$16,3,0))*E4470)+IF(B4470="iFood",F4470*0.27,(VLOOKUP(VENDAS!C4470,Bairros!$A$2:$B$90,2,0))))</f>
        <v/>
      </c>
      <c r="J4470" s="7" t="str">
        <f t="shared" si="281"/>
        <v/>
      </c>
      <c r="K4470" s="9">
        <f t="shared" ca="1" si="282"/>
        <v>45404.878290162036</v>
      </c>
      <c r="L4470" s="10">
        <f t="shared" ca="1" si="283"/>
        <v>45404.878290046297</v>
      </c>
    </row>
    <row r="4471" spans="6:12" x14ac:dyDescent="0.25">
      <c r="F4471" s="11" t="str">
        <f>IF(ISBLANK(D4471),"",(VLOOKUP(D4471,Cardápio!$A$2:$B$16,2,0))*E4471)</f>
        <v/>
      </c>
      <c r="H4471" s="7" t="str">
        <f t="shared" si="280"/>
        <v/>
      </c>
      <c r="I4471" s="7" t="str">
        <f>IF(AND(ISBLANK(D4471),ISBLANK(C4471)),"",((VLOOKUP(D4471,Cardápio!$A$2:$C$16,3,0))*E4471)+IF(B4471="iFood",F4471*0.27,(VLOOKUP(VENDAS!C4471,Bairros!$A$2:$B$90,2,0))))</f>
        <v/>
      </c>
      <c r="J4471" s="7" t="str">
        <f t="shared" si="281"/>
        <v/>
      </c>
      <c r="K4471" s="9">
        <f t="shared" ca="1" si="282"/>
        <v>45404.878290162036</v>
      </c>
      <c r="L4471" s="10">
        <f t="shared" ca="1" si="283"/>
        <v>45404.878290162036</v>
      </c>
    </row>
    <row r="4472" spans="6:12" x14ac:dyDescent="0.25">
      <c r="F4472" s="11" t="str">
        <f>IF(ISBLANK(D4472),"",(VLOOKUP(D4472,Cardápio!$A$2:$B$16,2,0))*E4472)</f>
        <v/>
      </c>
      <c r="H4472" s="7" t="str">
        <f t="shared" si="280"/>
        <v/>
      </c>
      <c r="I4472" s="7" t="str">
        <f>IF(AND(ISBLANK(D4472),ISBLANK(C4472)),"",((VLOOKUP(D4472,Cardápio!$A$2:$C$16,3,0))*E4472)+IF(B4472="iFood",F4472*0.27,(VLOOKUP(VENDAS!C4472,Bairros!$A$2:$B$90,2,0))))</f>
        <v/>
      </c>
      <c r="J4472" s="7" t="str">
        <f t="shared" si="281"/>
        <v/>
      </c>
      <c r="K4472" s="9">
        <f t="shared" ca="1" si="282"/>
        <v>45404.878290162036</v>
      </c>
      <c r="L4472" s="10">
        <f t="shared" ca="1" si="283"/>
        <v>45404.878290046297</v>
      </c>
    </row>
    <row r="4473" spans="6:12" x14ac:dyDescent="0.25">
      <c r="F4473" s="11" t="str">
        <f>IF(ISBLANK(D4473),"",(VLOOKUP(D4473,Cardápio!$A$2:$B$16,2,0))*E4473)</f>
        <v/>
      </c>
      <c r="H4473" s="7" t="str">
        <f t="shared" si="280"/>
        <v/>
      </c>
      <c r="I4473" s="7" t="str">
        <f>IF(AND(ISBLANK(D4473),ISBLANK(C4473)),"",((VLOOKUP(D4473,Cardápio!$A$2:$C$16,3,0))*E4473)+IF(B4473="iFood",F4473*0.27,(VLOOKUP(VENDAS!C4473,Bairros!$A$2:$B$90,2,0))))</f>
        <v/>
      </c>
      <c r="J4473" s="7" t="str">
        <f t="shared" si="281"/>
        <v/>
      </c>
      <c r="K4473" s="9">
        <f t="shared" ca="1" si="282"/>
        <v>45404.878290277775</v>
      </c>
      <c r="L4473" s="10">
        <f t="shared" ca="1" si="283"/>
        <v>45404.878290046297</v>
      </c>
    </row>
    <row r="4474" spans="6:12" x14ac:dyDescent="0.25">
      <c r="F4474" s="11" t="str">
        <f>IF(ISBLANK(D4474),"",(VLOOKUP(D4474,Cardápio!$A$2:$B$16,2,0))*E4474)</f>
        <v/>
      </c>
      <c r="H4474" s="7" t="str">
        <f t="shared" si="280"/>
        <v/>
      </c>
      <c r="I4474" s="7" t="str">
        <f>IF(AND(ISBLANK(D4474),ISBLANK(C4474)),"",((VLOOKUP(D4474,Cardápio!$A$2:$C$16,3,0))*E4474)+IF(B4474="iFood",F4474*0.27,(VLOOKUP(VENDAS!C4474,Bairros!$A$2:$B$90,2,0))))</f>
        <v/>
      </c>
      <c r="J4474" s="7" t="str">
        <f t="shared" si="281"/>
        <v/>
      </c>
      <c r="K4474" s="9">
        <f t="shared" ca="1" si="282"/>
        <v>45404.878290162036</v>
      </c>
      <c r="L4474" s="10">
        <f t="shared" ca="1" si="283"/>
        <v>45404.878290046297</v>
      </c>
    </row>
    <row r="4475" spans="6:12" x14ac:dyDescent="0.25">
      <c r="F4475" s="11" t="str">
        <f>IF(ISBLANK(D4475),"",(VLOOKUP(D4475,Cardápio!$A$2:$B$16,2,0))*E4475)</f>
        <v/>
      </c>
      <c r="H4475" s="7" t="str">
        <f t="shared" si="280"/>
        <v/>
      </c>
      <c r="I4475" s="7" t="str">
        <f>IF(AND(ISBLANK(D4475),ISBLANK(C4475)),"",((VLOOKUP(D4475,Cardápio!$A$2:$C$16,3,0))*E4475)+IF(B4475="iFood",F4475*0.27,(VLOOKUP(VENDAS!C4475,Bairros!$A$2:$B$90,2,0))))</f>
        <v/>
      </c>
      <c r="J4475" s="7" t="str">
        <f t="shared" si="281"/>
        <v/>
      </c>
      <c r="K4475" s="9">
        <f t="shared" ca="1" si="282"/>
        <v>45404.878290162036</v>
      </c>
      <c r="L4475" s="10">
        <f t="shared" ca="1" si="283"/>
        <v>45404.878290162036</v>
      </c>
    </row>
    <row r="4476" spans="6:12" x14ac:dyDescent="0.25">
      <c r="F4476" s="11" t="str">
        <f>IF(ISBLANK(D4476),"",(VLOOKUP(D4476,Cardápio!$A$2:$B$16,2,0))*E4476)</f>
        <v/>
      </c>
      <c r="H4476" s="7" t="str">
        <f t="shared" si="280"/>
        <v/>
      </c>
      <c r="I4476" s="7" t="str">
        <f>IF(AND(ISBLANK(D4476),ISBLANK(C4476)),"",((VLOOKUP(D4476,Cardápio!$A$2:$C$16,3,0))*E4476)+IF(B4476="iFood",F4476*0.27,(VLOOKUP(VENDAS!C4476,Bairros!$A$2:$B$90,2,0))))</f>
        <v/>
      </c>
      <c r="J4476" s="7" t="str">
        <f t="shared" si="281"/>
        <v/>
      </c>
      <c r="K4476" s="9">
        <f t="shared" ca="1" si="282"/>
        <v>45404.878290162036</v>
      </c>
      <c r="L4476" s="10">
        <f t="shared" ca="1" si="283"/>
        <v>45404.878290046297</v>
      </c>
    </row>
    <row r="4477" spans="6:12" x14ac:dyDescent="0.25">
      <c r="F4477" s="11" t="str">
        <f>IF(ISBLANK(D4477),"",(VLOOKUP(D4477,Cardápio!$A$2:$B$16,2,0))*E4477)</f>
        <v/>
      </c>
      <c r="H4477" s="7" t="str">
        <f t="shared" si="280"/>
        <v/>
      </c>
      <c r="I4477" s="7" t="str">
        <f>IF(AND(ISBLANK(D4477),ISBLANK(C4477)),"",((VLOOKUP(D4477,Cardápio!$A$2:$C$16,3,0))*E4477)+IF(B4477="iFood",F4477*0.27,(VLOOKUP(VENDAS!C4477,Bairros!$A$2:$B$90,2,0))))</f>
        <v/>
      </c>
      <c r="J4477" s="7" t="str">
        <f t="shared" si="281"/>
        <v/>
      </c>
      <c r="K4477" s="9">
        <f t="shared" ca="1" si="282"/>
        <v>45404.878290277775</v>
      </c>
      <c r="L4477" s="10">
        <f t="shared" ca="1" si="283"/>
        <v>45404.878290046297</v>
      </c>
    </row>
    <row r="4478" spans="6:12" x14ac:dyDescent="0.25">
      <c r="F4478" s="11" t="str">
        <f>IF(ISBLANK(D4478),"",(VLOOKUP(D4478,Cardápio!$A$2:$B$16,2,0))*E4478)</f>
        <v/>
      </c>
      <c r="H4478" s="7" t="str">
        <f t="shared" si="280"/>
        <v/>
      </c>
      <c r="I4478" s="7" t="str">
        <f>IF(AND(ISBLANK(D4478),ISBLANK(C4478)),"",((VLOOKUP(D4478,Cardápio!$A$2:$C$16,3,0))*E4478)+IF(B4478="iFood",F4478*0.27,(VLOOKUP(VENDAS!C4478,Bairros!$A$2:$B$90,2,0))))</f>
        <v/>
      </c>
      <c r="J4478" s="7" t="str">
        <f t="shared" si="281"/>
        <v/>
      </c>
      <c r="K4478" s="9">
        <f t="shared" ca="1" si="282"/>
        <v>45404.878290162036</v>
      </c>
      <c r="L4478" s="10">
        <f t="shared" ca="1" si="283"/>
        <v>45404.878290046297</v>
      </c>
    </row>
    <row r="4479" spans="6:12" x14ac:dyDescent="0.25">
      <c r="F4479" s="11" t="str">
        <f>IF(ISBLANK(D4479),"",(VLOOKUP(D4479,Cardápio!$A$2:$B$16,2,0))*E4479)</f>
        <v/>
      </c>
      <c r="H4479" s="7" t="str">
        <f t="shared" si="280"/>
        <v/>
      </c>
      <c r="I4479" s="7" t="str">
        <f>IF(AND(ISBLANK(D4479),ISBLANK(C4479)),"",((VLOOKUP(D4479,Cardápio!$A$2:$C$16,3,0))*E4479)+IF(B4479="iFood",F4479*0.27,(VLOOKUP(VENDAS!C4479,Bairros!$A$2:$B$90,2,0))))</f>
        <v/>
      </c>
      <c r="J4479" s="7" t="str">
        <f t="shared" si="281"/>
        <v/>
      </c>
      <c r="K4479" s="9">
        <f t="shared" ca="1" si="282"/>
        <v>45404.878290162036</v>
      </c>
      <c r="L4479" s="10">
        <f t="shared" ca="1" si="283"/>
        <v>45404.878290162036</v>
      </c>
    </row>
    <row r="4480" spans="6:12" x14ac:dyDescent="0.25">
      <c r="F4480" s="11" t="str">
        <f>IF(ISBLANK(D4480),"",(VLOOKUP(D4480,Cardápio!$A$2:$B$16,2,0))*E4480)</f>
        <v/>
      </c>
      <c r="H4480" s="7" t="str">
        <f t="shared" si="280"/>
        <v/>
      </c>
      <c r="I4480" s="7" t="str">
        <f>IF(AND(ISBLANK(D4480),ISBLANK(C4480)),"",((VLOOKUP(D4480,Cardápio!$A$2:$C$16,3,0))*E4480)+IF(B4480="iFood",F4480*0.27,(VLOOKUP(VENDAS!C4480,Bairros!$A$2:$B$90,2,0))))</f>
        <v/>
      </c>
      <c r="J4480" s="7" t="str">
        <f t="shared" si="281"/>
        <v/>
      </c>
      <c r="K4480" s="9">
        <f t="shared" ca="1" si="282"/>
        <v>45404.878290162036</v>
      </c>
      <c r="L4480" s="10">
        <f t="shared" ca="1" si="283"/>
        <v>45404.878290046297</v>
      </c>
    </row>
    <row r="4481" spans="6:12" x14ac:dyDescent="0.25">
      <c r="F4481" s="11" t="str">
        <f>IF(ISBLANK(D4481),"",(VLOOKUP(D4481,Cardápio!$A$2:$B$16,2,0))*E4481)</f>
        <v/>
      </c>
      <c r="H4481" s="7" t="str">
        <f t="shared" si="280"/>
        <v/>
      </c>
      <c r="I4481" s="7" t="str">
        <f>IF(AND(ISBLANK(D4481),ISBLANK(C4481)),"",((VLOOKUP(D4481,Cardápio!$A$2:$C$16,3,0))*E4481)+IF(B4481="iFood",F4481*0.27,(VLOOKUP(VENDAS!C4481,Bairros!$A$2:$B$90,2,0))))</f>
        <v/>
      </c>
      <c r="J4481" s="7" t="str">
        <f t="shared" si="281"/>
        <v/>
      </c>
      <c r="K4481" s="9">
        <f t="shared" ca="1" si="282"/>
        <v>45404.878290277775</v>
      </c>
      <c r="L4481" s="10">
        <f t="shared" ca="1" si="283"/>
        <v>45404.878290046297</v>
      </c>
    </row>
    <row r="4482" spans="6:12" x14ac:dyDescent="0.25">
      <c r="F4482" s="11" t="str">
        <f>IF(ISBLANK(D4482),"",(VLOOKUP(D4482,Cardápio!$A$2:$B$16,2,0))*E4482)</f>
        <v/>
      </c>
      <c r="H4482" s="7" t="str">
        <f t="shared" si="280"/>
        <v/>
      </c>
      <c r="I4482" s="7" t="str">
        <f>IF(AND(ISBLANK(D4482),ISBLANK(C4482)),"",((VLOOKUP(D4482,Cardápio!$A$2:$C$16,3,0))*E4482)+IF(B4482="iFood",F4482*0.27,(VLOOKUP(VENDAS!C4482,Bairros!$A$2:$B$90,2,0))))</f>
        <v/>
      </c>
      <c r="J4482" s="7" t="str">
        <f t="shared" si="281"/>
        <v/>
      </c>
      <c r="K4482" s="9">
        <f t="shared" ca="1" si="282"/>
        <v>45404.878290162036</v>
      </c>
      <c r="L4482" s="10">
        <f t="shared" ca="1" si="283"/>
        <v>45404.878290046297</v>
      </c>
    </row>
    <row r="4483" spans="6:12" x14ac:dyDescent="0.25">
      <c r="F4483" s="11" t="str">
        <f>IF(ISBLANK(D4483),"",(VLOOKUP(D4483,Cardápio!$A$2:$B$16,2,0))*E4483)</f>
        <v/>
      </c>
      <c r="H4483" s="7" t="str">
        <f t="shared" si="280"/>
        <v/>
      </c>
      <c r="I4483" s="7" t="str">
        <f>IF(AND(ISBLANK(D4483),ISBLANK(C4483)),"",((VLOOKUP(D4483,Cardápio!$A$2:$C$16,3,0))*E4483)+IF(B4483="iFood",F4483*0.27,(VLOOKUP(VENDAS!C4483,Bairros!$A$2:$B$90,2,0))))</f>
        <v/>
      </c>
      <c r="J4483" s="7" t="str">
        <f t="shared" si="281"/>
        <v/>
      </c>
      <c r="K4483" s="9">
        <f t="shared" ca="1" si="282"/>
        <v>45404.878290162036</v>
      </c>
      <c r="L4483" s="10">
        <f t="shared" ca="1" si="283"/>
        <v>45404.878290162036</v>
      </c>
    </row>
    <row r="4484" spans="6:12" x14ac:dyDescent="0.25">
      <c r="F4484" s="11" t="str">
        <f>IF(ISBLANK(D4484),"",(VLOOKUP(D4484,Cardápio!$A$2:$B$16,2,0))*E4484)</f>
        <v/>
      </c>
      <c r="H4484" s="7" t="str">
        <f t="shared" si="280"/>
        <v/>
      </c>
      <c r="I4484" s="7" t="str">
        <f>IF(AND(ISBLANK(D4484),ISBLANK(C4484)),"",((VLOOKUP(D4484,Cardápio!$A$2:$C$16,3,0))*E4484)+IF(B4484="iFood",F4484*0.27,(VLOOKUP(VENDAS!C4484,Bairros!$A$2:$B$90,2,0))))</f>
        <v/>
      </c>
      <c r="J4484" s="7" t="str">
        <f t="shared" si="281"/>
        <v/>
      </c>
      <c r="K4484" s="9">
        <f t="shared" ca="1" si="282"/>
        <v>45404.878290162036</v>
      </c>
      <c r="L4484" s="10">
        <f t="shared" ca="1" si="283"/>
        <v>45404.878290046297</v>
      </c>
    </row>
    <row r="4485" spans="6:12" x14ac:dyDescent="0.25">
      <c r="F4485" s="11" t="str">
        <f>IF(ISBLANK(D4485),"",(VLOOKUP(D4485,Cardápio!$A$2:$B$16,2,0))*E4485)</f>
        <v/>
      </c>
      <c r="H4485" s="7" t="str">
        <f t="shared" si="280"/>
        <v/>
      </c>
      <c r="I4485" s="7" t="str">
        <f>IF(AND(ISBLANK(D4485),ISBLANK(C4485)),"",((VLOOKUP(D4485,Cardápio!$A$2:$C$16,3,0))*E4485)+IF(B4485="iFood",F4485*0.27,(VLOOKUP(VENDAS!C4485,Bairros!$A$2:$B$90,2,0))))</f>
        <v/>
      </c>
      <c r="J4485" s="7" t="str">
        <f t="shared" si="281"/>
        <v/>
      </c>
      <c r="K4485" s="9">
        <f t="shared" ca="1" si="282"/>
        <v>45404.878290277775</v>
      </c>
      <c r="L4485" s="10">
        <f t="shared" ca="1" si="283"/>
        <v>45404.878290046297</v>
      </c>
    </row>
    <row r="4486" spans="6:12" x14ac:dyDescent="0.25">
      <c r="F4486" s="11" t="str">
        <f>IF(ISBLANK(D4486),"",(VLOOKUP(D4486,Cardápio!$A$2:$B$16,2,0))*E4486)</f>
        <v/>
      </c>
      <c r="H4486" s="7" t="str">
        <f t="shared" si="280"/>
        <v/>
      </c>
      <c r="I4486" s="7" t="str">
        <f>IF(AND(ISBLANK(D4486),ISBLANK(C4486)),"",((VLOOKUP(D4486,Cardápio!$A$2:$C$16,3,0))*E4486)+IF(B4486="iFood",F4486*0.27,(VLOOKUP(VENDAS!C4486,Bairros!$A$2:$B$90,2,0))))</f>
        <v/>
      </c>
      <c r="J4486" s="7" t="str">
        <f t="shared" si="281"/>
        <v/>
      </c>
      <c r="K4486" s="9">
        <f t="shared" ca="1" si="282"/>
        <v>45404.878290162036</v>
      </c>
      <c r="L4486" s="10">
        <f t="shared" ca="1" si="283"/>
        <v>45404.878290046297</v>
      </c>
    </row>
    <row r="4487" spans="6:12" x14ac:dyDescent="0.25">
      <c r="F4487" s="11" t="str">
        <f>IF(ISBLANK(D4487),"",(VLOOKUP(D4487,Cardápio!$A$2:$B$16,2,0))*E4487)</f>
        <v/>
      </c>
      <c r="H4487" s="7" t="str">
        <f t="shared" si="280"/>
        <v/>
      </c>
      <c r="I4487" s="7" t="str">
        <f>IF(AND(ISBLANK(D4487),ISBLANK(C4487)),"",((VLOOKUP(D4487,Cardápio!$A$2:$C$16,3,0))*E4487)+IF(B4487="iFood",F4487*0.27,(VLOOKUP(VENDAS!C4487,Bairros!$A$2:$B$90,2,0))))</f>
        <v/>
      </c>
      <c r="J4487" s="7" t="str">
        <f t="shared" si="281"/>
        <v/>
      </c>
      <c r="K4487" s="9">
        <f t="shared" ca="1" si="282"/>
        <v>45404.878290162036</v>
      </c>
      <c r="L4487" s="10">
        <f t="shared" ca="1" si="283"/>
        <v>45404.878290162036</v>
      </c>
    </row>
    <row r="4488" spans="6:12" x14ac:dyDescent="0.25">
      <c r="F4488" s="11" t="str">
        <f>IF(ISBLANK(D4488),"",(VLOOKUP(D4488,Cardápio!$A$2:$B$16,2,0))*E4488)</f>
        <v/>
      </c>
      <c r="H4488" s="7" t="str">
        <f t="shared" si="280"/>
        <v/>
      </c>
      <c r="I4488" s="7" t="str">
        <f>IF(AND(ISBLANK(D4488),ISBLANK(C4488)),"",((VLOOKUP(D4488,Cardápio!$A$2:$C$16,3,0))*E4488)+IF(B4488="iFood",F4488*0.27,(VLOOKUP(VENDAS!C4488,Bairros!$A$2:$B$90,2,0))))</f>
        <v/>
      </c>
      <c r="J4488" s="7" t="str">
        <f t="shared" si="281"/>
        <v/>
      </c>
      <c r="K4488" s="9">
        <f t="shared" ca="1" si="282"/>
        <v>45404.878290162036</v>
      </c>
      <c r="L4488" s="10">
        <f t="shared" ca="1" si="283"/>
        <v>45404.878290046297</v>
      </c>
    </row>
    <row r="4489" spans="6:12" x14ac:dyDescent="0.25">
      <c r="F4489" s="11" t="str">
        <f>IF(ISBLANK(D4489),"",(VLOOKUP(D4489,Cardápio!$A$2:$B$16,2,0))*E4489)</f>
        <v/>
      </c>
      <c r="H4489" s="7" t="str">
        <f t="shared" si="280"/>
        <v/>
      </c>
      <c r="I4489" s="7" t="str">
        <f>IF(AND(ISBLANK(D4489),ISBLANK(C4489)),"",((VLOOKUP(D4489,Cardápio!$A$2:$C$16,3,0))*E4489)+IF(B4489="iFood",F4489*0.27,(VLOOKUP(VENDAS!C4489,Bairros!$A$2:$B$90,2,0))))</f>
        <v/>
      </c>
      <c r="J4489" s="7" t="str">
        <f t="shared" si="281"/>
        <v/>
      </c>
      <c r="K4489" s="9">
        <f t="shared" ca="1" si="282"/>
        <v>45404.878290277775</v>
      </c>
      <c r="L4489" s="10">
        <f t="shared" ca="1" si="283"/>
        <v>45404.878290046297</v>
      </c>
    </row>
    <row r="4490" spans="6:12" x14ac:dyDescent="0.25">
      <c r="F4490" s="11" t="str">
        <f>IF(ISBLANK(D4490),"",(VLOOKUP(D4490,Cardápio!$A$2:$B$16,2,0))*E4490)</f>
        <v/>
      </c>
      <c r="H4490" s="7" t="str">
        <f t="shared" si="280"/>
        <v/>
      </c>
      <c r="I4490" s="7" t="str">
        <f>IF(AND(ISBLANK(D4490),ISBLANK(C4490)),"",((VLOOKUP(D4490,Cardápio!$A$2:$C$16,3,0))*E4490)+IF(B4490="iFood",F4490*0.27,(VLOOKUP(VENDAS!C4490,Bairros!$A$2:$B$90,2,0))))</f>
        <v/>
      </c>
      <c r="J4490" s="7" t="str">
        <f t="shared" si="281"/>
        <v/>
      </c>
      <c r="K4490" s="9">
        <f t="shared" ca="1" si="282"/>
        <v>45404.878290162036</v>
      </c>
      <c r="L4490" s="10">
        <f t="shared" ca="1" si="283"/>
        <v>45404.878290046297</v>
      </c>
    </row>
    <row r="4491" spans="6:12" x14ac:dyDescent="0.25">
      <c r="F4491" s="11" t="str">
        <f>IF(ISBLANK(D4491),"",(VLOOKUP(D4491,Cardápio!$A$2:$B$16,2,0))*E4491)</f>
        <v/>
      </c>
      <c r="H4491" s="7" t="str">
        <f t="shared" si="280"/>
        <v/>
      </c>
      <c r="I4491" s="7" t="str">
        <f>IF(AND(ISBLANK(D4491),ISBLANK(C4491)),"",((VLOOKUP(D4491,Cardápio!$A$2:$C$16,3,0))*E4491)+IF(B4491="iFood",F4491*0.27,(VLOOKUP(VENDAS!C4491,Bairros!$A$2:$B$90,2,0))))</f>
        <v/>
      </c>
      <c r="J4491" s="7" t="str">
        <f t="shared" si="281"/>
        <v/>
      </c>
      <c r="K4491" s="9">
        <f t="shared" ca="1" si="282"/>
        <v>45404.878290162036</v>
      </c>
      <c r="L4491" s="10">
        <f t="shared" ca="1" si="283"/>
        <v>45404.878290162036</v>
      </c>
    </row>
    <row r="4492" spans="6:12" x14ac:dyDescent="0.25">
      <c r="F4492" s="11" t="str">
        <f>IF(ISBLANK(D4492),"",(VLOOKUP(D4492,Cardápio!$A$2:$B$16,2,0))*E4492)</f>
        <v/>
      </c>
      <c r="H4492" s="7" t="str">
        <f t="shared" si="280"/>
        <v/>
      </c>
      <c r="I4492" s="7" t="str">
        <f>IF(AND(ISBLANK(D4492),ISBLANK(C4492)),"",((VLOOKUP(D4492,Cardápio!$A$2:$C$16,3,0))*E4492)+IF(B4492="iFood",F4492*0.27,(VLOOKUP(VENDAS!C4492,Bairros!$A$2:$B$90,2,0))))</f>
        <v/>
      </c>
      <c r="J4492" s="7" t="str">
        <f t="shared" si="281"/>
        <v/>
      </c>
      <c r="K4492" s="9">
        <f t="shared" ca="1" si="282"/>
        <v>45404.878290162036</v>
      </c>
      <c r="L4492" s="10">
        <f t="shared" ca="1" si="283"/>
        <v>45404.878290046297</v>
      </c>
    </row>
    <row r="4493" spans="6:12" x14ac:dyDescent="0.25">
      <c r="F4493" s="11" t="str">
        <f>IF(ISBLANK(D4493),"",(VLOOKUP(D4493,Cardápio!$A$2:$B$16,2,0))*E4493)</f>
        <v/>
      </c>
      <c r="H4493" s="7" t="str">
        <f t="shared" si="280"/>
        <v/>
      </c>
      <c r="I4493" s="7" t="str">
        <f>IF(AND(ISBLANK(D4493),ISBLANK(C4493)),"",((VLOOKUP(D4493,Cardápio!$A$2:$C$16,3,0))*E4493)+IF(B4493="iFood",F4493*0.27,(VLOOKUP(VENDAS!C4493,Bairros!$A$2:$B$90,2,0))))</f>
        <v/>
      </c>
      <c r="J4493" s="7" t="str">
        <f t="shared" si="281"/>
        <v/>
      </c>
      <c r="K4493" s="9">
        <f t="shared" ca="1" si="282"/>
        <v>45404.878290277775</v>
      </c>
      <c r="L4493" s="10">
        <f t="shared" ca="1" si="283"/>
        <v>45404.878290046297</v>
      </c>
    </row>
    <row r="4494" spans="6:12" x14ac:dyDescent="0.25">
      <c r="F4494" s="11" t="str">
        <f>IF(ISBLANK(D4494),"",(VLOOKUP(D4494,Cardápio!$A$2:$B$16,2,0))*E4494)</f>
        <v/>
      </c>
      <c r="H4494" s="7" t="str">
        <f t="shared" si="280"/>
        <v/>
      </c>
      <c r="I4494" s="7" t="str">
        <f>IF(AND(ISBLANK(D4494),ISBLANK(C4494)),"",((VLOOKUP(D4494,Cardápio!$A$2:$C$16,3,0))*E4494)+IF(B4494="iFood",F4494*0.27,(VLOOKUP(VENDAS!C4494,Bairros!$A$2:$B$90,2,0))))</f>
        <v/>
      </c>
      <c r="J4494" s="7" t="str">
        <f t="shared" si="281"/>
        <v/>
      </c>
      <c r="K4494" s="9">
        <f t="shared" ca="1" si="282"/>
        <v>45404.878290162036</v>
      </c>
      <c r="L4494" s="10">
        <f t="shared" ca="1" si="283"/>
        <v>45404.878290046297</v>
      </c>
    </row>
    <row r="4495" spans="6:12" x14ac:dyDescent="0.25">
      <c r="F4495" s="11" t="str">
        <f>IF(ISBLANK(D4495),"",(VLOOKUP(D4495,Cardápio!$A$2:$B$16,2,0))*E4495)</f>
        <v/>
      </c>
      <c r="H4495" s="7" t="str">
        <f t="shared" si="280"/>
        <v/>
      </c>
      <c r="I4495" s="7" t="str">
        <f>IF(AND(ISBLANK(D4495),ISBLANK(C4495)),"",((VLOOKUP(D4495,Cardápio!$A$2:$C$16,3,0))*E4495)+IF(B4495="iFood",F4495*0.27,(VLOOKUP(VENDAS!C4495,Bairros!$A$2:$B$90,2,0))))</f>
        <v/>
      </c>
      <c r="J4495" s="7" t="str">
        <f t="shared" si="281"/>
        <v/>
      </c>
      <c r="K4495" s="9">
        <f t="shared" ca="1" si="282"/>
        <v>45404.878290162036</v>
      </c>
      <c r="L4495" s="10">
        <f t="shared" ca="1" si="283"/>
        <v>45404.878290162036</v>
      </c>
    </row>
    <row r="4496" spans="6:12" x14ac:dyDescent="0.25">
      <c r="F4496" s="11" t="str">
        <f>IF(ISBLANK(D4496),"",(VLOOKUP(D4496,Cardápio!$A$2:$B$16,2,0))*E4496)</f>
        <v/>
      </c>
      <c r="H4496" s="7" t="str">
        <f t="shared" si="280"/>
        <v/>
      </c>
      <c r="I4496" s="7" t="str">
        <f>IF(AND(ISBLANK(D4496),ISBLANK(C4496)),"",((VLOOKUP(D4496,Cardápio!$A$2:$C$16,3,0))*E4496)+IF(B4496="iFood",F4496*0.27,(VLOOKUP(VENDAS!C4496,Bairros!$A$2:$B$90,2,0))))</f>
        <v/>
      </c>
      <c r="J4496" s="7" t="str">
        <f t="shared" si="281"/>
        <v/>
      </c>
      <c r="K4496" s="9">
        <f t="shared" ca="1" si="282"/>
        <v>45404.878290162036</v>
      </c>
      <c r="L4496" s="10">
        <f t="shared" ca="1" si="283"/>
        <v>45404.878290046297</v>
      </c>
    </row>
    <row r="4497" spans="6:12" x14ac:dyDescent="0.25">
      <c r="F4497" s="11" t="str">
        <f>IF(ISBLANK(D4497),"",(VLOOKUP(D4497,Cardápio!$A$2:$B$16,2,0))*E4497)</f>
        <v/>
      </c>
      <c r="H4497" s="7" t="str">
        <f t="shared" si="280"/>
        <v/>
      </c>
      <c r="I4497" s="7" t="str">
        <f>IF(AND(ISBLANK(D4497),ISBLANK(C4497)),"",((VLOOKUP(D4497,Cardápio!$A$2:$C$16,3,0))*E4497)+IF(B4497="iFood",F4497*0.27,(VLOOKUP(VENDAS!C4497,Bairros!$A$2:$B$90,2,0))))</f>
        <v/>
      </c>
      <c r="J4497" s="7" t="str">
        <f t="shared" si="281"/>
        <v/>
      </c>
      <c r="K4497" s="9">
        <f t="shared" ca="1" si="282"/>
        <v>45404.878290277775</v>
      </c>
      <c r="L4497" s="10">
        <f t="shared" ca="1" si="283"/>
        <v>45404.878290046297</v>
      </c>
    </row>
    <row r="4498" spans="6:12" x14ac:dyDescent="0.25">
      <c r="F4498" s="11" t="str">
        <f>IF(ISBLANK(D4498),"",(VLOOKUP(D4498,Cardápio!$A$2:$B$16,2,0))*E4498)</f>
        <v/>
      </c>
      <c r="H4498" s="7" t="str">
        <f t="shared" si="280"/>
        <v/>
      </c>
      <c r="I4498" s="7" t="str">
        <f>IF(AND(ISBLANK(D4498),ISBLANK(C4498)),"",((VLOOKUP(D4498,Cardápio!$A$2:$C$16,3,0))*E4498)+IF(B4498="iFood",F4498*0.27,(VLOOKUP(VENDAS!C4498,Bairros!$A$2:$B$90,2,0))))</f>
        <v/>
      </c>
      <c r="J4498" s="7" t="str">
        <f t="shared" si="281"/>
        <v/>
      </c>
      <c r="K4498" s="9">
        <f t="shared" ca="1" si="282"/>
        <v>45404.878290162036</v>
      </c>
      <c r="L4498" s="10">
        <f t="shared" ca="1" si="283"/>
        <v>45404.878290046297</v>
      </c>
    </row>
    <row r="4499" spans="6:12" x14ac:dyDescent="0.25">
      <c r="F4499" s="11" t="str">
        <f>IF(ISBLANK(D4499),"",(VLOOKUP(D4499,Cardápio!$A$2:$B$16,2,0))*E4499)</f>
        <v/>
      </c>
      <c r="H4499" s="7" t="str">
        <f t="shared" si="280"/>
        <v/>
      </c>
      <c r="I4499" s="7" t="str">
        <f>IF(AND(ISBLANK(D4499),ISBLANK(C4499)),"",((VLOOKUP(D4499,Cardápio!$A$2:$C$16,3,0))*E4499)+IF(B4499="iFood",F4499*0.27,(VLOOKUP(VENDAS!C4499,Bairros!$A$2:$B$90,2,0))))</f>
        <v/>
      </c>
      <c r="J4499" s="7" t="str">
        <f t="shared" si="281"/>
        <v/>
      </c>
      <c r="K4499" s="9">
        <f t="shared" ca="1" si="282"/>
        <v>45404.878290162036</v>
      </c>
      <c r="L4499" s="10">
        <f t="shared" ca="1" si="283"/>
        <v>45404.878290162036</v>
      </c>
    </row>
    <row r="4500" spans="6:12" x14ac:dyDescent="0.25">
      <c r="F4500" s="11" t="str">
        <f>IF(ISBLANK(D4500),"",(VLOOKUP(D4500,Cardápio!$A$2:$B$16,2,0))*E4500)</f>
        <v/>
      </c>
      <c r="H4500" s="7" t="str">
        <f t="shared" si="280"/>
        <v/>
      </c>
      <c r="I4500" s="7" t="str">
        <f>IF(AND(ISBLANK(D4500),ISBLANK(C4500)),"",((VLOOKUP(D4500,Cardápio!$A$2:$C$16,3,0))*E4500)+IF(B4500="iFood",F4500*0.27,(VLOOKUP(VENDAS!C4500,Bairros!$A$2:$B$90,2,0))))</f>
        <v/>
      </c>
      <c r="J4500" s="7" t="str">
        <f t="shared" si="281"/>
        <v/>
      </c>
      <c r="K4500" s="9">
        <f t="shared" ca="1" si="282"/>
        <v>45404.878290162036</v>
      </c>
      <c r="L4500" s="10">
        <f t="shared" ca="1" si="283"/>
        <v>45404.878290046297</v>
      </c>
    </row>
    <row r="4501" spans="6:12" x14ac:dyDescent="0.25">
      <c r="F4501" s="11" t="str">
        <f>IF(ISBLANK(D4501),"",(VLOOKUP(D4501,Cardápio!$A$2:$B$16,2,0))*E4501)</f>
        <v/>
      </c>
      <c r="H4501" s="7" t="str">
        <f t="shared" si="280"/>
        <v/>
      </c>
      <c r="I4501" s="7" t="str">
        <f>IF(AND(ISBLANK(D4501),ISBLANK(C4501)),"",((VLOOKUP(D4501,Cardápio!$A$2:$C$16,3,0))*E4501)+IF(B4501="iFood",F4501*0.27,(VLOOKUP(VENDAS!C4501,Bairros!$A$2:$B$90,2,0))))</f>
        <v/>
      </c>
      <c r="J4501" s="7" t="str">
        <f t="shared" si="281"/>
        <v/>
      </c>
      <c r="K4501" s="9">
        <f t="shared" ca="1" si="282"/>
        <v>45404.878290277775</v>
      </c>
      <c r="L4501" s="10">
        <f t="shared" ca="1" si="283"/>
        <v>45404.878290046297</v>
      </c>
    </row>
    <row r="4502" spans="6:12" x14ac:dyDescent="0.25">
      <c r="F4502" s="11" t="str">
        <f>IF(ISBLANK(D4502),"",(VLOOKUP(D4502,Cardápio!$A$2:$B$16,2,0))*E4502)</f>
        <v/>
      </c>
      <c r="H4502" s="7" t="str">
        <f t="shared" si="280"/>
        <v/>
      </c>
      <c r="I4502" s="7" t="str">
        <f>IF(AND(ISBLANK(D4502),ISBLANK(C4502)),"",((VLOOKUP(D4502,Cardápio!$A$2:$C$16,3,0))*E4502)+IF(B4502="iFood",F4502*0.27,(VLOOKUP(VENDAS!C4502,Bairros!$A$2:$B$90,2,0))))</f>
        <v/>
      </c>
      <c r="J4502" s="7" t="str">
        <f t="shared" si="281"/>
        <v/>
      </c>
      <c r="K4502" s="9">
        <f t="shared" ca="1" si="282"/>
        <v>45404.878290162036</v>
      </c>
      <c r="L4502" s="10">
        <f t="shared" ca="1" si="283"/>
        <v>45404.878290046297</v>
      </c>
    </row>
    <row r="4503" spans="6:12" x14ac:dyDescent="0.25">
      <c r="F4503" s="11" t="str">
        <f>IF(ISBLANK(D4503),"",(VLOOKUP(D4503,Cardápio!$A$2:$B$16,2,0))*E4503)</f>
        <v/>
      </c>
      <c r="H4503" s="7" t="str">
        <f t="shared" si="280"/>
        <v/>
      </c>
      <c r="I4503" s="7" t="str">
        <f>IF(AND(ISBLANK(D4503),ISBLANK(C4503)),"",((VLOOKUP(D4503,Cardápio!$A$2:$C$16,3,0))*E4503)+IF(B4503="iFood",F4503*0.27,(VLOOKUP(VENDAS!C4503,Bairros!$A$2:$B$90,2,0))))</f>
        <v/>
      </c>
      <c r="J4503" s="7" t="str">
        <f t="shared" si="281"/>
        <v/>
      </c>
      <c r="K4503" s="9">
        <f t="shared" ca="1" si="282"/>
        <v>45404.878290162036</v>
      </c>
      <c r="L4503" s="10">
        <f t="shared" ca="1" si="283"/>
        <v>45404.878290162036</v>
      </c>
    </row>
    <row r="4504" spans="6:12" x14ac:dyDescent="0.25">
      <c r="F4504" s="11" t="str">
        <f>IF(ISBLANK(D4504),"",(VLOOKUP(D4504,Cardápio!$A$2:$B$16,2,0))*E4504)</f>
        <v/>
      </c>
      <c r="H4504" s="7" t="str">
        <f t="shared" si="280"/>
        <v/>
      </c>
      <c r="I4504" s="7" t="str">
        <f>IF(AND(ISBLANK(D4504),ISBLANK(C4504)),"",((VLOOKUP(D4504,Cardápio!$A$2:$C$16,3,0))*E4504)+IF(B4504="iFood",F4504*0.27,(VLOOKUP(VENDAS!C4504,Bairros!$A$2:$B$90,2,0))))</f>
        <v/>
      </c>
      <c r="J4504" s="7" t="str">
        <f t="shared" si="281"/>
        <v/>
      </c>
      <c r="K4504" s="9">
        <f t="shared" ca="1" si="282"/>
        <v>45404.878290162036</v>
      </c>
      <c r="L4504" s="10">
        <f t="shared" ca="1" si="283"/>
        <v>45404.878290046297</v>
      </c>
    </row>
    <row r="4505" spans="6:12" x14ac:dyDescent="0.25">
      <c r="F4505" s="11" t="str">
        <f>IF(ISBLANK(D4505),"",(VLOOKUP(D4505,Cardápio!$A$2:$B$16,2,0))*E4505)</f>
        <v/>
      </c>
      <c r="H4505" s="7" t="str">
        <f t="shared" si="280"/>
        <v/>
      </c>
      <c r="I4505" s="7" t="str">
        <f>IF(AND(ISBLANK(D4505),ISBLANK(C4505)),"",((VLOOKUP(D4505,Cardápio!$A$2:$C$16,3,0))*E4505)+IF(B4505="iFood",F4505*0.27,(VLOOKUP(VENDAS!C4505,Bairros!$A$2:$B$90,2,0))))</f>
        <v/>
      </c>
      <c r="J4505" s="7" t="str">
        <f t="shared" si="281"/>
        <v/>
      </c>
      <c r="K4505" s="9">
        <f t="shared" ca="1" si="282"/>
        <v>45404.878290277775</v>
      </c>
      <c r="L4505" s="10">
        <f t="shared" ca="1" si="283"/>
        <v>45404.878290046297</v>
      </c>
    </row>
    <row r="4506" spans="6:12" x14ac:dyDescent="0.25">
      <c r="F4506" s="11" t="str">
        <f>IF(ISBLANK(D4506),"",(VLOOKUP(D4506,Cardápio!$A$2:$B$16,2,0))*E4506)</f>
        <v/>
      </c>
      <c r="H4506" s="7" t="str">
        <f t="shared" si="280"/>
        <v/>
      </c>
      <c r="I4506" s="7" t="str">
        <f>IF(AND(ISBLANK(D4506),ISBLANK(C4506)),"",((VLOOKUP(D4506,Cardápio!$A$2:$C$16,3,0))*E4506)+IF(B4506="iFood",F4506*0.27,(VLOOKUP(VENDAS!C4506,Bairros!$A$2:$B$90,2,0))))</f>
        <v/>
      </c>
      <c r="J4506" s="7" t="str">
        <f t="shared" si="281"/>
        <v/>
      </c>
      <c r="K4506" s="9">
        <f t="shared" ca="1" si="282"/>
        <v>45404.878290162036</v>
      </c>
      <c r="L4506" s="10">
        <f t="shared" ca="1" si="283"/>
        <v>45404.878290046297</v>
      </c>
    </row>
    <row r="4507" spans="6:12" x14ac:dyDescent="0.25">
      <c r="F4507" s="11" t="str">
        <f>IF(ISBLANK(D4507),"",(VLOOKUP(D4507,Cardápio!$A$2:$B$16,2,0))*E4507)</f>
        <v/>
      </c>
      <c r="H4507" s="7" t="str">
        <f t="shared" si="280"/>
        <v/>
      </c>
      <c r="I4507" s="7" t="str">
        <f>IF(AND(ISBLANK(D4507),ISBLANK(C4507)),"",((VLOOKUP(D4507,Cardápio!$A$2:$C$16,3,0))*E4507)+IF(B4507="iFood",F4507*0.27,(VLOOKUP(VENDAS!C4507,Bairros!$A$2:$B$90,2,0))))</f>
        <v/>
      </c>
      <c r="J4507" s="7" t="str">
        <f t="shared" si="281"/>
        <v/>
      </c>
      <c r="K4507" s="9">
        <f t="shared" ca="1" si="282"/>
        <v>45404.878290162036</v>
      </c>
      <c r="L4507" s="10">
        <f t="shared" ca="1" si="283"/>
        <v>45404.878290162036</v>
      </c>
    </row>
    <row r="4508" spans="6:12" x14ac:dyDescent="0.25">
      <c r="F4508" s="11" t="str">
        <f>IF(ISBLANK(D4508),"",(VLOOKUP(D4508,Cardápio!$A$2:$B$16,2,0))*E4508)</f>
        <v/>
      </c>
      <c r="H4508" s="7" t="str">
        <f t="shared" si="280"/>
        <v/>
      </c>
      <c r="I4508" s="7" t="str">
        <f>IF(AND(ISBLANK(D4508),ISBLANK(C4508)),"",((VLOOKUP(D4508,Cardápio!$A$2:$C$16,3,0))*E4508)+IF(B4508="iFood",F4508*0.27,(VLOOKUP(VENDAS!C4508,Bairros!$A$2:$B$90,2,0))))</f>
        <v/>
      </c>
      <c r="J4508" s="7" t="str">
        <f t="shared" si="281"/>
        <v/>
      </c>
      <c r="K4508" s="9">
        <f t="shared" ca="1" si="282"/>
        <v>45404.878290162036</v>
      </c>
      <c r="L4508" s="10">
        <f t="shared" ca="1" si="283"/>
        <v>45404.878290046297</v>
      </c>
    </row>
    <row r="4509" spans="6:12" x14ac:dyDescent="0.25">
      <c r="F4509" s="11" t="str">
        <f>IF(ISBLANK(D4509),"",(VLOOKUP(D4509,Cardápio!$A$2:$B$16,2,0))*E4509)</f>
        <v/>
      </c>
      <c r="H4509" s="7" t="str">
        <f t="shared" si="280"/>
        <v/>
      </c>
      <c r="I4509" s="7" t="str">
        <f>IF(AND(ISBLANK(D4509),ISBLANK(C4509)),"",((VLOOKUP(D4509,Cardápio!$A$2:$C$16,3,0))*E4509)+IF(B4509="iFood",F4509*0.27,(VLOOKUP(VENDAS!C4509,Bairros!$A$2:$B$90,2,0))))</f>
        <v/>
      </c>
      <c r="J4509" s="7" t="str">
        <f t="shared" si="281"/>
        <v/>
      </c>
      <c r="K4509" s="9">
        <f t="shared" ca="1" si="282"/>
        <v>45404.878290277775</v>
      </c>
      <c r="L4509" s="10">
        <f t="shared" ca="1" si="283"/>
        <v>45404.878290046297</v>
      </c>
    </row>
    <row r="4510" spans="6:12" x14ac:dyDescent="0.25">
      <c r="F4510" s="11" t="str">
        <f>IF(ISBLANK(D4510),"",(VLOOKUP(D4510,Cardápio!$A$2:$B$16,2,0))*E4510)</f>
        <v/>
      </c>
      <c r="H4510" s="7" t="str">
        <f t="shared" si="280"/>
        <v/>
      </c>
      <c r="I4510" s="7" t="str">
        <f>IF(AND(ISBLANK(D4510),ISBLANK(C4510)),"",((VLOOKUP(D4510,Cardápio!$A$2:$C$16,3,0))*E4510)+IF(B4510="iFood",F4510*0.27,(VLOOKUP(VENDAS!C4510,Bairros!$A$2:$B$90,2,0))))</f>
        <v/>
      </c>
      <c r="J4510" s="7" t="str">
        <f t="shared" si="281"/>
        <v/>
      </c>
      <c r="K4510" s="9">
        <f t="shared" ca="1" si="282"/>
        <v>45404.878290162036</v>
      </c>
      <c r="L4510" s="10">
        <f t="shared" ca="1" si="283"/>
        <v>45404.878290046297</v>
      </c>
    </row>
    <row r="4511" spans="6:12" x14ac:dyDescent="0.25">
      <c r="F4511" s="11" t="str">
        <f>IF(ISBLANK(D4511),"",(VLOOKUP(D4511,Cardápio!$A$2:$B$16,2,0))*E4511)</f>
        <v/>
      </c>
      <c r="H4511" s="7" t="str">
        <f t="shared" si="280"/>
        <v/>
      </c>
      <c r="I4511" s="7" t="str">
        <f>IF(AND(ISBLANK(D4511),ISBLANK(C4511)),"",((VLOOKUP(D4511,Cardápio!$A$2:$C$16,3,0))*E4511)+IF(B4511="iFood",F4511*0.27,(VLOOKUP(VENDAS!C4511,Bairros!$A$2:$B$90,2,0))))</f>
        <v/>
      </c>
      <c r="J4511" s="7" t="str">
        <f t="shared" si="281"/>
        <v/>
      </c>
      <c r="K4511" s="9">
        <f t="shared" ca="1" si="282"/>
        <v>45404.878290162036</v>
      </c>
      <c r="L4511" s="10">
        <f t="shared" ca="1" si="283"/>
        <v>45404.878290162036</v>
      </c>
    </row>
    <row r="4512" spans="6:12" x14ac:dyDescent="0.25">
      <c r="F4512" s="11" t="str">
        <f>IF(ISBLANK(D4512),"",(VLOOKUP(D4512,Cardápio!$A$2:$B$16,2,0))*E4512)</f>
        <v/>
      </c>
      <c r="H4512" s="7" t="str">
        <f t="shared" si="280"/>
        <v/>
      </c>
      <c r="I4512" s="7" t="str">
        <f>IF(AND(ISBLANK(D4512),ISBLANK(C4512)),"",((VLOOKUP(D4512,Cardápio!$A$2:$C$16,3,0))*E4512)+IF(B4512="iFood",F4512*0.27,(VLOOKUP(VENDAS!C4512,Bairros!$A$2:$B$90,2,0))))</f>
        <v/>
      </c>
      <c r="J4512" s="7" t="str">
        <f t="shared" si="281"/>
        <v/>
      </c>
      <c r="K4512" s="9">
        <f t="shared" ca="1" si="282"/>
        <v>45404.878290162036</v>
      </c>
      <c r="L4512" s="10">
        <f t="shared" ca="1" si="283"/>
        <v>45404.878290046297</v>
      </c>
    </row>
    <row r="4513" spans="6:12" x14ac:dyDescent="0.25">
      <c r="F4513" s="11" t="str">
        <f>IF(ISBLANK(D4513),"",(VLOOKUP(D4513,Cardápio!$A$2:$B$16,2,0))*E4513)</f>
        <v/>
      </c>
      <c r="H4513" s="7" t="str">
        <f t="shared" si="280"/>
        <v/>
      </c>
      <c r="I4513" s="7" t="str">
        <f>IF(AND(ISBLANK(D4513),ISBLANK(C4513)),"",((VLOOKUP(D4513,Cardápio!$A$2:$C$16,3,0))*E4513)+IF(B4513="iFood",F4513*0.27,(VLOOKUP(VENDAS!C4513,Bairros!$A$2:$B$90,2,0))))</f>
        <v/>
      </c>
      <c r="J4513" s="7" t="str">
        <f t="shared" si="281"/>
        <v/>
      </c>
      <c r="K4513" s="9">
        <f t="shared" ca="1" si="282"/>
        <v>45404.878290277775</v>
      </c>
      <c r="L4513" s="10">
        <f t="shared" ca="1" si="283"/>
        <v>45404.878290046297</v>
      </c>
    </row>
    <row r="4514" spans="6:12" x14ac:dyDescent="0.25">
      <c r="F4514" s="11" t="str">
        <f>IF(ISBLANK(D4514),"",(VLOOKUP(D4514,Cardápio!$A$2:$B$16,2,0))*E4514)</f>
        <v/>
      </c>
      <c r="H4514" s="7" t="str">
        <f t="shared" si="280"/>
        <v/>
      </c>
      <c r="I4514" s="7" t="str">
        <f>IF(AND(ISBLANK(D4514),ISBLANK(C4514)),"",((VLOOKUP(D4514,Cardápio!$A$2:$C$16,3,0))*E4514)+IF(B4514="iFood",F4514*0.27,(VLOOKUP(VENDAS!C4514,Bairros!$A$2:$B$90,2,0))))</f>
        <v/>
      </c>
      <c r="J4514" s="7" t="str">
        <f t="shared" si="281"/>
        <v/>
      </c>
      <c r="K4514" s="9">
        <f t="shared" ca="1" si="282"/>
        <v>45404.878290162036</v>
      </c>
      <c r="L4514" s="10">
        <f t="shared" ca="1" si="283"/>
        <v>45404.878290046297</v>
      </c>
    </row>
    <row r="4515" spans="6:12" x14ac:dyDescent="0.25">
      <c r="F4515" s="11" t="str">
        <f>IF(ISBLANK(D4515),"",(VLOOKUP(D4515,Cardápio!$A$2:$B$16,2,0))*E4515)</f>
        <v/>
      </c>
      <c r="H4515" s="7" t="str">
        <f t="shared" si="280"/>
        <v/>
      </c>
      <c r="I4515" s="7" t="str">
        <f>IF(AND(ISBLANK(D4515),ISBLANK(C4515)),"",((VLOOKUP(D4515,Cardápio!$A$2:$C$16,3,0))*E4515)+IF(B4515="iFood",F4515*0.27,(VLOOKUP(VENDAS!C4515,Bairros!$A$2:$B$90,2,0))))</f>
        <v/>
      </c>
      <c r="J4515" s="7" t="str">
        <f t="shared" si="281"/>
        <v/>
      </c>
      <c r="K4515" s="9">
        <f t="shared" ca="1" si="282"/>
        <v>45404.878290162036</v>
      </c>
      <c r="L4515" s="10">
        <f t="shared" ca="1" si="283"/>
        <v>45404.878290162036</v>
      </c>
    </row>
    <row r="4516" spans="6:12" x14ac:dyDescent="0.25">
      <c r="F4516" s="11" t="str">
        <f>IF(ISBLANK(D4516),"",(VLOOKUP(D4516,Cardápio!$A$2:$B$16,2,0))*E4516)</f>
        <v/>
      </c>
      <c r="H4516" s="7" t="str">
        <f t="shared" si="280"/>
        <v/>
      </c>
      <c r="I4516" s="7" t="str">
        <f>IF(AND(ISBLANK(D4516),ISBLANK(C4516)),"",((VLOOKUP(D4516,Cardápio!$A$2:$C$16,3,0))*E4516)+IF(B4516="iFood",F4516*0.27,(VLOOKUP(VENDAS!C4516,Bairros!$A$2:$B$90,2,0))))</f>
        <v/>
      </c>
      <c r="J4516" s="7" t="str">
        <f t="shared" si="281"/>
        <v/>
      </c>
      <c r="K4516" s="9">
        <f t="shared" ca="1" si="282"/>
        <v>45404.878290162036</v>
      </c>
      <c r="L4516" s="10">
        <f t="shared" ca="1" si="283"/>
        <v>45404.878290046297</v>
      </c>
    </row>
    <row r="4517" spans="6:12" x14ac:dyDescent="0.25">
      <c r="F4517" s="11" t="str">
        <f>IF(ISBLANK(D4517),"",(VLOOKUP(D4517,Cardápio!$A$2:$B$16,2,0))*E4517)</f>
        <v/>
      </c>
      <c r="H4517" s="7" t="str">
        <f t="shared" si="280"/>
        <v/>
      </c>
      <c r="I4517" s="7" t="str">
        <f>IF(AND(ISBLANK(D4517),ISBLANK(C4517)),"",((VLOOKUP(D4517,Cardápio!$A$2:$C$16,3,0))*E4517)+IF(B4517="iFood",F4517*0.27,(VLOOKUP(VENDAS!C4517,Bairros!$A$2:$B$90,2,0))))</f>
        <v/>
      </c>
      <c r="J4517" s="7" t="str">
        <f t="shared" si="281"/>
        <v/>
      </c>
      <c r="K4517" s="9">
        <f t="shared" ca="1" si="282"/>
        <v>45404.878290277775</v>
      </c>
      <c r="L4517" s="10">
        <f t="shared" ca="1" si="283"/>
        <v>45404.878290046297</v>
      </c>
    </row>
    <row r="4518" spans="6:12" x14ac:dyDescent="0.25">
      <c r="F4518" s="11" t="str">
        <f>IF(ISBLANK(D4518),"",(VLOOKUP(D4518,Cardápio!$A$2:$B$16,2,0))*E4518)</f>
        <v/>
      </c>
      <c r="H4518" s="7" t="str">
        <f t="shared" si="280"/>
        <v/>
      </c>
      <c r="I4518" s="7" t="str">
        <f>IF(AND(ISBLANK(D4518),ISBLANK(C4518)),"",((VLOOKUP(D4518,Cardápio!$A$2:$C$16,3,0))*E4518)+IF(B4518="iFood",F4518*0.27,(VLOOKUP(VENDAS!C4518,Bairros!$A$2:$B$90,2,0))))</f>
        <v/>
      </c>
      <c r="J4518" s="7" t="str">
        <f t="shared" si="281"/>
        <v/>
      </c>
      <c r="K4518" s="9">
        <f t="shared" ca="1" si="282"/>
        <v>45404.878290162036</v>
      </c>
      <c r="L4518" s="10">
        <f t="shared" ca="1" si="283"/>
        <v>45404.878290046297</v>
      </c>
    </row>
    <row r="4519" spans="6:12" x14ac:dyDescent="0.25">
      <c r="F4519" s="11" t="str">
        <f>IF(ISBLANK(D4519),"",(VLOOKUP(D4519,Cardápio!$A$2:$B$16,2,0))*E4519)</f>
        <v/>
      </c>
      <c r="H4519" s="7" t="str">
        <f t="shared" si="280"/>
        <v/>
      </c>
      <c r="I4519" s="7" t="str">
        <f>IF(AND(ISBLANK(D4519),ISBLANK(C4519)),"",((VLOOKUP(D4519,Cardápio!$A$2:$C$16,3,0))*E4519)+IF(B4519="iFood",F4519*0.27,(VLOOKUP(VENDAS!C4519,Bairros!$A$2:$B$90,2,0))))</f>
        <v/>
      </c>
      <c r="J4519" s="7" t="str">
        <f t="shared" si="281"/>
        <v/>
      </c>
      <c r="K4519" s="9">
        <f t="shared" ca="1" si="282"/>
        <v>45404.878290162036</v>
      </c>
      <c r="L4519" s="10">
        <f t="shared" ca="1" si="283"/>
        <v>45404.878290162036</v>
      </c>
    </row>
    <row r="4520" spans="6:12" x14ac:dyDescent="0.25">
      <c r="F4520" s="11" t="str">
        <f>IF(ISBLANK(D4520),"",(VLOOKUP(D4520,Cardápio!$A$2:$B$16,2,0))*E4520)</f>
        <v/>
      </c>
      <c r="H4520" s="7" t="str">
        <f t="shared" si="280"/>
        <v/>
      </c>
      <c r="I4520" s="7" t="str">
        <f>IF(AND(ISBLANK(D4520),ISBLANK(C4520)),"",((VLOOKUP(D4520,Cardápio!$A$2:$C$16,3,0))*E4520)+IF(B4520="iFood",F4520*0.27,(VLOOKUP(VENDAS!C4520,Bairros!$A$2:$B$90,2,0))))</f>
        <v/>
      </c>
      <c r="J4520" s="7" t="str">
        <f t="shared" si="281"/>
        <v/>
      </c>
      <c r="K4520" s="9">
        <f t="shared" ca="1" si="282"/>
        <v>45404.878290162036</v>
      </c>
      <c r="L4520" s="10">
        <f t="shared" ca="1" si="283"/>
        <v>45404.878290046297</v>
      </c>
    </row>
    <row r="4521" spans="6:12" x14ac:dyDescent="0.25">
      <c r="F4521" s="11" t="str">
        <f>IF(ISBLANK(D4521),"",(VLOOKUP(D4521,Cardápio!$A$2:$B$16,2,0))*E4521)</f>
        <v/>
      </c>
      <c r="H4521" s="7" t="str">
        <f t="shared" si="280"/>
        <v/>
      </c>
      <c r="I4521" s="7" t="str">
        <f>IF(AND(ISBLANK(D4521),ISBLANK(C4521)),"",((VLOOKUP(D4521,Cardápio!$A$2:$C$16,3,0))*E4521)+IF(B4521="iFood",F4521*0.27,(VLOOKUP(VENDAS!C4521,Bairros!$A$2:$B$90,2,0))))</f>
        <v/>
      </c>
      <c r="J4521" s="7" t="str">
        <f t="shared" si="281"/>
        <v/>
      </c>
      <c r="K4521" s="9">
        <f t="shared" ca="1" si="282"/>
        <v>45404.878290277775</v>
      </c>
      <c r="L4521" s="10">
        <f t="shared" ca="1" si="283"/>
        <v>45404.878290046297</v>
      </c>
    </row>
    <row r="4522" spans="6:12" x14ac:dyDescent="0.25">
      <c r="F4522" s="11" t="str">
        <f>IF(ISBLANK(D4522),"",(VLOOKUP(D4522,Cardápio!$A$2:$B$16,2,0))*E4522)</f>
        <v/>
      </c>
      <c r="H4522" s="7" t="str">
        <f t="shared" si="280"/>
        <v/>
      </c>
      <c r="I4522" s="7" t="str">
        <f>IF(AND(ISBLANK(D4522),ISBLANK(C4522)),"",((VLOOKUP(D4522,Cardápio!$A$2:$C$16,3,0))*E4522)+IF(B4522="iFood",F4522*0.27,(VLOOKUP(VENDAS!C4522,Bairros!$A$2:$B$90,2,0))))</f>
        <v/>
      </c>
      <c r="J4522" s="7" t="str">
        <f t="shared" si="281"/>
        <v/>
      </c>
      <c r="K4522" s="9">
        <f t="shared" ca="1" si="282"/>
        <v>45404.878290162036</v>
      </c>
      <c r="L4522" s="10">
        <f t="shared" ca="1" si="283"/>
        <v>45404.878290046297</v>
      </c>
    </row>
    <row r="4523" spans="6:12" x14ac:dyDescent="0.25">
      <c r="F4523" s="11" t="str">
        <f>IF(ISBLANK(D4523),"",(VLOOKUP(D4523,Cardápio!$A$2:$B$16,2,0))*E4523)</f>
        <v/>
      </c>
      <c r="H4523" s="7" t="str">
        <f t="shared" si="280"/>
        <v/>
      </c>
      <c r="I4523" s="7" t="str">
        <f>IF(AND(ISBLANK(D4523),ISBLANK(C4523)),"",((VLOOKUP(D4523,Cardápio!$A$2:$C$16,3,0))*E4523)+IF(B4523="iFood",F4523*0.27,(VLOOKUP(VENDAS!C4523,Bairros!$A$2:$B$90,2,0))))</f>
        <v/>
      </c>
      <c r="J4523" s="7" t="str">
        <f t="shared" si="281"/>
        <v/>
      </c>
      <c r="K4523" s="9">
        <f t="shared" ca="1" si="282"/>
        <v>45404.878290162036</v>
      </c>
      <c r="L4523" s="10">
        <f t="shared" ca="1" si="283"/>
        <v>45404.878290162036</v>
      </c>
    </row>
    <row r="4524" spans="6:12" x14ac:dyDescent="0.25">
      <c r="F4524" s="11" t="str">
        <f>IF(ISBLANK(D4524),"",(VLOOKUP(D4524,Cardápio!$A$2:$B$16,2,0))*E4524)</f>
        <v/>
      </c>
      <c r="H4524" s="7" t="str">
        <f t="shared" si="280"/>
        <v/>
      </c>
      <c r="I4524" s="7" t="str">
        <f>IF(AND(ISBLANK(D4524),ISBLANK(C4524)),"",((VLOOKUP(D4524,Cardápio!$A$2:$C$16,3,0))*E4524)+IF(B4524="iFood",F4524*0.27,(VLOOKUP(VENDAS!C4524,Bairros!$A$2:$B$90,2,0))))</f>
        <v/>
      </c>
      <c r="J4524" s="7" t="str">
        <f t="shared" si="281"/>
        <v/>
      </c>
      <c r="K4524" s="9">
        <f t="shared" ca="1" si="282"/>
        <v>45404.878290162036</v>
      </c>
      <c r="L4524" s="10">
        <f t="shared" ca="1" si="283"/>
        <v>45404.878290046297</v>
      </c>
    </row>
    <row r="4525" spans="6:12" x14ac:dyDescent="0.25">
      <c r="F4525" s="11" t="str">
        <f>IF(ISBLANK(D4525),"",(VLOOKUP(D4525,Cardápio!$A$2:$B$16,2,0))*E4525)</f>
        <v/>
      </c>
      <c r="H4525" s="7" t="str">
        <f t="shared" si="280"/>
        <v/>
      </c>
      <c r="I4525" s="7" t="str">
        <f>IF(AND(ISBLANK(D4525),ISBLANK(C4525)),"",((VLOOKUP(D4525,Cardápio!$A$2:$C$16,3,0))*E4525)+IF(B4525="iFood",F4525*0.27,(VLOOKUP(VENDAS!C4525,Bairros!$A$2:$B$90,2,0))))</f>
        <v/>
      </c>
      <c r="J4525" s="7" t="str">
        <f t="shared" si="281"/>
        <v/>
      </c>
      <c r="K4525" s="9">
        <f t="shared" ca="1" si="282"/>
        <v>45404.878290277775</v>
      </c>
      <c r="L4525" s="10">
        <f t="shared" ca="1" si="283"/>
        <v>45404.878290046297</v>
      </c>
    </row>
    <row r="4526" spans="6:12" x14ac:dyDescent="0.25">
      <c r="F4526" s="11" t="str">
        <f>IF(ISBLANK(D4526),"",(VLOOKUP(D4526,Cardápio!$A$2:$B$16,2,0))*E4526)</f>
        <v/>
      </c>
      <c r="H4526" s="7" t="str">
        <f t="shared" si="280"/>
        <v/>
      </c>
      <c r="I4526" s="7" t="str">
        <f>IF(AND(ISBLANK(D4526),ISBLANK(C4526)),"",((VLOOKUP(D4526,Cardápio!$A$2:$C$16,3,0))*E4526)+IF(B4526="iFood",F4526*0.27,(VLOOKUP(VENDAS!C4526,Bairros!$A$2:$B$90,2,0))))</f>
        <v/>
      </c>
      <c r="J4526" s="7" t="str">
        <f t="shared" si="281"/>
        <v/>
      </c>
      <c r="K4526" s="9">
        <f t="shared" ca="1" si="282"/>
        <v>45404.878290162036</v>
      </c>
      <c r="L4526" s="10">
        <f t="shared" ca="1" si="283"/>
        <v>45404.878290046297</v>
      </c>
    </row>
    <row r="4527" spans="6:12" x14ac:dyDescent="0.25">
      <c r="F4527" s="11" t="str">
        <f>IF(ISBLANK(D4527),"",(VLOOKUP(D4527,Cardápio!$A$2:$B$16,2,0))*E4527)</f>
        <v/>
      </c>
      <c r="H4527" s="7" t="str">
        <f t="shared" si="280"/>
        <v/>
      </c>
      <c r="I4527" s="7" t="str">
        <f>IF(AND(ISBLANK(D4527),ISBLANK(C4527)),"",((VLOOKUP(D4527,Cardápio!$A$2:$C$16,3,0))*E4527)+IF(B4527="iFood",F4527*0.27,(VLOOKUP(VENDAS!C4527,Bairros!$A$2:$B$90,2,0))))</f>
        <v/>
      </c>
      <c r="J4527" s="7" t="str">
        <f t="shared" si="281"/>
        <v/>
      </c>
      <c r="K4527" s="9">
        <f t="shared" ca="1" si="282"/>
        <v>45404.878290162036</v>
      </c>
      <c r="L4527" s="10">
        <f t="shared" ca="1" si="283"/>
        <v>45404.878290162036</v>
      </c>
    </row>
    <row r="4528" spans="6:12" x14ac:dyDescent="0.25">
      <c r="F4528" s="11" t="str">
        <f>IF(ISBLANK(D4528),"",(VLOOKUP(D4528,Cardápio!$A$2:$B$16,2,0))*E4528)</f>
        <v/>
      </c>
      <c r="H4528" s="7" t="str">
        <f t="shared" si="280"/>
        <v/>
      </c>
      <c r="I4528" s="7" t="str">
        <f>IF(AND(ISBLANK(D4528),ISBLANK(C4528)),"",((VLOOKUP(D4528,Cardápio!$A$2:$C$16,3,0))*E4528)+IF(B4528="iFood",F4528*0.27,(VLOOKUP(VENDAS!C4528,Bairros!$A$2:$B$90,2,0))))</f>
        <v/>
      </c>
      <c r="J4528" s="7" t="str">
        <f t="shared" si="281"/>
        <v/>
      </c>
      <c r="K4528" s="9">
        <f t="shared" ca="1" si="282"/>
        <v>45404.878290162036</v>
      </c>
      <c r="L4528" s="10">
        <f t="shared" ca="1" si="283"/>
        <v>45404.878290046297</v>
      </c>
    </row>
    <row r="4529" spans="6:12" x14ac:dyDescent="0.25">
      <c r="F4529" s="11" t="str">
        <f>IF(ISBLANK(D4529),"",(VLOOKUP(D4529,Cardápio!$A$2:$B$16,2,0))*E4529)</f>
        <v/>
      </c>
      <c r="H4529" s="7" t="str">
        <f t="shared" si="280"/>
        <v/>
      </c>
      <c r="I4529" s="7" t="str">
        <f>IF(AND(ISBLANK(D4529),ISBLANK(C4529)),"",((VLOOKUP(D4529,Cardápio!$A$2:$C$16,3,0))*E4529)+IF(B4529="iFood",F4529*0.27,(VLOOKUP(VENDAS!C4529,Bairros!$A$2:$B$90,2,0))))</f>
        <v/>
      </c>
      <c r="J4529" s="7" t="str">
        <f t="shared" si="281"/>
        <v/>
      </c>
      <c r="K4529" s="9">
        <f t="shared" ca="1" si="282"/>
        <v>45404.878290277775</v>
      </c>
      <c r="L4529" s="10">
        <f t="shared" ca="1" si="283"/>
        <v>45404.878290046297</v>
      </c>
    </row>
    <row r="4530" spans="6:12" x14ac:dyDescent="0.25">
      <c r="F4530" s="11" t="str">
        <f>IF(ISBLANK(D4530),"",(VLOOKUP(D4530,Cardápio!$A$2:$B$16,2,0))*E4530)</f>
        <v/>
      </c>
      <c r="H4530" s="7" t="str">
        <f t="shared" si="280"/>
        <v/>
      </c>
      <c r="I4530" s="7" t="str">
        <f>IF(AND(ISBLANK(D4530),ISBLANK(C4530)),"",((VLOOKUP(D4530,Cardápio!$A$2:$C$16,3,0))*E4530)+IF(B4530="iFood",F4530*0.27,(VLOOKUP(VENDAS!C4530,Bairros!$A$2:$B$90,2,0))))</f>
        <v/>
      </c>
      <c r="J4530" s="7" t="str">
        <f t="shared" si="281"/>
        <v/>
      </c>
      <c r="K4530" s="9">
        <f t="shared" ca="1" si="282"/>
        <v>45404.878290162036</v>
      </c>
      <c r="L4530" s="10">
        <f t="shared" ca="1" si="283"/>
        <v>45404.878290046297</v>
      </c>
    </row>
    <row r="4531" spans="6:12" x14ac:dyDescent="0.25">
      <c r="F4531" s="11" t="str">
        <f>IF(ISBLANK(D4531),"",(VLOOKUP(D4531,Cardápio!$A$2:$B$16,2,0))*E4531)</f>
        <v/>
      </c>
      <c r="H4531" s="7" t="str">
        <f t="shared" si="280"/>
        <v/>
      </c>
      <c r="I4531" s="7" t="str">
        <f>IF(AND(ISBLANK(D4531),ISBLANK(C4531)),"",((VLOOKUP(D4531,Cardápio!$A$2:$C$16,3,0))*E4531)+IF(B4531="iFood",F4531*0.27,(VLOOKUP(VENDAS!C4531,Bairros!$A$2:$B$90,2,0))))</f>
        <v/>
      </c>
      <c r="J4531" s="7" t="str">
        <f t="shared" si="281"/>
        <v/>
      </c>
      <c r="K4531" s="9">
        <f t="shared" ca="1" si="282"/>
        <v>45404.878290162036</v>
      </c>
      <c r="L4531" s="10">
        <f t="shared" ca="1" si="283"/>
        <v>45404.878290162036</v>
      </c>
    </row>
    <row r="4532" spans="6:12" x14ac:dyDescent="0.25">
      <c r="F4532" s="11" t="str">
        <f>IF(ISBLANK(D4532),"",(VLOOKUP(D4532,Cardápio!$A$2:$B$16,2,0))*E4532)</f>
        <v/>
      </c>
      <c r="H4532" s="7" t="str">
        <f t="shared" si="280"/>
        <v/>
      </c>
      <c r="I4532" s="7" t="str">
        <f>IF(AND(ISBLANK(D4532),ISBLANK(C4532)),"",((VLOOKUP(D4532,Cardápio!$A$2:$C$16,3,0))*E4532)+IF(B4532="iFood",F4532*0.27,(VLOOKUP(VENDAS!C4532,Bairros!$A$2:$B$90,2,0))))</f>
        <v/>
      </c>
      <c r="J4532" s="7" t="str">
        <f t="shared" si="281"/>
        <v/>
      </c>
      <c r="K4532" s="9">
        <f t="shared" ca="1" si="282"/>
        <v>45404.878290162036</v>
      </c>
      <c r="L4532" s="10">
        <f t="shared" ca="1" si="283"/>
        <v>45404.878290046297</v>
      </c>
    </row>
    <row r="4533" spans="6:12" x14ac:dyDescent="0.25">
      <c r="F4533" s="11" t="str">
        <f>IF(ISBLANK(D4533),"",(VLOOKUP(D4533,Cardápio!$A$2:$B$16,2,0))*E4533)</f>
        <v/>
      </c>
      <c r="H4533" s="7" t="str">
        <f t="shared" ref="H4533:H4596" si="284">IF(ISBLANK(D4533),"",F4533-G4533)</f>
        <v/>
      </c>
      <c r="I4533" s="7" t="str">
        <f>IF(AND(ISBLANK(D4533),ISBLANK(C4533)),"",((VLOOKUP(D4533,Cardápio!$A$2:$C$16,3,0))*E4533)+IF(B4533="iFood",F4533*0.27,(VLOOKUP(VENDAS!C4533,Bairros!$A$2:$B$90,2,0))))</f>
        <v/>
      </c>
      <c r="J4533" s="7" t="str">
        <f t="shared" ref="J4533:J4596" si="285">IF(OR(AND(ISBLANK(H4533),ISBLANK(I4533)),(AND(H4533="",I4533=""))),"",H4533-I4533)</f>
        <v/>
      </c>
      <c r="K4533" s="9">
        <f t="shared" ref="K4533:K4596" ca="1" si="286">IF(D4533&lt;&gt;"",K4533,NOW())</f>
        <v>45404.878290277775</v>
      </c>
      <c r="L4533" s="10">
        <f t="shared" ref="L4533:L4596" ca="1" si="287">IF(D4533&lt;&gt;"",L4533,NOW())</f>
        <v>45404.878290046297</v>
      </c>
    </row>
    <row r="4534" spans="6:12" x14ac:dyDescent="0.25">
      <c r="F4534" s="11" t="str">
        <f>IF(ISBLANK(D4534),"",(VLOOKUP(D4534,Cardápio!$A$2:$B$16,2,0))*E4534)</f>
        <v/>
      </c>
      <c r="H4534" s="7" t="str">
        <f t="shared" si="284"/>
        <v/>
      </c>
      <c r="I4534" s="7" t="str">
        <f>IF(AND(ISBLANK(D4534),ISBLANK(C4534)),"",((VLOOKUP(D4534,Cardápio!$A$2:$C$16,3,0))*E4534)+IF(B4534="iFood",F4534*0.27,(VLOOKUP(VENDAS!C4534,Bairros!$A$2:$B$90,2,0))))</f>
        <v/>
      </c>
      <c r="J4534" s="7" t="str">
        <f t="shared" si="285"/>
        <v/>
      </c>
      <c r="K4534" s="9">
        <f t="shared" ca="1" si="286"/>
        <v>45404.878290162036</v>
      </c>
      <c r="L4534" s="10">
        <f t="shared" ca="1" si="287"/>
        <v>45404.878290046297</v>
      </c>
    </row>
    <row r="4535" spans="6:12" x14ac:dyDescent="0.25">
      <c r="F4535" s="11" t="str">
        <f>IF(ISBLANK(D4535),"",(VLOOKUP(D4535,Cardápio!$A$2:$B$16,2,0))*E4535)</f>
        <v/>
      </c>
      <c r="H4535" s="7" t="str">
        <f t="shared" si="284"/>
        <v/>
      </c>
      <c r="I4535" s="7" t="str">
        <f>IF(AND(ISBLANK(D4535),ISBLANK(C4535)),"",((VLOOKUP(D4535,Cardápio!$A$2:$C$16,3,0))*E4535)+IF(B4535="iFood",F4535*0.27,(VLOOKUP(VENDAS!C4535,Bairros!$A$2:$B$90,2,0))))</f>
        <v/>
      </c>
      <c r="J4535" s="7" t="str">
        <f t="shared" si="285"/>
        <v/>
      </c>
      <c r="K4535" s="9">
        <f t="shared" ca="1" si="286"/>
        <v>45404.878290162036</v>
      </c>
      <c r="L4535" s="10">
        <f t="shared" ca="1" si="287"/>
        <v>45404.878290162036</v>
      </c>
    </row>
    <row r="4536" spans="6:12" x14ac:dyDescent="0.25">
      <c r="F4536" s="11" t="str">
        <f>IF(ISBLANK(D4536),"",(VLOOKUP(D4536,Cardápio!$A$2:$B$16,2,0))*E4536)</f>
        <v/>
      </c>
      <c r="H4536" s="7" t="str">
        <f t="shared" si="284"/>
        <v/>
      </c>
      <c r="I4536" s="7" t="str">
        <f>IF(AND(ISBLANK(D4536),ISBLANK(C4536)),"",((VLOOKUP(D4536,Cardápio!$A$2:$C$16,3,0))*E4536)+IF(B4536="iFood",F4536*0.27,(VLOOKUP(VENDAS!C4536,Bairros!$A$2:$B$90,2,0))))</f>
        <v/>
      </c>
      <c r="J4536" s="7" t="str">
        <f t="shared" si="285"/>
        <v/>
      </c>
      <c r="K4536" s="9">
        <f t="shared" ca="1" si="286"/>
        <v>45404.878290162036</v>
      </c>
      <c r="L4536" s="10">
        <f t="shared" ca="1" si="287"/>
        <v>45404.878290046297</v>
      </c>
    </row>
    <row r="4537" spans="6:12" x14ac:dyDescent="0.25">
      <c r="F4537" s="11" t="str">
        <f>IF(ISBLANK(D4537),"",(VLOOKUP(D4537,Cardápio!$A$2:$B$16,2,0))*E4537)</f>
        <v/>
      </c>
      <c r="H4537" s="7" t="str">
        <f t="shared" si="284"/>
        <v/>
      </c>
      <c r="I4537" s="7" t="str">
        <f>IF(AND(ISBLANK(D4537),ISBLANK(C4537)),"",((VLOOKUP(D4537,Cardápio!$A$2:$C$16,3,0))*E4537)+IF(B4537="iFood",F4537*0.27,(VLOOKUP(VENDAS!C4537,Bairros!$A$2:$B$90,2,0))))</f>
        <v/>
      </c>
      <c r="J4537" s="7" t="str">
        <f t="shared" si="285"/>
        <v/>
      </c>
      <c r="K4537" s="9">
        <f t="shared" ca="1" si="286"/>
        <v>45404.878290277775</v>
      </c>
      <c r="L4537" s="10">
        <f t="shared" ca="1" si="287"/>
        <v>45404.878290046297</v>
      </c>
    </row>
    <row r="4538" spans="6:12" x14ac:dyDescent="0.25">
      <c r="F4538" s="11" t="str">
        <f>IF(ISBLANK(D4538),"",(VLOOKUP(D4538,Cardápio!$A$2:$B$16,2,0))*E4538)</f>
        <v/>
      </c>
      <c r="H4538" s="7" t="str">
        <f t="shared" si="284"/>
        <v/>
      </c>
      <c r="I4538" s="7" t="str">
        <f>IF(AND(ISBLANK(D4538),ISBLANK(C4538)),"",((VLOOKUP(D4538,Cardápio!$A$2:$C$16,3,0))*E4538)+IF(B4538="iFood",F4538*0.27,(VLOOKUP(VENDAS!C4538,Bairros!$A$2:$B$90,2,0))))</f>
        <v/>
      </c>
      <c r="J4538" s="7" t="str">
        <f t="shared" si="285"/>
        <v/>
      </c>
      <c r="K4538" s="9">
        <f t="shared" ca="1" si="286"/>
        <v>45404.878290162036</v>
      </c>
      <c r="L4538" s="10">
        <f t="shared" ca="1" si="287"/>
        <v>45404.878290046297</v>
      </c>
    </row>
    <row r="4539" spans="6:12" x14ac:dyDescent="0.25">
      <c r="F4539" s="11" t="str">
        <f>IF(ISBLANK(D4539),"",(VLOOKUP(D4539,Cardápio!$A$2:$B$16,2,0))*E4539)</f>
        <v/>
      </c>
      <c r="H4539" s="7" t="str">
        <f t="shared" si="284"/>
        <v/>
      </c>
      <c r="I4539" s="7" t="str">
        <f>IF(AND(ISBLANK(D4539),ISBLANK(C4539)),"",((VLOOKUP(D4539,Cardápio!$A$2:$C$16,3,0))*E4539)+IF(B4539="iFood",F4539*0.27,(VLOOKUP(VENDAS!C4539,Bairros!$A$2:$B$90,2,0))))</f>
        <v/>
      </c>
      <c r="J4539" s="7" t="str">
        <f t="shared" si="285"/>
        <v/>
      </c>
      <c r="K4539" s="9">
        <f t="shared" ca="1" si="286"/>
        <v>45404.878290162036</v>
      </c>
      <c r="L4539" s="10">
        <f t="shared" ca="1" si="287"/>
        <v>45404.878290162036</v>
      </c>
    </row>
    <row r="4540" spans="6:12" x14ac:dyDescent="0.25">
      <c r="F4540" s="11" t="str">
        <f>IF(ISBLANK(D4540),"",(VLOOKUP(D4540,Cardápio!$A$2:$B$16,2,0))*E4540)</f>
        <v/>
      </c>
      <c r="H4540" s="7" t="str">
        <f t="shared" si="284"/>
        <v/>
      </c>
      <c r="I4540" s="7" t="str">
        <f>IF(AND(ISBLANK(D4540),ISBLANK(C4540)),"",((VLOOKUP(D4540,Cardápio!$A$2:$C$16,3,0))*E4540)+IF(B4540="iFood",F4540*0.27,(VLOOKUP(VENDAS!C4540,Bairros!$A$2:$B$90,2,0))))</f>
        <v/>
      </c>
      <c r="J4540" s="7" t="str">
        <f t="shared" si="285"/>
        <v/>
      </c>
      <c r="K4540" s="9">
        <f t="shared" ca="1" si="286"/>
        <v>45404.878290162036</v>
      </c>
      <c r="L4540" s="10">
        <f t="shared" ca="1" si="287"/>
        <v>45404.878290046297</v>
      </c>
    </row>
    <row r="4541" spans="6:12" x14ac:dyDescent="0.25">
      <c r="F4541" s="11" t="str">
        <f>IF(ISBLANK(D4541),"",(VLOOKUP(D4541,Cardápio!$A$2:$B$16,2,0))*E4541)</f>
        <v/>
      </c>
      <c r="H4541" s="7" t="str">
        <f t="shared" si="284"/>
        <v/>
      </c>
      <c r="I4541" s="7" t="str">
        <f>IF(AND(ISBLANK(D4541),ISBLANK(C4541)),"",((VLOOKUP(D4541,Cardápio!$A$2:$C$16,3,0))*E4541)+IF(B4541="iFood",F4541*0.27,(VLOOKUP(VENDAS!C4541,Bairros!$A$2:$B$90,2,0))))</f>
        <v/>
      </c>
      <c r="J4541" s="7" t="str">
        <f t="shared" si="285"/>
        <v/>
      </c>
      <c r="K4541" s="9">
        <f t="shared" ca="1" si="286"/>
        <v>45404.878290277775</v>
      </c>
      <c r="L4541" s="10">
        <f t="shared" ca="1" si="287"/>
        <v>45404.878290046297</v>
      </c>
    </row>
    <row r="4542" spans="6:12" x14ac:dyDescent="0.25">
      <c r="F4542" s="11" t="str">
        <f>IF(ISBLANK(D4542),"",(VLOOKUP(D4542,Cardápio!$A$2:$B$16,2,0))*E4542)</f>
        <v/>
      </c>
      <c r="H4542" s="7" t="str">
        <f t="shared" si="284"/>
        <v/>
      </c>
      <c r="I4542" s="7" t="str">
        <f>IF(AND(ISBLANK(D4542),ISBLANK(C4542)),"",((VLOOKUP(D4542,Cardápio!$A$2:$C$16,3,0))*E4542)+IF(B4542="iFood",F4542*0.27,(VLOOKUP(VENDAS!C4542,Bairros!$A$2:$B$90,2,0))))</f>
        <v/>
      </c>
      <c r="J4542" s="7" t="str">
        <f t="shared" si="285"/>
        <v/>
      </c>
      <c r="K4542" s="9">
        <f t="shared" ca="1" si="286"/>
        <v>45404.878290162036</v>
      </c>
      <c r="L4542" s="10">
        <f t="shared" ca="1" si="287"/>
        <v>45404.878290046297</v>
      </c>
    </row>
    <row r="4543" spans="6:12" x14ac:dyDescent="0.25">
      <c r="F4543" s="11" t="str">
        <f>IF(ISBLANK(D4543),"",(VLOOKUP(D4543,Cardápio!$A$2:$B$16,2,0))*E4543)</f>
        <v/>
      </c>
      <c r="H4543" s="7" t="str">
        <f t="shared" si="284"/>
        <v/>
      </c>
      <c r="I4543" s="7" t="str">
        <f>IF(AND(ISBLANK(D4543),ISBLANK(C4543)),"",((VLOOKUP(D4543,Cardápio!$A$2:$C$16,3,0))*E4543)+IF(B4543="iFood",F4543*0.27,(VLOOKUP(VENDAS!C4543,Bairros!$A$2:$B$90,2,0))))</f>
        <v/>
      </c>
      <c r="J4543" s="7" t="str">
        <f t="shared" si="285"/>
        <v/>
      </c>
      <c r="K4543" s="9">
        <f t="shared" ca="1" si="286"/>
        <v>45404.878290162036</v>
      </c>
      <c r="L4543" s="10">
        <f t="shared" ca="1" si="287"/>
        <v>45404.878290162036</v>
      </c>
    </row>
    <row r="4544" spans="6:12" x14ac:dyDescent="0.25">
      <c r="F4544" s="11" t="str">
        <f>IF(ISBLANK(D4544),"",(VLOOKUP(D4544,Cardápio!$A$2:$B$16,2,0))*E4544)</f>
        <v/>
      </c>
      <c r="H4544" s="7" t="str">
        <f t="shared" si="284"/>
        <v/>
      </c>
      <c r="I4544" s="7" t="str">
        <f>IF(AND(ISBLANK(D4544),ISBLANK(C4544)),"",((VLOOKUP(D4544,Cardápio!$A$2:$C$16,3,0))*E4544)+IF(B4544="iFood",F4544*0.27,(VLOOKUP(VENDAS!C4544,Bairros!$A$2:$B$90,2,0))))</f>
        <v/>
      </c>
      <c r="J4544" s="7" t="str">
        <f t="shared" si="285"/>
        <v/>
      </c>
      <c r="K4544" s="9">
        <f t="shared" ca="1" si="286"/>
        <v>45404.878290162036</v>
      </c>
      <c r="L4544" s="10">
        <f t="shared" ca="1" si="287"/>
        <v>45404.878290046297</v>
      </c>
    </row>
    <row r="4545" spans="6:12" x14ac:dyDescent="0.25">
      <c r="F4545" s="11" t="str">
        <f>IF(ISBLANK(D4545),"",(VLOOKUP(D4545,Cardápio!$A$2:$B$16,2,0))*E4545)</f>
        <v/>
      </c>
      <c r="H4545" s="7" t="str">
        <f t="shared" si="284"/>
        <v/>
      </c>
      <c r="I4545" s="7" t="str">
        <f>IF(AND(ISBLANK(D4545),ISBLANK(C4545)),"",((VLOOKUP(D4545,Cardápio!$A$2:$C$16,3,0))*E4545)+IF(B4545="iFood",F4545*0.27,(VLOOKUP(VENDAS!C4545,Bairros!$A$2:$B$90,2,0))))</f>
        <v/>
      </c>
      <c r="J4545" s="7" t="str">
        <f t="shared" si="285"/>
        <v/>
      </c>
      <c r="K4545" s="9">
        <f t="shared" ca="1" si="286"/>
        <v>45404.878290277775</v>
      </c>
      <c r="L4545" s="10">
        <f t="shared" ca="1" si="287"/>
        <v>45404.878290046297</v>
      </c>
    </row>
    <row r="4546" spans="6:12" x14ac:dyDescent="0.25">
      <c r="F4546" s="11" t="str">
        <f>IF(ISBLANK(D4546),"",(VLOOKUP(D4546,Cardápio!$A$2:$B$16,2,0))*E4546)</f>
        <v/>
      </c>
      <c r="H4546" s="7" t="str">
        <f t="shared" si="284"/>
        <v/>
      </c>
      <c r="I4546" s="7" t="str">
        <f>IF(AND(ISBLANK(D4546),ISBLANK(C4546)),"",((VLOOKUP(D4546,Cardápio!$A$2:$C$16,3,0))*E4546)+IF(B4546="iFood",F4546*0.27,(VLOOKUP(VENDAS!C4546,Bairros!$A$2:$B$90,2,0))))</f>
        <v/>
      </c>
      <c r="J4546" s="7" t="str">
        <f t="shared" si="285"/>
        <v/>
      </c>
      <c r="K4546" s="9">
        <f t="shared" ca="1" si="286"/>
        <v>45404.878290162036</v>
      </c>
      <c r="L4546" s="10">
        <f t="shared" ca="1" si="287"/>
        <v>45404.878290046297</v>
      </c>
    </row>
    <row r="4547" spans="6:12" x14ac:dyDescent="0.25">
      <c r="F4547" s="11" t="str">
        <f>IF(ISBLANK(D4547),"",(VLOOKUP(D4547,Cardápio!$A$2:$B$16,2,0))*E4547)</f>
        <v/>
      </c>
      <c r="H4547" s="7" t="str">
        <f t="shared" si="284"/>
        <v/>
      </c>
      <c r="I4547" s="7" t="str">
        <f>IF(AND(ISBLANK(D4547),ISBLANK(C4547)),"",((VLOOKUP(D4547,Cardápio!$A$2:$C$16,3,0))*E4547)+IF(B4547="iFood",F4547*0.27,(VLOOKUP(VENDAS!C4547,Bairros!$A$2:$B$90,2,0))))</f>
        <v/>
      </c>
      <c r="J4547" s="7" t="str">
        <f t="shared" si="285"/>
        <v/>
      </c>
      <c r="K4547" s="9">
        <f t="shared" ca="1" si="286"/>
        <v>45404.878290162036</v>
      </c>
      <c r="L4547" s="10">
        <f t="shared" ca="1" si="287"/>
        <v>45404.878290162036</v>
      </c>
    </row>
    <row r="4548" spans="6:12" x14ac:dyDescent="0.25">
      <c r="F4548" s="11" t="str">
        <f>IF(ISBLANK(D4548),"",(VLOOKUP(D4548,Cardápio!$A$2:$B$16,2,0))*E4548)</f>
        <v/>
      </c>
      <c r="H4548" s="7" t="str">
        <f t="shared" si="284"/>
        <v/>
      </c>
      <c r="I4548" s="7" t="str">
        <f>IF(AND(ISBLANK(D4548),ISBLANK(C4548)),"",((VLOOKUP(D4548,Cardápio!$A$2:$C$16,3,0))*E4548)+IF(B4548="iFood",F4548*0.27,(VLOOKUP(VENDAS!C4548,Bairros!$A$2:$B$90,2,0))))</f>
        <v/>
      </c>
      <c r="J4548" s="7" t="str">
        <f t="shared" si="285"/>
        <v/>
      </c>
      <c r="K4548" s="9">
        <f t="shared" ca="1" si="286"/>
        <v>45404.878290162036</v>
      </c>
      <c r="L4548" s="10">
        <f t="shared" ca="1" si="287"/>
        <v>45404.878290046297</v>
      </c>
    </row>
    <row r="4549" spans="6:12" x14ac:dyDescent="0.25">
      <c r="F4549" s="11" t="str">
        <f>IF(ISBLANK(D4549),"",(VLOOKUP(D4549,Cardápio!$A$2:$B$16,2,0))*E4549)</f>
        <v/>
      </c>
      <c r="H4549" s="7" t="str">
        <f t="shared" si="284"/>
        <v/>
      </c>
      <c r="I4549" s="7" t="str">
        <f>IF(AND(ISBLANK(D4549),ISBLANK(C4549)),"",((VLOOKUP(D4549,Cardápio!$A$2:$C$16,3,0))*E4549)+IF(B4549="iFood",F4549*0.27,(VLOOKUP(VENDAS!C4549,Bairros!$A$2:$B$90,2,0))))</f>
        <v/>
      </c>
      <c r="J4549" s="7" t="str">
        <f t="shared" si="285"/>
        <v/>
      </c>
      <c r="K4549" s="9">
        <f t="shared" ca="1" si="286"/>
        <v>45404.878290277775</v>
      </c>
      <c r="L4549" s="10">
        <f t="shared" ca="1" si="287"/>
        <v>45404.878290046297</v>
      </c>
    </row>
    <row r="4550" spans="6:12" x14ac:dyDescent="0.25">
      <c r="F4550" s="11" t="str">
        <f>IF(ISBLANK(D4550),"",(VLOOKUP(D4550,Cardápio!$A$2:$B$16,2,0))*E4550)</f>
        <v/>
      </c>
      <c r="H4550" s="7" t="str">
        <f t="shared" si="284"/>
        <v/>
      </c>
      <c r="I4550" s="7" t="str">
        <f>IF(AND(ISBLANK(D4550),ISBLANK(C4550)),"",((VLOOKUP(D4550,Cardápio!$A$2:$C$16,3,0))*E4550)+IF(B4550="iFood",F4550*0.27,(VLOOKUP(VENDAS!C4550,Bairros!$A$2:$B$90,2,0))))</f>
        <v/>
      </c>
      <c r="J4550" s="7" t="str">
        <f t="shared" si="285"/>
        <v/>
      </c>
      <c r="K4550" s="9">
        <f t="shared" ca="1" si="286"/>
        <v>45404.878290162036</v>
      </c>
      <c r="L4550" s="10">
        <f t="shared" ca="1" si="287"/>
        <v>45404.878290046297</v>
      </c>
    </row>
    <row r="4551" spans="6:12" x14ac:dyDescent="0.25">
      <c r="F4551" s="11" t="str">
        <f>IF(ISBLANK(D4551),"",(VLOOKUP(D4551,Cardápio!$A$2:$B$16,2,0))*E4551)</f>
        <v/>
      </c>
      <c r="H4551" s="7" t="str">
        <f t="shared" si="284"/>
        <v/>
      </c>
      <c r="I4551" s="7" t="str">
        <f>IF(AND(ISBLANK(D4551),ISBLANK(C4551)),"",((VLOOKUP(D4551,Cardápio!$A$2:$C$16,3,0))*E4551)+IF(B4551="iFood",F4551*0.27,(VLOOKUP(VENDAS!C4551,Bairros!$A$2:$B$90,2,0))))</f>
        <v/>
      </c>
      <c r="J4551" s="7" t="str">
        <f t="shared" si="285"/>
        <v/>
      </c>
      <c r="K4551" s="9">
        <f t="shared" ca="1" si="286"/>
        <v>45404.878290162036</v>
      </c>
      <c r="L4551" s="10">
        <f t="shared" ca="1" si="287"/>
        <v>45404.878290162036</v>
      </c>
    </row>
    <row r="4552" spans="6:12" x14ac:dyDescent="0.25">
      <c r="F4552" s="11" t="str">
        <f>IF(ISBLANK(D4552),"",(VLOOKUP(D4552,Cardápio!$A$2:$B$16,2,0))*E4552)</f>
        <v/>
      </c>
      <c r="H4552" s="7" t="str">
        <f t="shared" si="284"/>
        <v/>
      </c>
      <c r="I4552" s="7" t="str">
        <f>IF(AND(ISBLANK(D4552),ISBLANK(C4552)),"",((VLOOKUP(D4552,Cardápio!$A$2:$C$16,3,0))*E4552)+IF(B4552="iFood",F4552*0.27,(VLOOKUP(VENDAS!C4552,Bairros!$A$2:$B$90,2,0))))</f>
        <v/>
      </c>
      <c r="J4552" s="7" t="str">
        <f t="shared" si="285"/>
        <v/>
      </c>
      <c r="K4552" s="9">
        <f t="shared" ca="1" si="286"/>
        <v>45404.878290162036</v>
      </c>
      <c r="L4552" s="10">
        <f t="shared" ca="1" si="287"/>
        <v>45404.878290046297</v>
      </c>
    </row>
    <row r="4553" spans="6:12" x14ac:dyDescent="0.25">
      <c r="F4553" s="11" t="str">
        <f>IF(ISBLANK(D4553),"",(VLOOKUP(D4553,Cardápio!$A$2:$B$16,2,0))*E4553)</f>
        <v/>
      </c>
      <c r="H4553" s="7" t="str">
        <f t="shared" si="284"/>
        <v/>
      </c>
      <c r="I4553" s="7" t="str">
        <f>IF(AND(ISBLANK(D4553),ISBLANK(C4553)),"",((VLOOKUP(D4553,Cardápio!$A$2:$C$16,3,0))*E4553)+IF(B4553="iFood",F4553*0.27,(VLOOKUP(VENDAS!C4553,Bairros!$A$2:$B$90,2,0))))</f>
        <v/>
      </c>
      <c r="J4553" s="7" t="str">
        <f t="shared" si="285"/>
        <v/>
      </c>
      <c r="K4553" s="9">
        <f t="shared" ca="1" si="286"/>
        <v>45404.878290277775</v>
      </c>
      <c r="L4553" s="10">
        <f t="shared" ca="1" si="287"/>
        <v>45404.878290046297</v>
      </c>
    </row>
    <row r="4554" spans="6:12" x14ac:dyDescent="0.25">
      <c r="F4554" s="11" t="str">
        <f>IF(ISBLANK(D4554),"",(VLOOKUP(D4554,Cardápio!$A$2:$B$16,2,0))*E4554)</f>
        <v/>
      </c>
      <c r="H4554" s="7" t="str">
        <f t="shared" si="284"/>
        <v/>
      </c>
      <c r="I4554" s="7" t="str">
        <f>IF(AND(ISBLANK(D4554),ISBLANK(C4554)),"",((VLOOKUP(D4554,Cardápio!$A$2:$C$16,3,0))*E4554)+IF(B4554="iFood",F4554*0.27,(VLOOKUP(VENDAS!C4554,Bairros!$A$2:$B$90,2,0))))</f>
        <v/>
      </c>
      <c r="J4554" s="7" t="str">
        <f t="shared" si="285"/>
        <v/>
      </c>
      <c r="K4554" s="9">
        <f t="shared" ca="1" si="286"/>
        <v>45404.878290162036</v>
      </c>
      <c r="L4554" s="10">
        <f t="shared" ca="1" si="287"/>
        <v>45404.878290046297</v>
      </c>
    </row>
    <row r="4555" spans="6:12" x14ac:dyDescent="0.25">
      <c r="F4555" s="11" t="str">
        <f>IF(ISBLANK(D4555),"",(VLOOKUP(D4555,Cardápio!$A$2:$B$16,2,0))*E4555)</f>
        <v/>
      </c>
      <c r="H4555" s="7" t="str">
        <f t="shared" si="284"/>
        <v/>
      </c>
      <c r="I4555" s="7" t="str">
        <f>IF(AND(ISBLANK(D4555),ISBLANK(C4555)),"",((VLOOKUP(D4555,Cardápio!$A$2:$C$16,3,0))*E4555)+IF(B4555="iFood",F4555*0.27,(VLOOKUP(VENDAS!C4555,Bairros!$A$2:$B$90,2,0))))</f>
        <v/>
      </c>
      <c r="J4555" s="7" t="str">
        <f t="shared" si="285"/>
        <v/>
      </c>
      <c r="K4555" s="9">
        <f t="shared" ca="1" si="286"/>
        <v>45404.878290162036</v>
      </c>
      <c r="L4555" s="10">
        <f t="shared" ca="1" si="287"/>
        <v>45404.878290162036</v>
      </c>
    </row>
    <row r="4556" spans="6:12" x14ac:dyDescent="0.25">
      <c r="F4556" s="11" t="str">
        <f>IF(ISBLANK(D4556),"",(VLOOKUP(D4556,Cardápio!$A$2:$B$16,2,0))*E4556)</f>
        <v/>
      </c>
      <c r="H4556" s="7" t="str">
        <f t="shared" si="284"/>
        <v/>
      </c>
      <c r="I4556" s="7" t="str">
        <f>IF(AND(ISBLANK(D4556),ISBLANK(C4556)),"",((VLOOKUP(D4556,Cardápio!$A$2:$C$16,3,0))*E4556)+IF(B4556="iFood",F4556*0.27,(VLOOKUP(VENDAS!C4556,Bairros!$A$2:$B$90,2,0))))</f>
        <v/>
      </c>
      <c r="J4556" s="7" t="str">
        <f t="shared" si="285"/>
        <v/>
      </c>
      <c r="K4556" s="9">
        <f t="shared" ca="1" si="286"/>
        <v>45404.878290162036</v>
      </c>
      <c r="L4556" s="10">
        <f t="shared" ca="1" si="287"/>
        <v>45404.878290046297</v>
      </c>
    </row>
    <row r="4557" spans="6:12" x14ac:dyDescent="0.25">
      <c r="F4557" s="11" t="str">
        <f>IF(ISBLANK(D4557),"",(VLOOKUP(D4557,Cardápio!$A$2:$B$16,2,0))*E4557)</f>
        <v/>
      </c>
      <c r="H4557" s="7" t="str">
        <f t="shared" si="284"/>
        <v/>
      </c>
      <c r="I4557" s="7" t="str">
        <f>IF(AND(ISBLANK(D4557),ISBLANK(C4557)),"",((VLOOKUP(D4557,Cardápio!$A$2:$C$16,3,0))*E4557)+IF(B4557="iFood",F4557*0.27,(VLOOKUP(VENDAS!C4557,Bairros!$A$2:$B$90,2,0))))</f>
        <v/>
      </c>
      <c r="J4557" s="7" t="str">
        <f t="shared" si="285"/>
        <v/>
      </c>
      <c r="K4557" s="9">
        <f t="shared" ca="1" si="286"/>
        <v>45404.878290277775</v>
      </c>
      <c r="L4557" s="10">
        <f t="shared" ca="1" si="287"/>
        <v>45404.878290046297</v>
      </c>
    </row>
    <row r="4558" spans="6:12" x14ac:dyDescent="0.25">
      <c r="F4558" s="11" t="str">
        <f>IF(ISBLANK(D4558),"",(VLOOKUP(D4558,Cardápio!$A$2:$B$16,2,0))*E4558)</f>
        <v/>
      </c>
      <c r="H4558" s="7" t="str">
        <f t="shared" si="284"/>
        <v/>
      </c>
      <c r="I4558" s="7" t="str">
        <f>IF(AND(ISBLANK(D4558),ISBLANK(C4558)),"",((VLOOKUP(D4558,Cardápio!$A$2:$C$16,3,0))*E4558)+IF(B4558="iFood",F4558*0.27,(VLOOKUP(VENDAS!C4558,Bairros!$A$2:$B$90,2,0))))</f>
        <v/>
      </c>
      <c r="J4558" s="7" t="str">
        <f t="shared" si="285"/>
        <v/>
      </c>
      <c r="K4558" s="9">
        <f t="shared" ca="1" si="286"/>
        <v>45404.878290162036</v>
      </c>
      <c r="L4558" s="10">
        <f t="shared" ca="1" si="287"/>
        <v>45404.878290046297</v>
      </c>
    </row>
    <row r="4559" spans="6:12" x14ac:dyDescent="0.25">
      <c r="F4559" s="11" t="str">
        <f>IF(ISBLANK(D4559),"",(VLOOKUP(D4559,Cardápio!$A$2:$B$16,2,0))*E4559)</f>
        <v/>
      </c>
      <c r="H4559" s="7" t="str">
        <f t="shared" si="284"/>
        <v/>
      </c>
      <c r="I4559" s="7" t="str">
        <f>IF(AND(ISBLANK(D4559),ISBLANK(C4559)),"",((VLOOKUP(D4559,Cardápio!$A$2:$C$16,3,0))*E4559)+IF(B4559="iFood",F4559*0.27,(VLOOKUP(VENDAS!C4559,Bairros!$A$2:$B$90,2,0))))</f>
        <v/>
      </c>
      <c r="J4559" s="7" t="str">
        <f t="shared" si="285"/>
        <v/>
      </c>
      <c r="K4559" s="9">
        <f t="shared" ca="1" si="286"/>
        <v>45404.878290162036</v>
      </c>
      <c r="L4559" s="10">
        <f t="shared" ca="1" si="287"/>
        <v>45404.878290162036</v>
      </c>
    </row>
    <row r="4560" spans="6:12" x14ac:dyDescent="0.25">
      <c r="F4560" s="11" t="str">
        <f>IF(ISBLANK(D4560),"",(VLOOKUP(D4560,Cardápio!$A$2:$B$16,2,0))*E4560)</f>
        <v/>
      </c>
      <c r="H4560" s="7" t="str">
        <f t="shared" si="284"/>
        <v/>
      </c>
      <c r="I4560" s="7" t="str">
        <f>IF(AND(ISBLANK(D4560),ISBLANK(C4560)),"",((VLOOKUP(D4560,Cardápio!$A$2:$C$16,3,0))*E4560)+IF(B4560="iFood",F4560*0.27,(VLOOKUP(VENDAS!C4560,Bairros!$A$2:$B$90,2,0))))</f>
        <v/>
      </c>
      <c r="J4560" s="7" t="str">
        <f t="shared" si="285"/>
        <v/>
      </c>
      <c r="K4560" s="9">
        <f t="shared" ca="1" si="286"/>
        <v>45404.878290162036</v>
      </c>
      <c r="L4560" s="10">
        <f t="shared" ca="1" si="287"/>
        <v>45404.878290046297</v>
      </c>
    </row>
    <row r="4561" spans="6:12" x14ac:dyDescent="0.25">
      <c r="F4561" s="11" t="str">
        <f>IF(ISBLANK(D4561),"",(VLOOKUP(D4561,Cardápio!$A$2:$B$16,2,0))*E4561)</f>
        <v/>
      </c>
      <c r="H4561" s="7" t="str">
        <f t="shared" si="284"/>
        <v/>
      </c>
      <c r="I4561" s="7" t="str">
        <f>IF(AND(ISBLANK(D4561),ISBLANK(C4561)),"",((VLOOKUP(D4561,Cardápio!$A$2:$C$16,3,0))*E4561)+IF(B4561="iFood",F4561*0.27,(VLOOKUP(VENDAS!C4561,Bairros!$A$2:$B$90,2,0))))</f>
        <v/>
      </c>
      <c r="J4561" s="7" t="str">
        <f t="shared" si="285"/>
        <v/>
      </c>
      <c r="K4561" s="9">
        <f t="shared" ca="1" si="286"/>
        <v>45404.878290277775</v>
      </c>
      <c r="L4561" s="10">
        <f t="shared" ca="1" si="287"/>
        <v>45404.878290046297</v>
      </c>
    </row>
    <row r="4562" spans="6:12" x14ac:dyDescent="0.25">
      <c r="F4562" s="11" t="str">
        <f>IF(ISBLANK(D4562),"",(VLOOKUP(D4562,Cardápio!$A$2:$B$16,2,0))*E4562)</f>
        <v/>
      </c>
      <c r="H4562" s="7" t="str">
        <f t="shared" si="284"/>
        <v/>
      </c>
      <c r="I4562" s="7" t="str">
        <f>IF(AND(ISBLANK(D4562),ISBLANK(C4562)),"",((VLOOKUP(D4562,Cardápio!$A$2:$C$16,3,0))*E4562)+IF(B4562="iFood",F4562*0.27,(VLOOKUP(VENDAS!C4562,Bairros!$A$2:$B$90,2,0))))</f>
        <v/>
      </c>
      <c r="J4562" s="7" t="str">
        <f t="shared" si="285"/>
        <v/>
      </c>
      <c r="K4562" s="9">
        <f t="shared" ca="1" si="286"/>
        <v>45404.878290162036</v>
      </c>
      <c r="L4562" s="10">
        <f t="shared" ca="1" si="287"/>
        <v>45404.878290046297</v>
      </c>
    </row>
    <row r="4563" spans="6:12" x14ac:dyDescent="0.25">
      <c r="F4563" s="11" t="str">
        <f>IF(ISBLANK(D4563),"",(VLOOKUP(D4563,Cardápio!$A$2:$B$16,2,0))*E4563)</f>
        <v/>
      </c>
      <c r="H4563" s="7" t="str">
        <f t="shared" si="284"/>
        <v/>
      </c>
      <c r="I4563" s="7" t="str">
        <f>IF(AND(ISBLANK(D4563),ISBLANK(C4563)),"",((VLOOKUP(D4563,Cardápio!$A$2:$C$16,3,0))*E4563)+IF(B4563="iFood",F4563*0.27,(VLOOKUP(VENDAS!C4563,Bairros!$A$2:$B$90,2,0))))</f>
        <v/>
      </c>
      <c r="J4563" s="7" t="str">
        <f t="shared" si="285"/>
        <v/>
      </c>
      <c r="K4563" s="9">
        <f t="shared" ca="1" si="286"/>
        <v>45404.878290162036</v>
      </c>
      <c r="L4563" s="10">
        <f t="shared" ca="1" si="287"/>
        <v>45404.878290162036</v>
      </c>
    </row>
    <row r="4564" spans="6:12" x14ac:dyDescent="0.25">
      <c r="F4564" s="11" t="str">
        <f>IF(ISBLANK(D4564),"",(VLOOKUP(D4564,Cardápio!$A$2:$B$16,2,0))*E4564)</f>
        <v/>
      </c>
      <c r="H4564" s="7" t="str">
        <f t="shared" si="284"/>
        <v/>
      </c>
      <c r="I4564" s="7" t="str">
        <f>IF(AND(ISBLANK(D4564),ISBLANK(C4564)),"",((VLOOKUP(D4564,Cardápio!$A$2:$C$16,3,0))*E4564)+IF(B4564="iFood",F4564*0.27,(VLOOKUP(VENDAS!C4564,Bairros!$A$2:$B$90,2,0))))</f>
        <v/>
      </c>
      <c r="J4564" s="7" t="str">
        <f t="shared" si="285"/>
        <v/>
      </c>
      <c r="K4564" s="9">
        <f t="shared" ca="1" si="286"/>
        <v>45404.878290162036</v>
      </c>
      <c r="L4564" s="10">
        <f t="shared" ca="1" si="287"/>
        <v>45404.878290046297</v>
      </c>
    </row>
    <row r="4565" spans="6:12" x14ac:dyDescent="0.25">
      <c r="F4565" s="11" t="str">
        <f>IF(ISBLANK(D4565),"",(VLOOKUP(D4565,Cardápio!$A$2:$B$16,2,0))*E4565)</f>
        <v/>
      </c>
      <c r="H4565" s="7" t="str">
        <f t="shared" si="284"/>
        <v/>
      </c>
      <c r="I4565" s="7" t="str">
        <f>IF(AND(ISBLANK(D4565),ISBLANK(C4565)),"",((VLOOKUP(D4565,Cardápio!$A$2:$C$16,3,0))*E4565)+IF(B4565="iFood",F4565*0.27,(VLOOKUP(VENDAS!C4565,Bairros!$A$2:$B$90,2,0))))</f>
        <v/>
      </c>
      <c r="J4565" s="7" t="str">
        <f t="shared" si="285"/>
        <v/>
      </c>
      <c r="K4565" s="9">
        <f t="shared" ca="1" si="286"/>
        <v>45404.878290277775</v>
      </c>
      <c r="L4565" s="10">
        <f t="shared" ca="1" si="287"/>
        <v>45404.878290046297</v>
      </c>
    </row>
    <row r="4566" spans="6:12" x14ac:dyDescent="0.25">
      <c r="F4566" s="11" t="str">
        <f>IF(ISBLANK(D4566),"",(VLOOKUP(D4566,Cardápio!$A$2:$B$16,2,0))*E4566)</f>
        <v/>
      </c>
      <c r="H4566" s="7" t="str">
        <f t="shared" si="284"/>
        <v/>
      </c>
      <c r="I4566" s="7" t="str">
        <f>IF(AND(ISBLANK(D4566),ISBLANK(C4566)),"",((VLOOKUP(D4566,Cardápio!$A$2:$C$16,3,0))*E4566)+IF(B4566="iFood",F4566*0.27,(VLOOKUP(VENDAS!C4566,Bairros!$A$2:$B$90,2,0))))</f>
        <v/>
      </c>
      <c r="J4566" s="7" t="str">
        <f t="shared" si="285"/>
        <v/>
      </c>
      <c r="K4566" s="9">
        <f t="shared" ca="1" si="286"/>
        <v>45404.878290162036</v>
      </c>
      <c r="L4566" s="10">
        <f t="shared" ca="1" si="287"/>
        <v>45404.878290046297</v>
      </c>
    </row>
    <row r="4567" spans="6:12" x14ac:dyDescent="0.25">
      <c r="F4567" s="11" t="str">
        <f>IF(ISBLANK(D4567),"",(VLOOKUP(D4567,Cardápio!$A$2:$B$16,2,0))*E4567)</f>
        <v/>
      </c>
      <c r="H4567" s="7" t="str">
        <f t="shared" si="284"/>
        <v/>
      </c>
      <c r="I4567" s="7" t="str">
        <f>IF(AND(ISBLANK(D4567),ISBLANK(C4567)),"",((VLOOKUP(D4567,Cardápio!$A$2:$C$16,3,0))*E4567)+IF(B4567="iFood",F4567*0.27,(VLOOKUP(VENDAS!C4567,Bairros!$A$2:$B$90,2,0))))</f>
        <v/>
      </c>
      <c r="J4567" s="7" t="str">
        <f t="shared" si="285"/>
        <v/>
      </c>
      <c r="K4567" s="9">
        <f t="shared" ca="1" si="286"/>
        <v>45404.878290162036</v>
      </c>
      <c r="L4567" s="10">
        <f t="shared" ca="1" si="287"/>
        <v>45404.878290162036</v>
      </c>
    </row>
    <row r="4568" spans="6:12" x14ac:dyDescent="0.25">
      <c r="F4568" s="11" t="str">
        <f>IF(ISBLANK(D4568),"",(VLOOKUP(D4568,Cardápio!$A$2:$B$16,2,0))*E4568)</f>
        <v/>
      </c>
      <c r="H4568" s="7" t="str">
        <f t="shared" si="284"/>
        <v/>
      </c>
      <c r="I4568" s="7" t="str">
        <f>IF(AND(ISBLANK(D4568),ISBLANK(C4568)),"",((VLOOKUP(D4568,Cardápio!$A$2:$C$16,3,0))*E4568)+IF(B4568="iFood",F4568*0.27,(VLOOKUP(VENDAS!C4568,Bairros!$A$2:$B$90,2,0))))</f>
        <v/>
      </c>
      <c r="J4568" s="7" t="str">
        <f t="shared" si="285"/>
        <v/>
      </c>
      <c r="K4568" s="9">
        <f t="shared" ca="1" si="286"/>
        <v>45404.878290162036</v>
      </c>
      <c r="L4568" s="10">
        <f t="shared" ca="1" si="287"/>
        <v>45404.878290046297</v>
      </c>
    </row>
    <row r="4569" spans="6:12" x14ac:dyDescent="0.25">
      <c r="F4569" s="11" t="str">
        <f>IF(ISBLANK(D4569),"",(VLOOKUP(D4569,Cardápio!$A$2:$B$16,2,0))*E4569)</f>
        <v/>
      </c>
      <c r="H4569" s="7" t="str">
        <f t="shared" si="284"/>
        <v/>
      </c>
      <c r="I4569" s="7" t="str">
        <f>IF(AND(ISBLANK(D4569),ISBLANK(C4569)),"",((VLOOKUP(D4569,Cardápio!$A$2:$C$16,3,0))*E4569)+IF(B4569="iFood",F4569*0.27,(VLOOKUP(VENDAS!C4569,Bairros!$A$2:$B$90,2,0))))</f>
        <v/>
      </c>
      <c r="J4569" s="7" t="str">
        <f t="shared" si="285"/>
        <v/>
      </c>
      <c r="K4569" s="9">
        <f t="shared" ca="1" si="286"/>
        <v>45404.878290277775</v>
      </c>
      <c r="L4569" s="10">
        <f t="shared" ca="1" si="287"/>
        <v>45404.878290046297</v>
      </c>
    </row>
    <row r="4570" spans="6:12" x14ac:dyDescent="0.25">
      <c r="F4570" s="11" t="str">
        <f>IF(ISBLANK(D4570),"",(VLOOKUP(D4570,Cardápio!$A$2:$B$16,2,0))*E4570)</f>
        <v/>
      </c>
      <c r="H4570" s="7" t="str">
        <f t="shared" si="284"/>
        <v/>
      </c>
      <c r="I4570" s="7" t="str">
        <f>IF(AND(ISBLANK(D4570),ISBLANK(C4570)),"",((VLOOKUP(D4570,Cardápio!$A$2:$C$16,3,0))*E4570)+IF(B4570="iFood",F4570*0.27,(VLOOKUP(VENDAS!C4570,Bairros!$A$2:$B$90,2,0))))</f>
        <v/>
      </c>
      <c r="J4570" s="7" t="str">
        <f t="shared" si="285"/>
        <v/>
      </c>
      <c r="K4570" s="9">
        <f t="shared" ca="1" si="286"/>
        <v>45404.878290162036</v>
      </c>
      <c r="L4570" s="10">
        <f t="shared" ca="1" si="287"/>
        <v>45404.878290046297</v>
      </c>
    </row>
    <row r="4571" spans="6:12" x14ac:dyDescent="0.25">
      <c r="F4571" s="11" t="str">
        <f>IF(ISBLANK(D4571),"",(VLOOKUP(D4571,Cardápio!$A$2:$B$16,2,0))*E4571)</f>
        <v/>
      </c>
      <c r="H4571" s="7" t="str">
        <f t="shared" si="284"/>
        <v/>
      </c>
      <c r="I4571" s="7" t="str">
        <f>IF(AND(ISBLANK(D4571),ISBLANK(C4571)),"",((VLOOKUP(D4571,Cardápio!$A$2:$C$16,3,0))*E4571)+IF(B4571="iFood",F4571*0.27,(VLOOKUP(VENDAS!C4571,Bairros!$A$2:$B$90,2,0))))</f>
        <v/>
      </c>
      <c r="J4571" s="7" t="str">
        <f t="shared" si="285"/>
        <v/>
      </c>
      <c r="K4571" s="9">
        <f t="shared" ca="1" si="286"/>
        <v>45404.878290162036</v>
      </c>
      <c r="L4571" s="10">
        <f t="shared" ca="1" si="287"/>
        <v>45404.878290162036</v>
      </c>
    </row>
    <row r="4572" spans="6:12" x14ac:dyDescent="0.25">
      <c r="F4572" s="11" t="str">
        <f>IF(ISBLANK(D4572),"",(VLOOKUP(D4572,Cardápio!$A$2:$B$16,2,0))*E4572)</f>
        <v/>
      </c>
      <c r="H4572" s="7" t="str">
        <f t="shared" si="284"/>
        <v/>
      </c>
      <c r="I4572" s="7" t="str">
        <f>IF(AND(ISBLANK(D4572),ISBLANK(C4572)),"",((VLOOKUP(D4572,Cardápio!$A$2:$C$16,3,0))*E4572)+IF(B4572="iFood",F4572*0.27,(VLOOKUP(VENDAS!C4572,Bairros!$A$2:$B$90,2,0))))</f>
        <v/>
      </c>
      <c r="J4572" s="7" t="str">
        <f t="shared" si="285"/>
        <v/>
      </c>
      <c r="K4572" s="9">
        <f t="shared" ca="1" si="286"/>
        <v>45404.878290162036</v>
      </c>
      <c r="L4572" s="10">
        <f t="shared" ca="1" si="287"/>
        <v>45404.878290046297</v>
      </c>
    </row>
    <row r="4573" spans="6:12" x14ac:dyDescent="0.25">
      <c r="F4573" s="11" t="str">
        <f>IF(ISBLANK(D4573),"",(VLOOKUP(D4573,Cardápio!$A$2:$B$16,2,0))*E4573)</f>
        <v/>
      </c>
      <c r="H4573" s="7" t="str">
        <f t="shared" si="284"/>
        <v/>
      </c>
      <c r="I4573" s="7" t="str">
        <f>IF(AND(ISBLANK(D4573),ISBLANK(C4573)),"",((VLOOKUP(D4573,Cardápio!$A$2:$C$16,3,0))*E4573)+IF(B4573="iFood",F4573*0.27,(VLOOKUP(VENDAS!C4573,Bairros!$A$2:$B$90,2,0))))</f>
        <v/>
      </c>
      <c r="J4573" s="7" t="str">
        <f t="shared" si="285"/>
        <v/>
      </c>
      <c r="K4573" s="9">
        <f t="shared" ca="1" si="286"/>
        <v>45404.878290277775</v>
      </c>
      <c r="L4573" s="10">
        <f t="shared" ca="1" si="287"/>
        <v>45404.878290046297</v>
      </c>
    </row>
    <row r="4574" spans="6:12" x14ac:dyDescent="0.25">
      <c r="F4574" s="11" t="str">
        <f>IF(ISBLANK(D4574),"",(VLOOKUP(D4574,Cardápio!$A$2:$B$16,2,0))*E4574)</f>
        <v/>
      </c>
      <c r="H4574" s="7" t="str">
        <f t="shared" si="284"/>
        <v/>
      </c>
      <c r="I4574" s="7" t="str">
        <f>IF(AND(ISBLANK(D4574),ISBLANK(C4574)),"",((VLOOKUP(D4574,Cardápio!$A$2:$C$16,3,0))*E4574)+IF(B4574="iFood",F4574*0.27,(VLOOKUP(VENDAS!C4574,Bairros!$A$2:$B$90,2,0))))</f>
        <v/>
      </c>
      <c r="J4574" s="7" t="str">
        <f t="shared" si="285"/>
        <v/>
      </c>
      <c r="K4574" s="9">
        <f t="shared" ca="1" si="286"/>
        <v>45404.878290162036</v>
      </c>
      <c r="L4574" s="10">
        <f t="shared" ca="1" si="287"/>
        <v>45404.878290046297</v>
      </c>
    </row>
    <row r="4575" spans="6:12" x14ac:dyDescent="0.25">
      <c r="F4575" s="11" t="str">
        <f>IF(ISBLANK(D4575),"",(VLOOKUP(D4575,Cardápio!$A$2:$B$16,2,0))*E4575)</f>
        <v/>
      </c>
      <c r="H4575" s="7" t="str">
        <f t="shared" si="284"/>
        <v/>
      </c>
      <c r="I4575" s="7" t="str">
        <f>IF(AND(ISBLANK(D4575),ISBLANK(C4575)),"",((VLOOKUP(D4575,Cardápio!$A$2:$C$16,3,0))*E4575)+IF(B4575="iFood",F4575*0.27,(VLOOKUP(VENDAS!C4575,Bairros!$A$2:$B$90,2,0))))</f>
        <v/>
      </c>
      <c r="J4575" s="7" t="str">
        <f t="shared" si="285"/>
        <v/>
      </c>
      <c r="K4575" s="9">
        <f t="shared" ca="1" si="286"/>
        <v>45404.878290162036</v>
      </c>
      <c r="L4575" s="10">
        <f t="shared" ca="1" si="287"/>
        <v>45404.878290162036</v>
      </c>
    </row>
    <row r="4576" spans="6:12" x14ac:dyDescent="0.25">
      <c r="F4576" s="11" t="str">
        <f>IF(ISBLANK(D4576),"",(VLOOKUP(D4576,Cardápio!$A$2:$B$16,2,0))*E4576)</f>
        <v/>
      </c>
      <c r="H4576" s="7" t="str">
        <f t="shared" si="284"/>
        <v/>
      </c>
      <c r="I4576" s="7" t="str">
        <f>IF(AND(ISBLANK(D4576),ISBLANK(C4576)),"",((VLOOKUP(D4576,Cardápio!$A$2:$C$16,3,0))*E4576)+IF(B4576="iFood",F4576*0.27,(VLOOKUP(VENDAS!C4576,Bairros!$A$2:$B$90,2,0))))</f>
        <v/>
      </c>
      <c r="J4576" s="7" t="str">
        <f t="shared" si="285"/>
        <v/>
      </c>
      <c r="K4576" s="9">
        <f t="shared" ca="1" si="286"/>
        <v>45404.878290162036</v>
      </c>
      <c r="L4576" s="10">
        <f t="shared" ca="1" si="287"/>
        <v>45404.878290046297</v>
      </c>
    </row>
    <row r="4577" spans="6:12" x14ac:dyDescent="0.25">
      <c r="F4577" s="11" t="str">
        <f>IF(ISBLANK(D4577),"",(VLOOKUP(D4577,Cardápio!$A$2:$B$16,2,0))*E4577)</f>
        <v/>
      </c>
      <c r="H4577" s="7" t="str">
        <f t="shared" si="284"/>
        <v/>
      </c>
      <c r="I4577" s="7" t="str">
        <f>IF(AND(ISBLANK(D4577),ISBLANK(C4577)),"",((VLOOKUP(D4577,Cardápio!$A$2:$C$16,3,0))*E4577)+IF(B4577="iFood",F4577*0.27,(VLOOKUP(VENDAS!C4577,Bairros!$A$2:$B$90,2,0))))</f>
        <v/>
      </c>
      <c r="J4577" s="7" t="str">
        <f t="shared" si="285"/>
        <v/>
      </c>
      <c r="K4577" s="9">
        <f t="shared" ca="1" si="286"/>
        <v>45404.878290277775</v>
      </c>
      <c r="L4577" s="10">
        <f t="shared" ca="1" si="287"/>
        <v>45404.878290046297</v>
      </c>
    </row>
    <row r="4578" spans="6:12" x14ac:dyDescent="0.25">
      <c r="F4578" s="11" t="str">
        <f>IF(ISBLANK(D4578),"",(VLOOKUP(D4578,Cardápio!$A$2:$B$16,2,0))*E4578)</f>
        <v/>
      </c>
      <c r="H4578" s="7" t="str">
        <f t="shared" si="284"/>
        <v/>
      </c>
      <c r="I4578" s="7" t="str">
        <f>IF(AND(ISBLANK(D4578),ISBLANK(C4578)),"",((VLOOKUP(D4578,Cardápio!$A$2:$C$16,3,0))*E4578)+IF(B4578="iFood",F4578*0.27,(VLOOKUP(VENDAS!C4578,Bairros!$A$2:$B$90,2,0))))</f>
        <v/>
      </c>
      <c r="J4578" s="7" t="str">
        <f t="shared" si="285"/>
        <v/>
      </c>
      <c r="K4578" s="9">
        <f t="shared" ca="1" si="286"/>
        <v>45404.878290162036</v>
      </c>
      <c r="L4578" s="10">
        <f t="shared" ca="1" si="287"/>
        <v>45404.878290046297</v>
      </c>
    </row>
    <row r="4579" spans="6:12" x14ac:dyDescent="0.25">
      <c r="F4579" s="11" t="str">
        <f>IF(ISBLANK(D4579),"",(VLOOKUP(D4579,Cardápio!$A$2:$B$16,2,0))*E4579)</f>
        <v/>
      </c>
      <c r="H4579" s="7" t="str">
        <f t="shared" si="284"/>
        <v/>
      </c>
      <c r="I4579" s="7" t="str">
        <f>IF(AND(ISBLANK(D4579),ISBLANK(C4579)),"",((VLOOKUP(D4579,Cardápio!$A$2:$C$16,3,0))*E4579)+IF(B4579="iFood",F4579*0.27,(VLOOKUP(VENDAS!C4579,Bairros!$A$2:$B$90,2,0))))</f>
        <v/>
      </c>
      <c r="J4579" s="7" t="str">
        <f t="shared" si="285"/>
        <v/>
      </c>
      <c r="K4579" s="9">
        <f t="shared" ca="1" si="286"/>
        <v>45404.878290162036</v>
      </c>
      <c r="L4579" s="10">
        <f t="shared" ca="1" si="287"/>
        <v>45404.878290162036</v>
      </c>
    </row>
    <row r="4580" spans="6:12" x14ac:dyDescent="0.25">
      <c r="F4580" s="11" t="str">
        <f>IF(ISBLANK(D4580),"",(VLOOKUP(D4580,Cardápio!$A$2:$B$16,2,0))*E4580)</f>
        <v/>
      </c>
      <c r="H4580" s="7" t="str">
        <f t="shared" si="284"/>
        <v/>
      </c>
      <c r="I4580" s="7" t="str">
        <f>IF(AND(ISBLANK(D4580),ISBLANK(C4580)),"",((VLOOKUP(D4580,Cardápio!$A$2:$C$16,3,0))*E4580)+IF(B4580="iFood",F4580*0.27,(VLOOKUP(VENDAS!C4580,Bairros!$A$2:$B$90,2,0))))</f>
        <v/>
      </c>
      <c r="J4580" s="7" t="str">
        <f t="shared" si="285"/>
        <v/>
      </c>
      <c r="K4580" s="9">
        <f t="shared" ca="1" si="286"/>
        <v>45404.878290162036</v>
      </c>
      <c r="L4580" s="10">
        <f t="shared" ca="1" si="287"/>
        <v>45404.878290046297</v>
      </c>
    </row>
    <row r="4581" spans="6:12" x14ac:dyDescent="0.25">
      <c r="F4581" s="11" t="str">
        <f>IF(ISBLANK(D4581),"",(VLOOKUP(D4581,Cardápio!$A$2:$B$16,2,0))*E4581)</f>
        <v/>
      </c>
      <c r="H4581" s="7" t="str">
        <f t="shared" si="284"/>
        <v/>
      </c>
      <c r="I4581" s="7" t="str">
        <f>IF(AND(ISBLANK(D4581),ISBLANK(C4581)),"",((VLOOKUP(D4581,Cardápio!$A$2:$C$16,3,0))*E4581)+IF(B4581="iFood",F4581*0.27,(VLOOKUP(VENDAS!C4581,Bairros!$A$2:$B$90,2,0))))</f>
        <v/>
      </c>
      <c r="J4581" s="7" t="str">
        <f t="shared" si="285"/>
        <v/>
      </c>
      <c r="K4581" s="9">
        <f t="shared" ca="1" si="286"/>
        <v>45404.878290277775</v>
      </c>
      <c r="L4581" s="10">
        <f t="shared" ca="1" si="287"/>
        <v>45404.878290046297</v>
      </c>
    </row>
    <row r="4582" spans="6:12" x14ac:dyDescent="0.25">
      <c r="F4582" s="11" t="str">
        <f>IF(ISBLANK(D4582),"",(VLOOKUP(D4582,Cardápio!$A$2:$B$16,2,0))*E4582)</f>
        <v/>
      </c>
      <c r="H4582" s="7" t="str">
        <f t="shared" si="284"/>
        <v/>
      </c>
      <c r="I4582" s="7" t="str">
        <f>IF(AND(ISBLANK(D4582),ISBLANK(C4582)),"",((VLOOKUP(D4582,Cardápio!$A$2:$C$16,3,0))*E4582)+IF(B4582="iFood",F4582*0.27,(VLOOKUP(VENDAS!C4582,Bairros!$A$2:$B$90,2,0))))</f>
        <v/>
      </c>
      <c r="J4582" s="7" t="str">
        <f t="shared" si="285"/>
        <v/>
      </c>
      <c r="K4582" s="9">
        <f t="shared" ca="1" si="286"/>
        <v>45404.878290162036</v>
      </c>
      <c r="L4582" s="10">
        <f t="shared" ca="1" si="287"/>
        <v>45404.878290046297</v>
      </c>
    </row>
    <row r="4583" spans="6:12" x14ac:dyDescent="0.25">
      <c r="F4583" s="11" t="str">
        <f>IF(ISBLANK(D4583),"",(VLOOKUP(D4583,Cardápio!$A$2:$B$16,2,0))*E4583)</f>
        <v/>
      </c>
      <c r="H4583" s="7" t="str">
        <f t="shared" si="284"/>
        <v/>
      </c>
      <c r="I4583" s="7" t="str">
        <f>IF(AND(ISBLANK(D4583),ISBLANK(C4583)),"",((VLOOKUP(D4583,Cardápio!$A$2:$C$16,3,0))*E4583)+IF(B4583="iFood",F4583*0.27,(VLOOKUP(VENDAS!C4583,Bairros!$A$2:$B$90,2,0))))</f>
        <v/>
      </c>
      <c r="J4583" s="7" t="str">
        <f t="shared" si="285"/>
        <v/>
      </c>
      <c r="K4583" s="9">
        <f t="shared" ca="1" si="286"/>
        <v>45404.878290162036</v>
      </c>
      <c r="L4583" s="10">
        <f t="shared" ca="1" si="287"/>
        <v>45404.878290162036</v>
      </c>
    </row>
    <row r="4584" spans="6:12" x14ac:dyDescent="0.25">
      <c r="F4584" s="11" t="str">
        <f>IF(ISBLANK(D4584),"",(VLOOKUP(D4584,Cardápio!$A$2:$B$16,2,0))*E4584)</f>
        <v/>
      </c>
      <c r="H4584" s="7" t="str">
        <f t="shared" si="284"/>
        <v/>
      </c>
      <c r="I4584" s="7" t="str">
        <f>IF(AND(ISBLANK(D4584),ISBLANK(C4584)),"",((VLOOKUP(D4584,Cardápio!$A$2:$C$16,3,0))*E4584)+IF(B4584="iFood",F4584*0.27,(VLOOKUP(VENDAS!C4584,Bairros!$A$2:$B$90,2,0))))</f>
        <v/>
      </c>
      <c r="J4584" s="7" t="str">
        <f t="shared" si="285"/>
        <v/>
      </c>
      <c r="K4584" s="9">
        <f t="shared" ca="1" si="286"/>
        <v>45404.878290162036</v>
      </c>
      <c r="L4584" s="10">
        <f t="shared" ca="1" si="287"/>
        <v>45404.878290046297</v>
      </c>
    </row>
    <row r="4585" spans="6:12" x14ac:dyDescent="0.25">
      <c r="F4585" s="11" t="str">
        <f>IF(ISBLANK(D4585),"",(VLOOKUP(D4585,Cardápio!$A$2:$B$16,2,0))*E4585)</f>
        <v/>
      </c>
      <c r="H4585" s="7" t="str">
        <f t="shared" si="284"/>
        <v/>
      </c>
      <c r="I4585" s="7" t="str">
        <f>IF(AND(ISBLANK(D4585),ISBLANK(C4585)),"",((VLOOKUP(D4585,Cardápio!$A$2:$C$16,3,0))*E4585)+IF(B4585="iFood",F4585*0.27,(VLOOKUP(VENDAS!C4585,Bairros!$A$2:$B$90,2,0))))</f>
        <v/>
      </c>
      <c r="J4585" s="7" t="str">
        <f t="shared" si="285"/>
        <v/>
      </c>
      <c r="K4585" s="9">
        <f t="shared" ca="1" si="286"/>
        <v>45404.878290277775</v>
      </c>
      <c r="L4585" s="10">
        <f t="shared" ca="1" si="287"/>
        <v>45404.878290046297</v>
      </c>
    </row>
    <row r="4586" spans="6:12" x14ac:dyDescent="0.25">
      <c r="F4586" s="11" t="str">
        <f>IF(ISBLANK(D4586),"",(VLOOKUP(D4586,Cardápio!$A$2:$B$16,2,0))*E4586)</f>
        <v/>
      </c>
      <c r="H4586" s="7" t="str">
        <f t="shared" si="284"/>
        <v/>
      </c>
      <c r="I4586" s="7" t="str">
        <f>IF(AND(ISBLANK(D4586),ISBLANK(C4586)),"",((VLOOKUP(D4586,Cardápio!$A$2:$C$16,3,0))*E4586)+IF(B4586="iFood",F4586*0.27,(VLOOKUP(VENDAS!C4586,Bairros!$A$2:$B$90,2,0))))</f>
        <v/>
      </c>
      <c r="J4586" s="7" t="str">
        <f t="shared" si="285"/>
        <v/>
      </c>
      <c r="K4586" s="9">
        <f t="shared" ca="1" si="286"/>
        <v>45404.878290162036</v>
      </c>
      <c r="L4586" s="10">
        <f t="shared" ca="1" si="287"/>
        <v>45404.878290046297</v>
      </c>
    </row>
    <row r="4587" spans="6:12" x14ac:dyDescent="0.25">
      <c r="F4587" s="11" t="str">
        <f>IF(ISBLANK(D4587),"",(VLOOKUP(D4587,Cardápio!$A$2:$B$16,2,0))*E4587)</f>
        <v/>
      </c>
      <c r="H4587" s="7" t="str">
        <f t="shared" si="284"/>
        <v/>
      </c>
      <c r="I4587" s="7" t="str">
        <f>IF(AND(ISBLANK(D4587),ISBLANK(C4587)),"",((VLOOKUP(D4587,Cardápio!$A$2:$C$16,3,0))*E4587)+IF(B4587="iFood",F4587*0.27,(VLOOKUP(VENDAS!C4587,Bairros!$A$2:$B$90,2,0))))</f>
        <v/>
      </c>
      <c r="J4587" s="7" t="str">
        <f t="shared" si="285"/>
        <v/>
      </c>
      <c r="K4587" s="9">
        <f t="shared" ca="1" si="286"/>
        <v>45404.878290162036</v>
      </c>
      <c r="L4587" s="10">
        <f t="shared" ca="1" si="287"/>
        <v>45404.878290162036</v>
      </c>
    </row>
    <row r="4588" spans="6:12" x14ac:dyDescent="0.25">
      <c r="F4588" s="11" t="str">
        <f>IF(ISBLANK(D4588),"",(VLOOKUP(D4588,Cardápio!$A$2:$B$16,2,0))*E4588)</f>
        <v/>
      </c>
      <c r="H4588" s="7" t="str">
        <f t="shared" si="284"/>
        <v/>
      </c>
      <c r="I4588" s="7" t="str">
        <f>IF(AND(ISBLANK(D4588),ISBLANK(C4588)),"",((VLOOKUP(D4588,Cardápio!$A$2:$C$16,3,0))*E4588)+IF(B4588="iFood",F4588*0.27,(VLOOKUP(VENDAS!C4588,Bairros!$A$2:$B$90,2,0))))</f>
        <v/>
      </c>
      <c r="J4588" s="7" t="str">
        <f t="shared" si="285"/>
        <v/>
      </c>
      <c r="K4588" s="9">
        <f t="shared" ca="1" si="286"/>
        <v>45404.878290162036</v>
      </c>
      <c r="L4588" s="10">
        <f t="shared" ca="1" si="287"/>
        <v>45404.878290046297</v>
      </c>
    </row>
    <row r="4589" spans="6:12" x14ac:dyDescent="0.25">
      <c r="F4589" s="11" t="str">
        <f>IF(ISBLANK(D4589),"",(VLOOKUP(D4589,Cardápio!$A$2:$B$16,2,0))*E4589)</f>
        <v/>
      </c>
      <c r="H4589" s="7" t="str">
        <f t="shared" si="284"/>
        <v/>
      </c>
      <c r="I4589" s="7" t="str">
        <f>IF(AND(ISBLANK(D4589),ISBLANK(C4589)),"",((VLOOKUP(D4589,Cardápio!$A$2:$C$16,3,0))*E4589)+IF(B4589="iFood",F4589*0.27,(VLOOKUP(VENDAS!C4589,Bairros!$A$2:$B$90,2,0))))</f>
        <v/>
      </c>
      <c r="J4589" s="7" t="str">
        <f t="shared" si="285"/>
        <v/>
      </c>
      <c r="K4589" s="9">
        <f t="shared" ca="1" si="286"/>
        <v>45404.878290277775</v>
      </c>
      <c r="L4589" s="10">
        <f t="shared" ca="1" si="287"/>
        <v>45404.878290046297</v>
      </c>
    </row>
    <row r="4590" spans="6:12" x14ac:dyDescent="0.25">
      <c r="F4590" s="11" t="str">
        <f>IF(ISBLANK(D4590),"",(VLOOKUP(D4590,Cardápio!$A$2:$B$16,2,0))*E4590)</f>
        <v/>
      </c>
      <c r="H4590" s="7" t="str">
        <f t="shared" si="284"/>
        <v/>
      </c>
      <c r="I4590" s="7" t="str">
        <f>IF(AND(ISBLANK(D4590),ISBLANK(C4590)),"",((VLOOKUP(D4590,Cardápio!$A$2:$C$16,3,0))*E4590)+IF(B4590="iFood",F4590*0.27,(VLOOKUP(VENDAS!C4590,Bairros!$A$2:$B$90,2,0))))</f>
        <v/>
      </c>
      <c r="J4590" s="7" t="str">
        <f t="shared" si="285"/>
        <v/>
      </c>
      <c r="K4590" s="9">
        <f t="shared" ca="1" si="286"/>
        <v>45404.878290162036</v>
      </c>
      <c r="L4590" s="10">
        <f t="shared" ca="1" si="287"/>
        <v>45404.878290046297</v>
      </c>
    </row>
    <row r="4591" spans="6:12" x14ac:dyDescent="0.25">
      <c r="F4591" s="11" t="str">
        <f>IF(ISBLANK(D4591),"",(VLOOKUP(D4591,Cardápio!$A$2:$B$16,2,0))*E4591)</f>
        <v/>
      </c>
      <c r="H4591" s="7" t="str">
        <f t="shared" si="284"/>
        <v/>
      </c>
      <c r="I4591" s="7" t="str">
        <f>IF(AND(ISBLANK(D4591),ISBLANK(C4591)),"",((VLOOKUP(D4591,Cardápio!$A$2:$C$16,3,0))*E4591)+IF(B4591="iFood",F4591*0.27,(VLOOKUP(VENDAS!C4591,Bairros!$A$2:$B$90,2,0))))</f>
        <v/>
      </c>
      <c r="J4591" s="7" t="str">
        <f t="shared" si="285"/>
        <v/>
      </c>
      <c r="K4591" s="9">
        <f t="shared" ca="1" si="286"/>
        <v>45404.878290162036</v>
      </c>
      <c r="L4591" s="10">
        <f t="shared" ca="1" si="287"/>
        <v>45404.878290162036</v>
      </c>
    </row>
    <row r="4592" spans="6:12" x14ac:dyDescent="0.25">
      <c r="F4592" s="11" t="str">
        <f>IF(ISBLANK(D4592),"",(VLOOKUP(D4592,Cardápio!$A$2:$B$16,2,0))*E4592)</f>
        <v/>
      </c>
      <c r="H4592" s="7" t="str">
        <f t="shared" si="284"/>
        <v/>
      </c>
      <c r="I4592" s="7" t="str">
        <f>IF(AND(ISBLANK(D4592),ISBLANK(C4592)),"",((VLOOKUP(D4592,Cardápio!$A$2:$C$16,3,0))*E4592)+IF(B4592="iFood",F4592*0.27,(VLOOKUP(VENDAS!C4592,Bairros!$A$2:$B$90,2,0))))</f>
        <v/>
      </c>
      <c r="J4592" s="7" t="str">
        <f t="shared" si="285"/>
        <v/>
      </c>
      <c r="K4592" s="9">
        <f t="shared" ca="1" si="286"/>
        <v>45404.878290162036</v>
      </c>
      <c r="L4592" s="10">
        <f t="shared" ca="1" si="287"/>
        <v>45404.878290046297</v>
      </c>
    </row>
    <row r="4593" spans="6:12" x14ac:dyDescent="0.25">
      <c r="F4593" s="11" t="str">
        <f>IF(ISBLANK(D4593),"",(VLOOKUP(D4593,Cardápio!$A$2:$B$16,2,0))*E4593)</f>
        <v/>
      </c>
      <c r="H4593" s="7" t="str">
        <f t="shared" si="284"/>
        <v/>
      </c>
      <c r="I4593" s="7" t="str">
        <f>IF(AND(ISBLANK(D4593),ISBLANK(C4593)),"",((VLOOKUP(D4593,Cardápio!$A$2:$C$16,3,0))*E4593)+IF(B4593="iFood",F4593*0.27,(VLOOKUP(VENDAS!C4593,Bairros!$A$2:$B$90,2,0))))</f>
        <v/>
      </c>
      <c r="J4593" s="7" t="str">
        <f t="shared" si="285"/>
        <v/>
      </c>
      <c r="K4593" s="9">
        <f t="shared" ca="1" si="286"/>
        <v>45404.878290277775</v>
      </c>
      <c r="L4593" s="10">
        <f t="shared" ca="1" si="287"/>
        <v>45404.878290046297</v>
      </c>
    </row>
    <row r="4594" spans="6:12" x14ac:dyDescent="0.25">
      <c r="F4594" s="11" t="str">
        <f>IF(ISBLANK(D4594),"",(VLOOKUP(D4594,Cardápio!$A$2:$B$16,2,0))*E4594)</f>
        <v/>
      </c>
      <c r="H4594" s="7" t="str">
        <f t="shared" si="284"/>
        <v/>
      </c>
      <c r="I4594" s="7" t="str">
        <f>IF(AND(ISBLANK(D4594),ISBLANK(C4594)),"",((VLOOKUP(D4594,Cardápio!$A$2:$C$16,3,0))*E4594)+IF(B4594="iFood",F4594*0.27,(VLOOKUP(VENDAS!C4594,Bairros!$A$2:$B$90,2,0))))</f>
        <v/>
      </c>
      <c r="J4594" s="7" t="str">
        <f t="shared" si="285"/>
        <v/>
      </c>
      <c r="K4594" s="9">
        <f t="shared" ca="1" si="286"/>
        <v>45404.878290162036</v>
      </c>
      <c r="L4594" s="10">
        <f t="shared" ca="1" si="287"/>
        <v>45404.878290046297</v>
      </c>
    </row>
    <row r="4595" spans="6:12" x14ac:dyDescent="0.25">
      <c r="F4595" s="11" t="str">
        <f>IF(ISBLANK(D4595),"",(VLOOKUP(D4595,Cardápio!$A$2:$B$16,2,0))*E4595)</f>
        <v/>
      </c>
      <c r="H4595" s="7" t="str">
        <f t="shared" si="284"/>
        <v/>
      </c>
      <c r="I4595" s="7" t="str">
        <f>IF(AND(ISBLANK(D4595),ISBLANK(C4595)),"",((VLOOKUP(D4595,Cardápio!$A$2:$C$16,3,0))*E4595)+IF(B4595="iFood",F4595*0.27,(VLOOKUP(VENDAS!C4595,Bairros!$A$2:$B$90,2,0))))</f>
        <v/>
      </c>
      <c r="J4595" s="7" t="str">
        <f t="shared" si="285"/>
        <v/>
      </c>
      <c r="K4595" s="9">
        <f t="shared" ca="1" si="286"/>
        <v>45404.878290162036</v>
      </c>
      <c r="L4595" s="10">
        <f t="shared" ca="1" si="287"/>
        <v>45404.878290162036</v>
      </c>
    </row>
    <row r="4596" spans="6:12" x14ac:dyDescent="0.25">
      <c r="F4596" s="11" t="str">
        <f>IF(ISBLANK(D4596),"",(VLOOKUP(D4596,Cardápio!$A$2:$B$16,2,0))*E4596)</f>
        <v/>
      </c>
      <c r="H4596" s="7" t="str">
        <f t="shared" si="284"/>
        <v/>
      </c>
      <c r="I4596" s="7" t="str">
        <f>IF(AND(ISBLANK(D4596),ISBLANK(C4596)),"",((VLOOKUP(D4596,Cardápio!$A$2:$C$16,3,0))*E4596)+IF(B4596="iFood",F4596*0.27,(VLOOKUP(VENDAS!C4596,Bairros!$A$2:$B$90,2,0))))</f>
        <v/>
      </c>
      <c r="J4596" s="7" t="str">
        <f t="shared" si="285"/>
        <v/>
      </c>
      <c r="K4596" s="9">
        <f t="shared" ca="1" si="286"/>
        <v>45404.878290162036</v>
      </c>
      <c r="L4596" s="10">
        <f t="shared" ca="1" si="287"/>
        <v>45404.878290046297</v>
      </c>
    </row>
    <row r="4597" spans="6:12" x14ac:dyDescent="0.25">
      <c r="F4597" s="11" t="str">
        <f>IF(ISBLANK(D4597),"",(VLOOKUP(D4597,Cardápio!$A$2:$B$16,2,0))*E4597)</f>
        <v/>
      </c>
      <c r="H4597" s="7" t="str">
        <f t="shared" ref="H4597:H4660" si="288">IF(ISBLANK(D4597),"",F4597-G4597)</f>
        <v/>
      </c>
      <c r="I4597" s="7" t="str">
        <f>IF(AND(ISBLANK(D4597),ISBLANK(C4597)),"",((VLOOKUP(D4597,Cardápio!$A$2:$C$16,3,0))*E4597)+IF(B4597="iFood",F4597*0.27,(VLOOKUP(VENDAS!C4597,Bairros!$A$2:$B$90,2,0))))</f>
        <v/>
      </c>
      <c r="J4597" s="7" t="str">
        <f t="shared" ref="J4597:J4660" si="289">IF(OR(AND(ISBLANK(H4597),ISBLANK(I4597)),(AND(H4597="",I4597=""))),"",H4597-I4597)</f>
        <v/>
      </c>
      <c r="K4597" s="9">
        <f t="shared" ref="K4597:K4660" ca="1" si="290">IF(D4597&lt;&gt;"",K4597,NOW())</f>
        <v>45404.878290277775</v>
      </c>
      <c r="L4597" s="10">
        <f t="shared" ref="L4597:L4660" ca="1" si="291">IF(D4597&lt;&gt;"",L4597,NOW())</f>
        <v>45404.878290046297</v>
      </c>
    </row>
    <row r="4598" spans="6:12" x14ac:dyDescent="0.25">
      <c r="F4598" s="11" t="str">
        <f>IF(ISBLANK(D4598),"",(VLOOKUP(D4598,Cardápio!$A$2:$B$16,2,0))*E4598)</f>
        <v/>
      </c>
      <c r="H4598" s="7" t="str">
        <f t="shared" si="288"/>
        <v/>
      </c>
      <c r="I4598" s="7" t="str">
        <f>IF(AND(ISBLANK(D4598),ISBLANK(C4598)),"",((VLOOKUP(D4598,Cardápio!$A$2:$C$16,3,0))*E4598)+IF(B4598="iFood",F4598*0.27,(VLOOKUP(VENDAS!C4598,Bairros!$A$2:$B$90,2,0))))</f>
        <v/>
      </c>
      <c r="J4598" s="7" t="str">
        <f t="shared" si="289"/>
        <v/>
      </c>
      <c r="K4598" s="9">
        <f t="shared" ca="1" si="290"/>
        <v>45404.878290162036</v>
      </c>
      <c r="L4598" s="10">
        <f t="shared" ca="1" si="291"/>
        <v>45404.878290046297</v>
      </c>
    </row>
    <row r="4599" spans="6:12" x14ac:dyDescent="0.25">
      <c r="F4599" s="11" t="str">
        <f>IF(ISBLANK(D4599),"",(VLOOKUP(D4599,Cardápio!$A$2:$B$16,2,0))*E4599)</f>
        <v/>
      </c>
      <c r="H4599" s="7" t="str">
        <f t="shared" si="288"/>
        <v/>
      </c>
      <c r="I4599" s="7" t="str">
        <f>IF(AND(ISBLANK(D4599),ISBLANK(C4599)),"",((VLOOKUP(D4599,Cardápio!$A$2:$C$16,3,0))*E4599)+IF(B4599="iFood",F4599*0.27,(VLOOKUP(VENDAS!C4599,Bairros!$A$2:$B$90,2,0))))</f>
        <v/>
      </c>
      <c r="J4599" s="7" t="str">
        <f t="shared" si="289"/>
        <v/>
      </c>
      <c r="K4599" s="9">
        <f t="shared" ca="1" si="290"/>
        <v>45404.878290162036</v>
      </c>
      <c r="L4599" s="10">
        <f t="shared" ca="1" si="291"/>
        <v>45404.878290162036</v>
      </c>
    </row>
    <row r="4600" spans="6:12" x14ac:dyDescent="0.25">
      <c r="F4600" s="11" t="str">
        <f>IF(ISBLANK(D4600),"",(VLOOKUP(D4600,Cardápio!$A$2:$B$16,2,0))*E4600)</f>
        <v/>
      </c>
      <c r="H4600" s="7" t="str">
        <f t="shared" si="288"/>
        <v/>
      </c>
      <c r="I4600" s="7" t="str">
        <f>IF(AND(ISBLANK(D4600),ISBLANK(C4600)),"",((VLOOKUP(D4600,Cardápio!$A$2:$C$16,3,0))*E4600)+IF(B4600="iFood",F4600*0.27,(VLOOKUP(VENDAS!C4600,Bairros!$A$2:$B$90,2,0))))</f>
        <v/>
      </c>
      <c r="J4600" s="7" t="str">
        <f t="shared" si="289"/>
        <v/>
      </c>
      <c r="K4600" s="9">
        <f t="shared" ca="1" si="290"/>
        <v>45404.878290162036</v>
      </c>
      <c r="L4600" s="10">
        <f t="shared" ca="1" si="291"/>
        <v>45404.878290046297</v>
      </c>
    </row>
    <row r="4601" spans="6:12" x14ac:dyDescent="0.25">
      <c r="F4601" s="11" t="str">
        <f>IF(ISBLANK(D4601),"",(VLOOKUP(D4601,Cardápio!$A$2:$B$16,2,0))*E4601)</f>
        <v/>
      </c>
      <c r="H4601" s="7" t="str">
        <f t="shared" si="288"/>
        <v/>
      </c>
      <c r="I4601" s="7" t="str">
        <f>IF(AND(ISBLANK(D4601),ISBLANK(C4601)),"",((VLOOKUP(D4601,Cardápio!$A$2:$C$16,3,0))*E4601)+IF(B4601="iFood",F4601*0.27,(VLOOKUP(VENDAS!C4601,Bairros!$A$2:$B$90,2,0))))</f>
        <v/>
      </c>
      <c r="J4601" s="7" t="str">
        <f t="shared" si="289"/>
        <v/>
      </c>
      <c r="K4601" s="9">
        <f t="shared" ca="1" si="290"/>
        <v>45404.878290277775</v>
      </c>
      <c r="L4601" s="10">
        <f t="shared" ca="1" si="291"/>
        <v>45404.878290046297</v>
      </c>
    </row>
    <row r="4602" spans="6:12" x14ac:dyDescent="0.25">
      <c r="F4602" s="11" t="str">
        <f>IF(ISBLANK(D4602),"",(VLOOKUP(D4602,Cardápio!$A$2:$B$16,2,0))*E4602)</f>
        <v/>
      </c>
      <c r="H4602" s="7" t="str">
        <f t="shared" si="288"/>
        <v/>
      </c>
      <c r="I4602" s="7" t="str">
        <f>IF(AND(ISBLANK(D4602),ISBLANK(C4602)),"",((VLOOKUP(D4602,Cardápio!$A$2:$C$16,3,0))*E4602)+IF(B4602="iFood",F4602*0.27,(VLOOKUP(VENDAS!C4602,Bairros!$A$2:$B$90,2,0))))</f>
        <v/>
      </c>
      <c r="J4602" s="7" t="str">
        <f t="shared" si="289"/>
        <v/>
      </c>
      <c r="K4602" s="9">
        <f t="shared" ca="1" si="290"/>
        <v>45404.878290162036</v>
      </c>
      <c r="L4602" s="10">
        <f t="shared" ca="1" si="291"/>
        <v>45404.878290046297</v>
      </c>
    </row>
    <row r="4603" spans="6:12" x14ac:dyDescent="0.25">
      <c r="F4603" s="11" t="str">
        <f>IF(ISBLANK(D4603),"",(VLOOKUP(D4603,Cardápio!$A$2:$B$16,2,0))*E4603)</f>
        <v/>
      </c>
      <c r="H4603" s="7" t="str">
        <f t="shared" si="288"/>
        <v/>
      </c>
      <c r="I4603" s="7" t="str">
        <f>IF(AND(ISBLANK(D4603),ISBLANK(C4603)),"",((VLOOKUP(D4603,Cardápio!$A$2:$C$16,3,0))*E4603)+IF(B4603="iFood",F4603*0.27,(VLOOKUP(VENDAS!C4603,Bairros!$A$2:$B$90,2,0))))</f>
        <v/>
      </c>
      <c r="J4603" s="7" t="str">
        <f t="shared" si="289"/>
        <v/>
      </c>
      <c r="K4603" s="9">
        <f t="shared" ca="1" si="290"/>
        <v>45404.878290162036</v>
      </c>
      <c r="L4603" s="10">
        <f t="shared" ca="1" si="291"/>
        <v>45404.878290162036</v>
      </c>
    </row>
    <row r="4604" spans="6:12" x14ac:dyDescent="0.25">
      <c r="F4604" s="11" t="str">
        <f>IF(ISBLANK(D4604),"",(VLOOKUP(D4604,Cardápio!$A$2:$B$16,2,0))*E4604)</f>
        <v/>
      </c>
      <c r="H4604" s="7" t="str">
        <f t="shared" si="288"/>
        <v/>
      </c>
      <c r="I4604" s="7" t="str">
        <f>IF(AND(ISBLANK(D4604),ISBLANK(C4604)),"",((VLOOKUP(D4604,Cardápio!$A$2:$C$16,3,0))*E4604)+IF(B4604="iFood",F4604*0.27,(VLOOKUP(VENDAS!C4604,Bairros!$A$2:$B$90,2,0))))</f>
        <v/>
      </c>
      <c r="J4604" s="7" t="str">
        <f t="shared" si="289"/>
        <v/>
      </c>
      <c r="K4604" s="9">
        <f t="shared" ca="1" si="290"/>
        <v>45404.878290162036</v>
      </c>
      <c r="L4604" s="10">
        <f t="shared" ca="1" si="291"/>
        <v>45404.878290046297</v>
      </c>
    </row>
    <row r="4605" spans="6:12" x14ac:dyDescent="0.25">
      <c r="F4605" s="11" t="str">
        <f>IF(ISBLANK(D4605),"",(VLOOKUP(D4605,Cardápio!$A$2:$B$16,2,0))*E4605)</f>
        <v/>
      </c>
      <c r="H4605" s="7" t="str">
        <f t="shared" si="288"/>
        <v/>
      </c>
      <c r="I4605" s="7" t="str">
        <f>IF(AND(ISBLANK(D4605),ISBLANK(C4605)),"",((VLOOKUP(D4605,Cardápio!$A$2:$C$16,3,0))*E4605)+IF(B4605="iFood",F4605*0.27,(VLOOKUP(VENDAS!C4605,Bairros!$A$2:$B$90,2,0))))</f>
        <v/>
      </c>
      <c r="J4605" s="7" t="str">
        <f t="shared" si="289"/>
        <v/>
      </c>
      <c r="K4605" s="9">
        <f t="shared" ca="1" si="290"/>
        <v>45404.878290277775</v>
      </c>
      <c r="L4605" s="10">
        <f t="shared" ca="1" si="291"/>
        <v>45404.878290046297</v>
      </c>
    </row>
    <row r="4606" spans="6:12" x14ac:dyDescent="0.25">
      <c r="F4606" s="11" t="str">
        <f>IF(ISBLANK(D4606),"",(VLOOKUP(D4606,Cardápio!$A$2:$B$16,2,0))*E4606)</f>
        <v/>
      </c>
      <c r="H4606" s="7" t="str">
        <f t="shared" si="288"/>
        <v/>
      </c>
      <c r="I4606" s="7" t="str">
        <f>IF(AND(ISBLANK(D4606),ISBLANK(C4606)),"",((VLOOKUP(D4606,Cardápio!$A$2:$C$16,3,0))*E4606)+IF(B4606="iFood",F4606*0.27,(VLOOKUP(VENDAS!C4606,Bairros!$A$2:$B$90,2,0))))</f>
        <v/>
      </c>
      <c r="J4606" s="7" t="str">
        <f t="shared" si="289"/>
        <v/>
      </c>
      <c r="K4606" s="9">
        <f t="shared" ca="1" si="290"/>
        <v>45404.878290162036</v>
      </c>
      <c r="L4606" s="10">
        <f t="shared" ca="1" si="291"/>
        <v>45404.878290046297</v>
      </c>
    </row>
    <row r="4607" spans="6:12" x14ac:dyDescent="0.25">
      <c r="F4607" s="11" t="str">
        <f>IF(ISBLANK(D4607),"",(VLOOKUP(D4607,Cardápio!$A$2:$B$16,2,0))*E4607)</f>
        <v/>
      </c>
      <c r="H4607" s="7" t="str">
        <f t="shared" si="288"/>
        <v/>
      </c>
      <c r="I4607" s="7" t="str">
        <f>IF(AND(ISBLANK(D4607),ISBLANK(C4607)),"",((VLOOKUP(D4607,Cardápio!$A$2:$C$16,3,0))*E4607)+IF(B4607="iFood",F4607*0.27,(VLOOKUP(VENDAS!C4607,Bairros!$A$2:$B$90,2,0))))</f>
        <v/>
      </c>
      <c r="J4607" s="7" t="str">
        <f t="shared" si="289"/>
        <v/>
      </c>
      <c r="K4607" s="9">
        <f t="shared" ca="1" si="290"/>
        <v>45404.878290162036</v>
      </c>
      <c r="L4607" s="10">
        <f t="shared" ca="1" si="291"/>
        <v>45404.878290162036</v>
      </c>
    </row>
    <row r="4608" spans="6:12" x14ac:dyDescent="0.25">
      <c r="F4608" s="11" t="str">
        <f>IF(ISBLANK(D4608),"",(VLOOKUP(D4608,Cardápio!$A$2:$B$16,2,0))*E4608)</f>
        <v/>
      </c>
      <c r="H4608" s="7" t="str">
        <f t="shared" si="288"/>
        <v/>
      </c>
      <c r="I4608" s="7" t="str">
        <f>IF(AND(ISBLANK(D4608),ISBLANK(C4608)),"",((VLOOKUP(D4608,Cardápio!$A$2:$C$16,3,0))*E4608)+IF(B4608="iFood",F4608*0.27,(VLOOKUP(VENDAS!C4608,Bairros!$A$2:$B$90,2,0))))</f>
        <v/>
      </c>
      <c r="J4608" s="7" t="str">
        <f t="shared" si="289"/>
        <v/>
      </c>
      <c r="K4608" s="9">
        <f t="shared" ca="1" si="290"/>
        <v>45404.878290162036</v>
      </c>
      <c r="L4608" s="10">
        <f t="shared" ca="1" si="291"/>
        <v>45404.878290046297</v>
      </c>
    </row>
    <row r="4609" spans="6:12" x14ac:dyDescent="0.25">
      <c r="F4609" s="11" t="str">
        <f>IF(ISBLANK(D4609),"",(VLOOKUP(D4609,Cardápio!$A$2:$B$16,2,0))*E4609)</f>
        <v/>
      </c>
      <c r="H4609" s="7" t="str">
        <f t="shared" si="288"/>
        <v/>
      </c>
      <c r="I4609" s="7" t="str">
        <f>IF(AND(ISBLANK(D4609),ISBLANK(C4609)),"",((VLOOKUP(D4609,Cardápio!$A$2:$C$16,3,0))*E4609)+IF(B4609="iFood",F4609*0.27,(VLOOKUP(VENDAS!C4609,Bairros!$A$2:$B$90,2,0))))</f>
        <v/>
      </c>
      <c r="J4609" s="7" t="str">
        <f t="shared" si="289"/>
        <v/>
      </c>
      <c r="K4609" s="9">
        <f t="shared" ca="1" si="290"/>
        <v>45404.878290277775</v>
      </c>
      <c r="L4609" s="10">
        <f t="shared" ca="1" si="291"/>
        <v>45404.878290046297</v>
      </c>
    </row>
    <row r="4610" spans="6:12" x14ac:dyDescent="0.25">
      <c r="F4610" s="11" t="str">
        <f>IF(ISBLANK(D4610),"",(VLOOKUP(D4610,Cardápio!$A$2:$B$16,2,0))*E4610)</f>
        <v/>
      </c>
      <c r="H4610" s="7" t="str">
        <f t="shared" si="288"/>
        <v/>
      </c>
      <c r="I4610" s="7" t="str">
        <f>IF(AND(ISBLANK(D4610),ISBLANK(C4610)),"",((VLOOKUP(D4610,Cardápio!$A$2:$C$16,3,0))*E4610)+IF(B4610="iFood",F4610*0.27,(VLOOKUP(VENDAS!C4610,Bairros!$A$2:$B$90,2,0))))</f>
        <v/>
      </c>
      <c r="J4610" s="7" t="str">
        <f t="shared" si="289"/>
        <v/>
      </c>
      <c r="K4610" s="9">
        <f t="shared" ca="1" si="290"/>
        <v>45404.878290162036</v>
      </c>
      <c r="L4610" s="10">
        <f t="shared" ca="1" si="291"/>
        <v>45404.878290046297</v>
      </c>
    </row>
    <row r="4611" spans="6:12" x14ac:dyDescent="0.25">
      <c r="F4611" s="11" t="str">
        <f>IF(ISBLANK(D4611),"",(VLOOKUP(D4611,Cardápio!$A$2:$B$16,2,0))*E4611)</f>
        <v/>
      </c>
      <c r="H4611" s="7" t="str">
        <f t="shared" si="288"/>
        <v/>
      </c>
      <c r="I4611" s="7" t="str">
        <f>IF(AND(ISBLANK(D4611),ISBLANK(C4611)),"",((VLOOKUP(D4611,Cardápio!$A$2:$C$16,3,0))*E4611)+IF(B4611="iFood",F4611*0.27,(VLOOKUP(VENDAS!C4611,Bairros!$A$2:$B$90,2,0))))</f>
        <v/>
      </c>
      <c r="J4611" s="7" t="str">
        <f t="shared" si="289"/>
        <v/>
      </c>
      <c r="K4611" s="9">
        <f t="shared" ca="1" si="290"/>
        <v>45404.878290162036</v>
      </c>
      <c r="L4611" s="10">
        <f t="shared" ca="1" si="291"/>
        <v>45404.878290162036</v>
      </c>
    </row>
    <row r="4612" spans="6:12" x14ac:dyDescent="0.25">
      <c r="F4612" s="11" t="str">
        <f>IF(ISBLANK(D4612),"",(VLOOKUP(D4612,Cardápio!$A$2:$B$16,2,0))*E4612)</f>
        <v/>
      </c>
      <c r="H4612" s="7" t="str">
        <f t="shared" si="288"/>
        <v/>
      </c>
      <c r="I4612" s="7" t="str">
        <f>IF(AND(ISBLANK(D4612),ISBLANK(C4612)),"",((VLOOKUP(D4612,Cardápio!$A$2:$C$16,3,0))*E4612)+IF(B4612="iFood",F4612*0.27,(VLOOKUP(VENDAS!C4612,Bairros!$A$2:$B$90,2,0))))</f>
        <v/>
      </c>
      <c r="J4612" s="7" t="str">
        <f t="shared" si="289"/>
        <v/>
      </c>
      <c r="K4612" s="9">
        <f t="shared" ca="1" si="290"/>
        <v>45404.878290162036</v>
      </c>
      <c r="L4612" s="10">
        <f t="shared" ca="1" si="291"/>
        <v>45404.878290046297</v>
      </c>
    </row>
    <row r="4613" spans="6:12" x14ac:dyDescent="0.25">
      <c r="F4613" s="11" t="str">
        <f>IF(ISBLANK(D4613),"",(VLOOKUP(D4613,Cardápio!$A$2:$B$16,2,0))*E4613)</f>
        <v/>
      </c>
      <c r="H4613" s="7" t="str">
        <f t="shared" si="288"/>
        <v/>
      </c>
      <c r="I4613" s="7" t="str">
        <f>IF(AND(ISBLANK(D4613),ISBLANK(C4613)),"",((VLOOKUP(D4613,Cardápio!$A$2:$C$16,3,0))*E4613)+IF(B4613="iFood",F4613*0.27,(VLOOKUP(VENDAS!C4613,Bairros!$A$2:$B$90,2,0))))</f>
        <v/>
      </c>
      <c r="J4613" s="7" t="str">
        <f t="shared" si="289"/>
        <v/>
      </c>
      <c r="K4613" s="9">
        <f t="shared" ca="1" si="290"/>
        <v>45404.878290277775</v>
      </c>
      <c r="L4613" s="10">
        <f t="shared" ca="1" si="291"/>
        <v>45404.878290046297</v>
      </c>
    </row>
    <row r="4614" spans="6:12" x14ac:dyDescent="0.25">
      <c r="F4614" s="11" t="str">
        <f>IF(ISBLANK(D4614),"",(VLOOKUP(D4614,Cardápio!$A$2:$B$16,2,0))*E4614)</f>
        <v/>
      </c>
      <c r="H4614" s="7" t="str">
        <f t="shared" si="288"/>
        <v/>
      </c>
      <c r="I4614" s="7" t="str">
        <f>IF(AND(ISBLANK(D4614),ISBLANK(C4614)),"",((VLOOKUP(D4614,Cardápio!$A$2:$C$16,3,0))*E4614)+IF(B4614="iFood",F4614*0.27,(VLOOKUP(VENDAS!C4614,Bairros!$A$2:$B$90,2,0))))</f>
        <v/>
      </c>
      <c r="J4614" s="7" t="str">
        <f t="shared" si="289"/>
        <v/>
      </c>
      <c r="K4614" s="9">
        <f t="shared" ca="1" si="290"/>
        <v>45404.878290162036</v>
      </c>
      <c r="L4614" s="10">
        <f t="shared" ca="1" si="291"/>
        <v>45404.878290046297</v>
      </c>
    </row>
    <row r="4615" spans="6:12" x14ac:dyDescent="0.25">
      <c r="F4615" s="11" t="str">
        <f>IF(ISBLANK(D4615),"",(VLOOKUP(D4615,Cardápio!$A$2:$B$16,2,0))*E4615)</f>
        <v/>
      </c>
      <c r="H4615" s="7" t="str">
        <f t="shared" si="288"/>
        <v/>
      </c>
      <c r="I4615" s="7" t="str">
        <f>IF(AND(ISBLANK(D4615),ISBLANK(C4615)),"",((VLOOKUP(D4615,Cardápio!$A$2:$C$16,3,0))*E4615)+IF(B4615="iFood",F4615*0.27,(VLOOKUP(VENDAS!C4615,Bairros!$A$2:$B$90,2,0))))</f>
        <v/>
      </c>
      <c r="J4615" s="7" t="str">
        <f t="shared" si="289"/>
        <v/>
      </c>
      <c r="K4615" s="9">
        <f t="shared" ca="1" si="290"/>
        <v>45404.878290162036</v>
      </c>
      <c r="L4615" s="10">
        <f t="shared" ca="1" si="291"/>
        <v>45404.878290162036</v>
      </c>
    </row>
    <row r="4616" spans="6:12" x14ac:dyDescent="0.25">
      <c r="F4616" s="11" t="str">
        <f>IF(ISBLANK(D4616),"",(VLOOKUP(D4616,Cardápio!$A$2:$B$16,2,0))*E4616)</f>
        <v/>
      </c>
      <c r="H4616" s="7" t="str">
        <f t="shared" si="288"/>
        <v/>
      </c>
      <c r="I4616" s="7" t="str">
        <f>IF(AND(ISBLANK(D4616),ISBLANK(C4616)),"",((VLOOKUP(D4616,Cardápio!$A$2:$C$16,3,0))*E4616)+IF(B4616="iFood",F4616*0.27,(VLOOKUP(VENDAS!C4616,Bairros!$A$2:$B$90,2,0))))</f>
        <v/>
      </c>
      <c r="J4616" s="7" t="str">
        <f t="shared" si="289"/>
        <v/>
      </c>
      <c r="K4616" s="9">
        <f t="shared" ca="1" si="290"/>
        <v>45404.878290162036</v>
      </c>
      <c r="L4616" s="10">
        <f t="shared" ca="1" si="291"/>
        <v>45404.878290046297</v>
      </c>
    </row>
    <row r="4617" spans="6:12" x14ac:dyDescent="0.25">
      <c r="F4617" s="11" t="str">
        <f>IF(ISBLANK(D4617),"",(VLOOKUP(D4617,Cardápio!$A$2:$B$16,2,0))*E4617)</f>
        <v/>
      </c>
      <c r="H4617" s="7" t="str">
        <f t="shared" si="288"/>
        <v/>
      </c>
      <c r="I4617" s="7" t="str">
        <f>IF(AND(ISBLANK(D4617),ISBLANK(C4617)),"",((VLOOKUP(D4617,Cardápio!$A$2:$C$16,3,0))*E4617)+IF(B4617="iFood",F4617*0.27,(VLOOKUP(VENDAS!C4617,Bairros!$A$2:$B$90,2,0))))</f>
        <v/>
      </c>
      <c r="J4617" s="7" t="str">
        <f t="shared" si="289"/>
        <v/>
      </c>
      <c r="K4617" s="9">
        <f t="shared" ca="1" si="290"/>
        <v>45404.878290277775</v>
      </c>
      <c r="L4617" s="10">
        <f t="shared" ca="1" si="291"/>
        <v>45404.878290046297</v>
      </c>
    </row>
    <row r="4618" spans="6:12" x14ac:dyDescent="0.25">
      <c r="F4618" s="11" t="str">
        <f>IF(ISBLANK(D4618),"",(VLOOKUP(D4618,Cardápio!$A$2:$B$16,2,0))*E4618)</f>
        <v/>
      </c>
      <c r="H4618" s="7" t="str">
        <f t="shared" si="288"/>
        <v/>
      </c>
      <c r="I4618" s="7" t="str">
        <f>IF(AND(ISBLANK(D4618),ISBLANK(C4618)),"",((VLOOKUP(D4618,Cardápio!$A$2:$C$16,3,0))*E4618)+IF(B4618="iFood",F4618*0.27,(VLOOKUP(VENDAS!C4618,Bairros!$A$2:$B$90,2,0))))</f>
        <v/>
      </c>
      <c r="J4618" s="7" t="str">
        <f t="shared" si="289"/>
        <v/>
      </c>
      <c r="K4618" s="9">
        <f t="shared" ca="1" si="290"/>
        <v>45404.878290162036</v>
      </c>
      <c r="L4618" s="10">
        <f t="shared" ca="1" si="291"/>
        <v>45404.878290046297</v>
      </c>
    </row>
    <row r="4619" spans="6:12" x14ac:dyDescent="0.25">
      <c r="F4619" s="11" t="str">
        <f>IF(ISBLANK(D4619),"",(VLOOKUP(D4619,Cardápio!$A$2:$B$16,2,0))*E4619)</f>
        <v/>
      </c>
      <c r="H4619" s="7" t="str">
        <f t="shared" si="288"/>
        <v/>
      </c>
      <c r="I4619" s="7" t="str">
        <f>IF(AND(ISBLANK(D4619),ISBLANK(C4619)),"",((VLOOKUP(D4619,Cardápio!$A$2:$C$16,3,0))*E4619)+IF(B4619="iFood",F4619*0.27,(VLOOKUP(VENDAS!C4619,Bairros!$A$2:$B$90,2,0))))</f>
        <v/>
      </c>
      <c r="J4619" s="7" t="str">
        <f t="shared" si="289"/>
        <v/>
      </c>
      <c r="K4619" s="9">
        <f t="shared" ca="1" si="290"/>
        <v>45404.878290162036</v>
      </c>
      <c r="L4619" s="10">
        <f t="shared" ca="1" si="291"/>
        <v>45404.878290162036</v>
      </c>
    </row>
    <row r="4620" spans="6:12" x14ac:dyDescent="0.25">
      <c r="F4620" s="11" t="str">
        <f>IF(ISBLANK(D4620),"",(VLOOKUP(D4620,Cardápio!$A$2:$B$16,2,0))*E4620)</f>
        <v/>
      </c>
      <c r="H4620" s="7" t="str">
        <f t="shared" si="288"/>
        <v/>
      </c>
      <c r="I4620" s="7" t="str">
        <f>IF(AND(ISBLANK(D4620),ISBLANK(C4620)),"",((VLOOKUP(D4620,Cardápio!$A$2:$C$16,3,0))*E4620)+IF(B4620="iFood",F4620*0.27,(VLOOKUP(VENDAS!C4620,Bairros!$A$2:$B$90,2,0))))</f>
        <v/>
      </c>
      <c r="J4620" s="7" t="str">
        <f t="shared" si="289"/>
        <v/>
      </c>
      <c r="K4620" s="9">
        <f t="shared" ca="1" si="290"/>
        <v>45404.878290162036</v>
      </c>
      <c r="L4620" s="10">
        <f t="shared" ca="1" si="291"/>
        <v>45404.878290046297</v>
      </c>
    </row>
    <row r="4621" spans="6:12" x14ac:dyDescent="0.25">
      <c r="F4621" s="11" t="str">
        <f>IF(ISBLANK(D4621),"",(VLOOKUP(D4621,Cardápio!$A$2:$B$16,2,0))*E4621)</f>
        <v/>
      </c>
      <c r="H4621" s="7" t="str">
        <f t="shared" si="288"/>
        <v/>
      </c>
      <c r="I4621" s="7" t="str">
        <f>IF(AND(ISBLANK(D4621),ISBLANK(C4621)),"",((VLOOKUP(D4621,Cardápio!$A$2:$C$16,3,0))*E4621)+IF(B4621="iFood",F4621*0.27,(VLOOKUP(VENDAS!C4621,Bairros!$A$2:$B$90,2,0))))</f>
        <v/>
      </c>
      <c r="J4621" s="7" t="str">
        <f t="shared" si="289"/>
        <v/>
      </c>
      <c r="K4621" s="9">
        <f t="shared" ca="1" si="290"/>
        <v>45404.878290277775</v>
      </c>
      <c r="L4621" s="10">
        <f t="shared" ca="1" si="291"/>
        <v>45404.878290046297</v>
      </c>
    </row>
    <row r="4622" spans="6:12" x14ac:dyDescent="0.25">
      <c r="F4622" s="11" t="str">
        <f>IF(ISBLANK(D4622),"",(VLOOKUP(D4622,Cardápio!$A$2:$B$16,2,0))*E4622)</f>
        <v/>
      </c>
      <c r="H4622" s="7" t="str">
        <f t="shared" si="288"/>
        <v/>
      </c>
      <c r="I4622" s="7" t="str">
        <f>IF(AND(ISBLANK(D4622),ISBLANK(C4622)),"",((VLOOKUP(D4622,Cardápio!$A$2:$C$16,3,0))*E4622)+IF(B4622="iFood",F4622*0.27,(VLOOKUP(VENDAS!C4622,Bairros!$A$2:$B$90,2,0))))</f>
        <v/>
      </c>
      <c r="J4622" s="7" t="str">
        <f t="shared" si="289"/>
        <v/>
      </c>
      <c r="K4622" s="9">
        <f t="shared" ca="1" si="290"/>
        <v>45404.878290162036</v>
      </c>
      <c r="L4622" s="10">
        <f t="shared" ca="1" si="291"/>
        <v>45404.878290046297</v>
      </c>
    </row>
    <row r="4623" spans="6:12" x14ac:dyDescent="0.25">
      <c r="F4623" s="11" t="str">
        <f>IF(ISBLANK(D4623),"",(VLOOKUP(D4623,Cardápio!$A$2:$B$16,2,0))*E4623)</f>
        <v/>
      </c>
      <c r="H4623" s="7" t="str">
        <f t="shared" si="288"/>
        <v/>
      </c>
      <c r="I4623" s="7" t="str">
        <f>IF(AND(ISBLANK(D4623),ISBLANK(C4623)),"",((VLOOKUP(D4623,Cardápio!$A$2:$C$16,3,0))*E4623)+IF(B4623="iFood",F4623*0.27,(VLOOKUP(VENDAS!C4623,Bairros!$A$2:$B$90,2,0))))</f>
        <v/>
      </c>
      <c r="J4623" s="7" t="str">
        <f t="shared" si="289"/>
        <v/>
      </c>
      <c r="K4623" s="9">
        <f t="shared" ca="1" si="290"/>
        <v>45404.878290162036</v>
      </c>
      <c r="L4623" s="10">
        <f t="shared" ca="1" si="291"/>
        <v>45404.878290162036</v>
      </c>
    </row>
    <row r="4624" spans="6:12" x14ac:dyDescent="0.25">
      <c r="F4624" s="11" t="str">
        <f>IF(ISBLANK(D4624),"",(VLOOKUP(D4624,Cardápio!$A$2:$B$16,2,0))*E4624)</f>
        <v/>
      </c>
      <c r="H4624" s="7" t="str">
        <f t="shared" si="288"/>
        <v/>
      </c>
      <c r="I4624" s="7" t="str">
        <f>IF(AND(ISBLANK(D4624),ISBLANK(C4624)),"",((VLOOKUP(D4624,Cardápio!$A$2:$C$16,3,0))*E4624)+IF(B4624="iFood",F4624*0.27,(VLOOKUP(VENDAS!C4624,Bairros!$A$2:$B$90,2,0))))</f>
        <v/>
      </c>
      <c r="J4624" s="7" t="str">
        <f t="shared" si="289"/>
        <v/>
      </c>
      <c r="K4624" s="9">
        <f t="shared" ca="1" si="290"/>
        <v>45404.878290162036</v>
      </c>
      <c r="L4624" s="10">
        <f t="shared" ca="1" si="291"/>
        <v>45404.878290046297</v>
      </c>
    </row>
    <row r="4625" spans="6:12" x14ac:dyDescent="0.25">
      <c r="F4625" s="11" t="str">
        <f>IF(ISBLANK(D4625),"",(VLOOKUP(D4625,Cardápio!$A$2:$B$16,2,0))*E4625)</f>
        <v/>
      </c>
      <c r="H4625" s="7" t="str">
        <f t="shared" si="288"/>
        <v/>
      </c>
      <c r="I4625" s="7" t="str">
        <f>IF(AND(ISBLANK(D4625),ISBLANK(C4625)),"",((VLOOKUP(D4625,Cardápio!$A$2:$C$16,3,0))*E4625)+IF(B4625="iFood",F4625*0.27,(VLOOKUP(VENDAS!C4625,Bairros!$A$2:$B$90,2,0))))</f>
        <v/>
      </c>
      <c r="J4625" s="7" t="str">
        <f t="shared" si="289"/>
        <v/>
      </c>
      <c r="K4625" s="9">
        <f t="shared" ca="1" si="290"/>
        <v>45404.878290277775</v>
      </c>
      <c r="L4625" s="10">
        <f t="shared" ca="1" si="291"/>
        <v>45404.878290046297</v>
      </c>
    </row>
    <row r="4626" spans="6:12" x14ac:dyDescent="0.25">
      <c r="F4626" s="11" t="str">
        <f>IF(ISBLANK(D4626),"",(VLOOKUP(D4626,Cardápio!$A$2:$B$16,2,0))*E4626)</f>
        <v/>
      </c>
      <c r="H4626" s="7" t="str">
        <f t="shared" si="288"/>
        <v/>
      </c>
      <c r="I4626" s="7" t="str">
        <f>IF(AND(ISBLANK(D4626),ISBLANK(C4626)),"",((VLOOKUP(D4626,Cardápio!$A$2:$C$16,3,0))*E4626)+IF(B4626="iFood",F4626*0.27,(VLOOKUP(VENDAS!C4626,Bairros!$A$2:$B$90,2,0))))</f>
        <v/>
      </c>
      <c r="J4626" s="7" t="str">
        <f t="shared" si="289"/>
        <v/>
      </c>
      <c r="K4626" s="9">
        <f t="shared" ca="1" si="290"/>
        <v>45404.878290162036</v>
      </c>
      <c r="L4626" s="10">
        <f t="shared" ca="1" si="291"/>
        <v>45404.878290046297</v>
      </c>
    </row>
    <row r="4627" spans="6:12" x14ac:dyDescent="0.25">
      <c r="F4627" s="11" t="str">
        <f>IF(ISBLANK(D4627),"",(VLOOKUP(D4627,Cardápio!$A$2:$B$16,2,0))*E4627)</f>
        <v/>
      </c>
      <c r="H4627" s="7" t="str">
        <f t="shared" si="288"/>
        <v/>
      </c>
      <c r="I4627" s="7" t="str">
        <f>IF(AND(ISBLANK(D4627),ISBLANK(C4627)),"",((VLOOKUP(D4627,Cardápio!$A$2:$C$16,3,0))*E4627)+IF(B4627="iFood",F4627*0.27,(VLOOKUP(VENDAS!C4627,Bairros!$A$2:$B$90,2,0))))</f>
        <v/>
      </c>
      <c r="J4627" s="7" t="str">
        <f t="shared" si="289"/>
        <v/>
      </c>
      <c r="K4627" s="9">
        <f t="shared" ca="1" si="290"/>
        <v>45404.878290162036</v>
      </c>
      <c r="L4627" s="10">
        <f t="shared" ca="1" si="291"/>
        <v>45404.878290162036</v>
      </c>
    </row>
    <row r="4628" spans="6:12" x14ac:dyDescent="0.25">
      <c r="F4628" s="11" t="str">
        <f>IF(ISBLANK(D4628),"",(VLOOKUP(D4628,Cardápio!$A$2:$B$16,2,0))*E4628)</f>
        <v/>
      </c>
      <c r="H4628" s="7" t="str">
        <f t="shared" si="288"/>
        <v/>
      </c>
      <c r="I4628" s="7" t="str">
        <f>IF(AND(ISBLANK(D4628),ISBLANK(C4628)),"",((VLOOKUP(D4628,Cardápio!$A$2:$C$16,3,0))*E4628)+IF(B4628="iFood",F4628*0.27,(VLOOKUP(VENDAS!C4628,Bairros!$A$2:$B$90,2,0))))</f>
        <v/>
      </c>
      <c r="J4628" s="7" t="str">
        <f t="shared" si="289"/>
        <v/>
      </c>
      <c r="K4628" s="9">
        <f t="shared" ca="1" si="290"/>
        <v>45404.878290162036</v>
      </c>
      <c r="L4628" s="10">
        <f t="shared" ca="1" si="291"/>
        <v>45404.878290046297</v>
      </c>
    </row>
    <row r="4629" spans="6:12" x14ac:dyDescent="0.25">
      <c r="F4629" s="11" t="str">
        <f>IF(ISBLANK(D4629),"",(VLOOKUP(D4629,Cardápio!$A$2:$B$16,2,0))*E4629)</f>
        <v/>
      </c>
      <c r="H4629" s="7" t="str">
        <f t="shared" si="288"/>
        <v/>
      </c>
      <c r="I4629" s="7" t="str">
        <f>IF(AND(ISBLANK(D4629),ISBLANK(C4629)),"",((VLOOKUP(D4629,Cardápio!$A$2:$C$16,3,0))*E4629)+IF(B4629="iFood",F4629*0.27,(VLOOKUP(VENDAS!C4629,Bairros!$A$2:$B$90,2,0))))</f>
        <v/>
      </c>
      <c r="J4629" s="7" t="str">
        <f t="shared" si="289"/>
        <v/>
      </c>
      <c r="K4629" s="9">
        <f t="shared" ca="1" si="290"/>
        <v>45404.878290277775</v>
      </c>
      <c r="L4629" s="10">
        <f t="shared" ca="1" si="291"/>
        <v>45404.878290046297</v>
      </c>
    </row>
    <row r="4630" spans="6:12" x14ac:dyDescent="0.25">
      <c r="F4630" s="11" t="str">
        <f>IF(ISBLANK(D4630),"",(VLOOKUP(D4630,Cardápio!$A$2:$B$16,2,0))*E4630)</f>
        <v/>
      </c>
      <c r="H4630" s="7" t="str">
        <f t="shared" si="288"/>
        <v/>
      </c>
      <c r="I4630" s="7" t="str">
        <f>IF(AND(ISBLANK(D4630),ISBLANK(C4630)),"",((VLOOKUP(D4630,Cardápio!$A$2:$C$16,3,0))*E4630)+IF(B4630="iFood",F4630*0.27,(VLOOKUP(VENDAS!C4630,Bairros!$A$2:$B$90,2,0))))</f>
        <v/>
      </c>
      <c r="J4630" s="7" t="str">
        <f t="shared" si="289"/>
        <v/>
      </c>
      <c r="K4630" s="9">
        <f t="shared" ca="1" si="290"/>
        <v>45404.878290162036</v>
      </c>
      <c r="L4630" s="10">
        <f t="shared" ca="1" si="291"/>
        <v>45404.878290046297</v>
      </c>
    </row>
    <row r="4631" spans="6:12" x14ac:dyDescent="0.25">
      <c r="F4631" s="11" t="str">
        <f>IF(ISBLANK(D4631),"",(VLOOKUP(D4631,Cardápio!$A$2:$B$16,2,0))*E4631)</f>
        <v/>
      </c>
      <c r="H4631" s="7" t="str">
        <f t="shared" si="288"/>
        <v/>
      </c>
      <c r="I4631" s="7" t="str">
        <f>IF(AND(ISBLANK(D4631),ISBLANK(C4631)),"",((VLOOKUP(D4631,Cardápio!$A$2:$C$16,3,0))*E4631)+IF(B4631="iFood",F4631*0.27,(VLOOKUP(VENDAS!C4631,Bairros!$A$2:$B$90,2,0))))</f>
        <v/>
      </c>
      <c r="J4631" s="7" t="str">
        <f t="shared" si="289"/>
        <v/>
      </c>
      <c r="K4631" s="9">
        <f t="shared" ca="1" si="290"/>
        <v>45404.878290162036</v>
      </c>
      <c r="L4631" s="10">
        <f t="shared" ca="1" si="291"/>
        <v>45404.878290162036</v>
      </c>
    </row>
    <row r="4632" spans="6:12" x14ac:dyDescent="0.25">
      <c r="F4632" s="11" t="str">
        <f>IF(ISBLANK(D4632),"",(VLOOKUP(D4632,Cardápio!$A$2:$B$16,2,0))*E4632)</f>
        <v/>
      </c>
      <c r="H4632" s="7" t="str">
        <f t="shared" si="288"/>
        <v/>
      </c>
      <c r="I4632" s="7" t="str">
        <f>IF(AND(ISBLANK(D4632),ISBLANK(C4632)),"",((VLOOKUP(D4632,Cardápio!$A$2:$C$16,3,0))*E4632)+IF(B4632="iFood",F4632*0.27,(VLOOKUP(VENDAS!C4632,Bairros!$A$2:$B$90,2,0))))</f>
        <v/>
      </c>
      <c r="J4632" s="7" t="str">
        <f t="shared" si="289"/>
        <v/>
      </c>
      <c r="K4632" s="9">
        <f t="shared" ca="1" si="290"/>
        <v>45404.878290162036</v>
      </c>
      <c r="L4632" s="10">
        <f t="shared" ca="1" si="291"/>
        <v>45404.878290046297</v>
      </c>
    </row>
    <row r="4633" spans="6:12" x14ac:dyDescent="0.25">
      <c r="F4633" s="11" t="str">
        <f>IF(ISBLANK(D4633),"",(VLOOKUP(D4633,Cardápio!$A$2:$B$16,2,0))*E4633)</f>
        <v/>
      </c>
      <c r="H4633" s="7" t="str">
        <f t="shared" si="288"/>
        <v/>
      </c>
      <c r="I4633" s="7" t="str">
        <f>IF(AND(ISBLANK(D4633),ISBLANK(C4633)),"",((VLOOKUP(D4633,Cardápio!$A$2:$C$16,3,0))*E4633)+IF(B4633="iFood",F4633*0.27,(VLOOKUP(VENDAS!C4633,Bairros!$A$2:$B$90,2,0))))</f>
        <v/>
      </c>
      <c r="J4633" s="7" t="str">
        <f t="shared" si="289"/>
        <v/>
      </c>
      <c r="K4633" s="9">
        <f t="shared" ca="1" si="290"/>
        <v>45404.878290277775</v>
      </c>
      <c r="L4633" s="10">
        <f t="shared" ca="1" si="291"/>
        <v>45404.878290046297</v>
      </c>
    </row>
    <row r="4634" spans="6:12" x14ac:dyDescent="0.25">
      <c r="F4634" s="11" t="str">
        <f>IF(ISBLANK(D4634),"",(VLOOKUP(D4634,Cardápio!$A$2:$B$16,2,0))*E4634)</f>
        <v/>
      </c>
      <c r="H4634" s="7" t="str">
        <f t="shared" si="288"/>
        <v/>
      </c>
      <c r="I4634" s="7" t="str">
        <f>IF(AND(ISBLANK(D4634),ISBLANK(C4634)),"",((VLOOKUP(D4634,Cardápio!$A$2:$C$16,3,0))*E4634)+IF(B4634="iFood",F4634*0.27,(VLOOKUP(VENDAS!C4634,Bairros!$A$2:$B$90,2,0))))</f>
        <v/>
      </c>
      <c r="J4634" s="7" t="str">
        <f t="shared" si="289"/>
        <v/>
      </c>
      <c r="K4634" s="9">
        <f t="shared" ca="1" si="290"/>
        <v>45404.878290162036</v>
      </c>
      <c r="L4634" s="10">
        <f t="shared" ca="1" si="291"/>
        <v>45404.878290046297</v>
      </c>
    </row>
    <row r="4635" spans="6:12" x14ac:dyDescent="0.25">
      <c r="F4635" s="11" t="str">
        <f>IF(ISBLANK(D4635),"",(VLOOKUP(D4635,Cardápio!$A$2:$B$16,2,0))*E4635)</f>
        <v/>
      </c>
      <c r="H4635" s="7" t="str">
        <f t="shared" si="288"/>
        <v/>
      </c>
      <c r="I4635" s="7" t="str">
        <f>IF(AND(ISBLANK(D4635),ISBLANK(C4635)),"",((VLOOKUP(D4635,Cardápio!$A$2:$C$16,3,0))*E4635)+IF(B4635="iFood",F4635*0.27,(VLOOKUP(VENDAS!C4635,Bairros!$A$2:$B$90,2,0))))</f>
        <v/>
      </c>
      <c r="J4635" s="7" t="str">
        <f t="shared" si="289"/>
        <v/>
      </c>
      <c r="K4635" s="9">
        <f t="shared" ca="1" si="290"/>
        <v>45404.878290162036</v>
      </c>
      <c r="L4635" s="10">
        <f t="shared" ca="1" si="291"/>
        <v>45404.878290162036</v>
      </c>
    </row>
    <row r="4636" spans="6:12" x14ac:dyDescent="0.25">
      <c r="F4636" s="11" t="str">
        <f>IF(ISBLANK(D4636),"",(VLOOKUP(D4636,Cardápio!$A$2:$B$16,2,0))*E4636)</f>
        <v/>
      </c>
      <c r="H4636" s="7" t="str">
        <f t="shared" si="288"/>
        <v/>
      </c>
      <c r="I4636" s="7" t="str">
        <f>IF(AND(ISBLANK(D4636),ISBLANK(C4636)),"",((VLOOKUP(D4636,Cardápio!$A$2:$C$16,3,0))*E4636)+IF(B4636="iFood",F4636*0.27,(VLOOKUP(VENDAS!C4636,Bairros!$A$2:$B$90,2,0))))</f>
        <v/>
      </c>
      <c r="J4636" s="7" t="str">
        <f t="shared" si="289"/>
        <v/>
      </c>
      <c r="K4636" s="9">
        <f t="shared" ca="1" si="290"/>
        <v>45404.878290162036</v>
      </c>
      <c r="L4636" s="10">
        <f t="shared" ca="1" si="291"/>
        <v>45404.878290046297</v>
      </c>
    </row>
    <row r="4637" spans="6:12" x14ac:dyDescent="0.25">
      <c r="F4637" s="11" t="str">
        <f>IF(ISBLANK(D4637),"",(VLOOKUP(D4637,Cardápio!$A$2:$B$16,2,0))*E4637)</f>
        <v/>
      </c>
      <c r="H4637" s="7" t="str">
        <f t="shared" si="288"/>
        <v/>
      </c>
      <c r="I4637" s="7" t="str">
        <f>IF(AND(ISBLANK(D4637),ISBLANK(C4637)),"",((VLOOKUP(D4637,Cardápio!$A$2:$C$16,3,0))*E4637)+IF(B4637="iFood",F4637*0.27,(VLOOKUP(VENDAS!C4637,Bairros!$A$2:$B$90,2,0))))</f>
        <v/>
      </c>
      <c r="J4637" s="7" t="str">
        <f t="shared" si="289"/>
        <v/>
      </c>
      <c r="K4637" s="9">
        <f t="shared" ca="1" si="290"/>
        <v>45404.878290277775</v>
      </c>
      <c r="L4637" s="10">
        <f t="shared" ca="1" si="291"/>
        <v>45404.878290046297</v>
      </c>
    </row>
    <row r="4638" spans="6:12" x14ac:dyDescent="0.25">
      <c r="F4638" s="11" t="str">
        <f>IF(ISBLANK(D4638),"",(VLOOKUP(D4638,Cardápio!$A$2:$B$16,2,0))*E4638)</f>
        <v/>
      </c>
      <c r="H4638" s="7" t="str">
        <f t="shared" si="288"/>
        <v/>
      </c>
      <c r="I4638" s="7" t="str">
        <f>IF(AND(ISBLANK(D4638),ISBLANK(C4638)),"",((VLOOKUP(D4638,Cardápio!$A$2:$C$16,3,0))*E4638)+IF(B4638="iFood",F4638*0.27,(VLOOKUP(VENDAS!C4638,Bairros!$A$2:$B$90,2,0))))</f>
        <v/>
      </c>
      <c r="J4638" s="7" t="str">
        <f t="shared" si="289"/>
        <v/>
      </c>
      <c r="K4638" s="9">
        <f t="shared" ca="1" si="290"/>
        <v>45404.878290162036</v>
      </c>
      <c r="L4638" s="10">
        <f t="shared" ca="1" si="291"/>
        <v>45404.878290046297</v>
      </c>
    </row>
    <row r="4639" spans="6:12" x14ac:dyDescent="0.25">
      <c r="F4639" s="11" t="str">
        <f>IF(ISBLANK(D4639),"",(VLOOKUP(D4639,Cardápio!$A$2:$B$16,2,0))*E4639)</f>
        <v/>
      </c>
      <c r="H4639" s="7" t="str">
        <f t="shared" si="288"/>
        <v/>
      </c>
      <c r="I4639" s="7" t="str">
        <f>IF(AND(ISBLANK(D4639),ISBLANK(C4639)),"",((VLOOKUP(D4639,Cardápio!$A$2:$C$16,3,0))*E4639)+IF(B4639="iFood",F4639*0.27,(VLOOKUP(VENDAS!C4639,Bairros!$A$2:$B$90,2,0))))</f>
        <v/>
      </c>
      <c r="J4639" s="7" t="str">
        <f t="shared" si="289"/>
        <v/>
      </c>
      <c r="K4639" s="9">
        <f t="shared" ca="1" si="290"/>
        <v>45404.878290162036</v>
      </c>
      <c r="L4639" s="10">
        <f t="shared" ca="1" si="291"/>
        <v>45404.878290162036</v>
      </c>
    </row>
    <row r="4640" spans="6:12" x14ac:dyDescent="0.25">
      <c r="F4640" s="11" t="str">
        <f>IF(ISBLANK(D4640),"",(VLOOKUP(D4640,Cardápio!$A$2:$B$16,2,0))*E4640)</f>
        <v/>
      </c>
      <c r="H4640" s="7" t="str">
        <f t="shared" si="288"/>
        <v/>
      </c>
      <c r="I4640" s="7" t="str">
        <f>IF(AND(ISBLANK(D4640),ISBLANK(C4640)),"",((VLOOKUP(D4640,Cardápio!$A$2:$C$16,3,0))*E4640)+IF(B4640="iFood",F4640*0.27,(VLOOKUP(VENDAS!C4640,Bairros!$A$2:$B$90,2,0))))</f>
        <v/>
      </c>
      <c r="J4640" s="7" t="str">
        <f t="shared" si="289"/>
        <v/>
      </c>
      <c r="K4640" s="9">
        <f t="shared" ca="1" si="290"/>
        <v>45404.878290162036</v>
      </c>
      <c r="L4640" s="10">
        <f t="shared" ca="1" si="291"/>
        <v>45404.878290046297</v>
      </c>
    </row>
    <row r="4641" spans="6:12" x14ac:dyDescent="0.25">
      <c r="F4641" s="11" t="str">
        <f>IF(ISBLANK(D4641),"",(VLOOKUP(D4641,Cardápio!$A$2:$B$16,2,0))*E4641)</f>
        <v/>
      </c>
      <c r="H4641" s="7" t="str">
        <f t="shared" si="288"/>
        <v/>
      </c>
      <c r="I4641" s="7" t="str">
        <f>IF(AND(ISBLANK(D4641),ISBLANK(C4641)),"",((VLOOKUP(D4641,Cardápio!$A$2:$C$16,3,0))*E4641)+IF(B4641="iFood",F4641*0.27,(VLOOKUP(VENDAS!C4641,Bairros!$A$2:$B$90,2,0))))</f>
        <v/>
      </c>
      <c r="J4641" s="7" t="str">
        <f t="shared" si="289"/>
        <v/>
      </c>
      <c r="K4641" s="9">
        <f t="shared" ca="1" si="290"/>
        <v>45404.878290277775</v>
      </c>
      <c r="L4641" s="10">
        <f t="shared" ca="1" si="291"/>
        <v>45404.878290046297</v>
      </c>
    </row>
    <row r="4642" spans="6:12" x14ac:dyDescent="0.25">
      <c r="F4642" s="11" t="str">
        <f>IF(ISBLANK(D4642),"",(VLOOKUP(D4642,Cardápio!$A$2:$B$16,2,0))*E4642)</f>
        <v/>
      </c>
      <c r="H4642" s="7" t="str">
        <f t="shared" si="288"/>
        <v/>
      </c>
      <c r="I4642" s="7" t="str">
        <f>IF(AND(ISBLANK(D4642),ISBLANK(C4642)),"",((VLOOKUP(D4642,Cardápio!$A$2:$C$16,3,0))*E4642)+IF(B4642="iFood",F4642*0.27,(VLOOKUP(VENDAS!C4642,Bairros!$A$2:$B$90,2,0))))</f>
        <v/>
      </c>
      <c r="J4642" s="7" t="str">
        <f t="shared" si="289"/>
        <v/>
      </c>
      <c r="K4642" s="9">
        <f t="shared" ca="1" si="290"/>
        <v>45404.878290162036</v>
      </c>
      <c r="L4642" s="10">
        <f t="shared" ca="1" si="291"/>
        <v>45404.878290046297</v>
      </c>
    </row>
    <row r="4643" spans="6:12" x14ac:dyDescent="0.25">
      <c r="F4643" s="11" t="str">
        <f>IF(ISBLANK(D4643),"",(VLOOKUP(D4643,Cardápio!$A$2:$B$16,2,0))*E4643)</f>
        <v/>
      </c>
      <c r="H4643" s="7" t="str">
        <f t="shared" si="288"/>
        <v/>
      </c>
      <c r="I4643" s="7" t="str">
        <f>IF(AND(ISBLANK(D4643),ISBLANK(C4643)),"",((VLOOKUP(D4643,Cardápio!$A$2:$C$16,3,0))*E4643)+IF(B4643="iFood",F4643*0.27,(VLOOKUP(VENDAS!C4643,Bairros!$A$2:$B$90,2,0))))</f>
        <v/>
      </c>
      <c r="J4643" s="7" t="str">
        <f t="shared" si="289"/>
        <v/>
      </c>
      <c r="K4643" s="9">
        <f t="shared" ca="1" si="290"/>
        <v>45404.878290162036</v>
      </c>
      <c r="L4643" s="10">
        <f t="shared" ca="1" si="291"/>
        <v>45404.878290162036</v>
      </c>
    </row>
    <row r="4644" spans="6:12" x14ac:dyDescent="0.25">
      <c r="F4644" s="11" t="str">
        <f>IF(ISBLANK(D4644),"",(VLOOKUP(D4644,Cardápio!$A$2:$B$16,2,0))*E4644)</f>
        <v/>
      </c>
      <c r="H4644" s="7" t="str">
        <f t="shared" si="288"/>
        <v/>
      </c>
      <c r="I4644" s="7" t="str">
        <f>IF(AND(ISBLANK(D4644),ISBLANK(C4644)),"",((VLOOKUP(D4644,Cardápio!$A$2:$C$16,3,0))*E4644)+IF(B4644="iFood",F4644*0.27,(VLOOKUP(VENDAS!C4644,Bairros!$A$2:$B$90,2,0))))</f>
        <v/>
      </c>
      <c r="J4644" s="7" t="str">
        <f t="shared" si="289"/>
        <v/>
      </c>
      <c r="K4644" s="9">
        <f t="shared" ca="1" si="290"/>
        <v>45404.878290162036</v>
      </c>
      <c r="L4644" s="10">
        <f t="shared" ca="1" si="291"/>
        <v>45404.878290046297</v>
      </c>
    </row>
    <row r="4645" spans="6:12" x14ac:dyDescent="0.25">
      <c r="F4645" s="11" t="str">
        <f>IF(ISBLANK(D4645),"",(VLOOKUP(D4645,Cardápio!$A$2:$B$16,2,0))*E4645)</f>
        <v/>
      </c>
      <c r="H4645" s="7" t="str">
        <f t="shared" si="288"/>
        <v/>
      </c>
      <c r="I4645" s="7" t="str">
        <f>IF(AND(ISBLANK(D4645),ISBLANK(C4645)),"",((VLOOKUP(D4645,Cardápio!$A$2:$C$16,3,0))*E4645)+IF(B4645="iFood",F4645*0.27,(VLOOKUP(VENDAS!C4645,Bairros!$A$2:$B$90,2,0))))</f>
        <v/>
      </c>
      <c r="J4645" s="7" t="str">
        <f t="shared" si="289"/>
        <v/>
      </c>
      <c r="K4645" s="9">
        <f t="shared" ca="1" si="290"/>
        <v>45404.878290277775</v>
      </c>
      <c r="L4645" s="10">
        <f t="shared" ca="1" si="291"/>
        <v>45404.878290046297</v>
      </c>
    </row>
    <row r="4646" spans="6:12" x14ac:dyDescent="0.25">
      <c r="F4646" s="11" t="str">
        <f>IF(ISBLANK(D4646),"",(VLOOKUP(D4646,Cardápio!$A$2:$B$16,2,0))*E4646)</f>
        <v/>
      </c>
      <c r="H4646" s="7" t="str">
        <f t="shared" si="288"/>
        <v/>
      </c>
      <c r="I4646" s="7" t="str">
        <f>IF(AND(ISBLANK(D4646),ISBLANK(C4646)),"",((VLOOKUP(D4646,Cardápio!$A$2:$C$16,3,0))*E4646)+IF(B4646="iFood",F4646*0.27,(VLOOKUP(VENDAS!C4646,Bairros!$A$2:$B$90,2,0))))</f>
        <v/>
      </c>
      <c r="J4646" s="7" t="str">
        <f t="shared" si="289"/>
        <v/>
      </c>
      <c r="K4646" s="9">
        <f t="shared" ca="1" si="290"/>
        <v>45404.878290162036</v>
      </c>
      <c r="L4646" s="10">
        <f t="shared" ca="1" si="291"/>
        <v>45404.878290046297</v>
      </c>
    </row>
    <row r="4647" spans="6:12" x14ac:dyDescent="0.25">
      <c r="F4647" s="11" t="str">
        <f>IF(ISBLANK(D4647),"",(VLOOKUP(D4647,Cardápio!$A$2:$B$16,2,0))*E4647)</f>
        <v/>
      </c>
      <c r="H4647" s="7" t="str">
        <f t="shared" si="288"/>
        <v/>
      </c>
      <c r="I4647" s="7" t="str">
        <f>IF(AND(ISBLANK(D4647),ISBLANK(C4647)),"",((VLOOKUP(D4647,Cardápio!$A$2:$C$16,3,0))*E4647)+IF(B4647="iFood",F4647*0.27,(VLOOKUP(VENDAS!C4647,Bairros!$A$2:$B$90,2,0))))</f>
        <v/>
      </c>
      <c r="J4647" s="7" t="str">
        <f t="shared" si="289"/>
        <v/>
      </c>
      <c r="K4647" s="9">
        <f t="shared" ca="1" si="290"/>
        <v>45404.878290162036</v>
      </c>
      <c r="L4647" s="10">
        <f t="shared" ca="1" si="291"/>
        <v>45404.878290162036</v>
      </c>
    </row>
    <row r="4648" spans="6:12" x14ac:dyDescent="0.25">
      <c r="F4648" s="11" t="str">
        <f>IF(ISBLANK(D4648),"",(VLOOKUP(D4648,Cardápio!$A$2:$B$16,2,0))*E4648)</f>
        <v/>
      </c>
      <c r="H4648" s="7" t="str">
        <f t="shared" si="288"/>
        <v/>
      </c>
      <c r="I4648" s="7" t="str">
        <f>IF(AND(ISBLANK(D4648),ISBLANK(C4648)),"",((VLOOKUP(D4648,Cardápio!$A$2:$C$16,3,0))*E4648)+IF(B4648="iFood",F4648*0.27,(VLOOKUP(VENDAS!C4648,Bairros!$A$2:$B$90,2,0))))</f>
        <v/>
      </c>
      <c r="J4648" s="7" t="str">
        <f t="shared" si="289"/>
        <v/>
      </c>
      <c r="K4648" s="9">
        <f t="shared" ca="1" si="290"/>
        <v>45404.878290162036</v>
      </c>
      <c r="L4648" s="10">
        <f t="shared" ca="1" si="291"/>
        <v>45404.878290046297</v>
      </c>
    </row>
    <row r="4649" spans="6:12" x14ac:dyDescent="0.25">
      <c r="F4649" s="11" t="str">
        <f>IF(ISBLANK(D4649),"",(VLOOKUP(D4649,Cardápio!$A$2:$B$16,2,0))*E4649)</f>
        <v/>
      </c>
      <c r="H4649" s="7" t="str">
        <f t="shared" si="288"/>
        <v/>
      </c>
      <c r="I4649" s="7" t="str">
        <f>IF(AND(ISBLANK(D4649),ISBLANK(C4649)),"",((VLOOKUP(D4649,Cardápio!$A$2:$C$16,3,0))*E4649)+IF(B4649="iFood",F4649*0.27,(VLOOKUP(VENDAS!C4649,Bairros!$A$2:$B$90,2,0))))</f>
        <v/>
      </c>
      <c r="J4649" s="7" t="str">
        <f t="shared" si="289"/>
        <v/>
      </c>
      <c r="K4649" s="9">
        <f t="shared" ca="1" si="290"/>
        <v>45404.878290277775</v>
      </c>
      <c r="L4649" s="10">
        <f t="shared" ca="1" si="291"/>
        <v>45404.878290046297</v>
      </c>
    </row>
    <row r="4650" spans="6:12" x14ac:dyDescent="0.25">
      <c r="F4650" s="11" t="str">
        <f>IF(ISBLANK(D4650),"",(VLOOKUP(D4650,Cardápio!$A$2:$B$16,2,0))*E4650)</f>
        <v/>
      </c>
      <c r="H4650" s="7" t="str">
        <f t="shared" si="288"/>
        <v/>
      </c>
      <c r="I4650" s="7" t="str">
        <f>IF(AND(ISBLANK(D4650),ISBLANK(C4650)),"",((VLOOKUP(D4650,Cardápio!$A$2:$C$16,3,0))*E4650)+IF(B4650="iFood",F4650*0.27,(VLOOKUP(VENDAS!C4650,Bairros!$A$2:$B$90,2,0))))</f>
        <v/>
      </c>
      <c r="J4650" s="7" t="str">
        <f t="shared" si="289"/>
        <v/>
      </c>
      <c r="K4650" s="9">
        <f t="shared" ca="1" si="290"/>
        <v>45404.878290162036</v>
      </c>
      <c r="L4650" s="10">
        <f t="shared" ca="1" si="291"/>
        <v>45404.878290046297</v>
      </c>
    </row>
    <row r="4651" spans="6:12" x14ac:dyDescent="0.25">
      <c r="F4651" s="11" t="str">
        <f>IF(ISBLANK(D4651),"",(VLOOKUP(D4651,Cardápio!$A$2:$B$16,2,0))*E4651)</f>
        <v/>
      </c>
      <c r="H4651" s="7" t="str">
        <f t="shared" si="288"/>
        <v/>
      </c>
      <c r="I4651" s="7" t="str">
        <f>IF(AND(ISBLANK(D4651),ISBLANK(C4651)),"",((VLOOKUP(D4651,Cardápio!$A$2:$C$16,3,0))*E4651)+IF(B4651="iFood",F4651*0.27,(VLOOKUP(VENDAS!C4651,Bairros!$A$2:$B$90,2,0))))</f>
        <v/>
      </c>
      <c r="J4651" s="7" t="str">
        <f t="shared" si="289"/>
        <v/>
      </c>
      <c r="K4651" s="9">
        <f t="shared" ca="1" si="290"/>
        <v>45404.878290162036</v>
      </c>
      <c r="L4651" s="10">
        <f t="shared" ca="1" si="291"/>
        <v>45404.878290162036</v>
      </c>
    </row>
    <row r="4652" spans="6:12" x14ac:dyDescent="0.25">
      <c r="F4652" s="11" t="str">
        <f>IF(ISBLANK(D4652),"",(VLOOKUP(D4652,Cardápio!$A$2:$B$16,2,0))*E4652)</f>
        <v/>
      </c>
      <c r="H4652" s="7" t="str">
        <f t="shared" si="288"/>
        <v/>
      </c>
      <c r="I4652" s="7" t="str">
        <f>IF(AND(ISBLANK(D4652),ISBLANK(C4652)),"",((VLOOKUP(D4652,Cardápio!$A$2:$C$16,3,0))*E4652)+IF(B4652="iFood",F4652*0.27,(VLOOKUP(VENDAS!C4652,Bairros!$A$2:$B$90,2,0))))</f>
        <v/>
      </c>
      <c r="J4652" s="7" t="str">
        <f t="shared" si="289"/>
        <v/>
      </c>
      <c r="K4652" s="9">
        <f t="shared" ca="1" si="290"/>
        <v>45404.878290162036</v>
      </c>
      <c r="L4652" s="10">
        <f t="shared" ca="1" si="291"/>
        <v>45404.878290046297</v>
      </c>
    </row>
    <row r="4653" spans="6:12" x14ac:dyDescent="0.25">
      <c r="F4653" s="11" t="str">
        <f>IF(ISBLANK(D4653),"",(VLOOKUP(D4653,Cardápio!$A$2:$B$16,2,0))*E4653)</f>
        <v/>
      </c>
      <c r="H4653" s="7" t="str">
        <f t="shared" si="288"/>
        <v/>
      </c>
      <c r="I4653" s="7" t="str">
        <f>IF(AND(ISBLANK(D4653),ISBLANK(C4653)),"",((VLOOKUP(D4653,Cardápio!$A$2:$C$16,3,0))*E4653)+IF(B4653="iFood",F4653*0.27,(VLOOKUP(VENDAS!C4653,Bairros!$A$2:$B$90,2,0))))</f>
        <v/>
      </c>
      <c r="J4653" s="7" t="str">
        <f t="shared" si="289"/>
        <v/>
      </c>
      <c r="K4653" s="9">
        <f t="shared" ca="1" si="290"/>
        <v>45404.878290277775</v>
      </c>
      <c r="L4653" s="10">
        <f t="shared" ca="1" si="291"/>
        <v>45404.878290046297</v>
      </c>
    </row>
    <row r="4654" spans="6:12" x14ac:dyDescent="0.25">
      <c r="F4654" s="11" t="str">
        <f>IF(ISBLANK(D4654),"",(VLOOKUP(D4654,Cardápio!$A$2:$B$16,2,0))*E4654)</f>
        <v/>
      </c>
      <c r="H4654" s="7" t="str">
        <f t="shared" si="288"/>
        <v/>
      </c>
      <c r="I4654" s="7" t="str">
        <f>IF(AND(ISBLANK(D4654),ISBLANK(C4654)),"",((VLOOKUP(D4654,Cardápio!$A$2:$C$16,3,0))*E4654)+IF(B4654="iFood",F4654*0.27,(VLOOKUP(VENDAS!C4654,Bairros!$A$2:$B$90,2,0))))</f>
        <v/>
      </c>
      <c r="J4654" s="7" t="str">
        <f t="shared" si="289"/>
        <v/>
      </c>
      <c r="K4654" s="9">
        <f t="shared" ca="1" si="290"/>
        <v>45404.878290162036</v>
      </c>
      <c r="L4654" s="10">
        <f t="shared" ca="1" si="291"/>
        <v>45404.878290046297</v>
      </c>
    </row>
    <row r="4655" spans="6:12" x14ac:dyDescent="0.25">
      <c r="F4655" s="11" t="str">
        <f>IF(ISBLANK(D4655),"",(VLOOKUP(D4655,Cardápio!$A$2:$B$16,2,0))*E4655)</f>
        <v/>
      </c>
      <c r="H4655" s="7" t="str">
        <f t="shared" si="288"/>
        <v/>
      </c>
      <c r="I4655" s="7" t="str">
        <f>IF(AND(ISBLANK(D4655),ISBLANK(C4655)),"",((VLOOKUP(D4655,Cardápio!$A$2:$C$16,3,0))*E4655)+IF(B4655="iFood",F4655*0.27,(VLOOKUP(VENDAS!C4655,Bairros!$A$2:$B$90,2,0))))</f>
        <v/>
      </c>
      <c r="J4655" s="7" t="str">
        <f t="shared" si="289"/>
        <v/>
      </c>
      <c r="K4655" s="9">
        <f t="shared" ca="1" si="290"/>
        <v>45404.878290162036</v>
      </c>
      <c r="L4655" s="10">
        <f t="shared" ca="1" si="291"/>
        <v>45404.878290162036</v>
      </c>
    </row>
    <row r="4656" spans="6:12" x14ac:dyDescent="0.25">
      <c r="F4656" s="11" t="str">
        <f>IF(ISBLANK(D4656),"",(VLOOKUP(D4656,Cardápio!$A$2:$B$16,2,0))*E4656)</f>
        <v/>
      </c>
      <c r="H4656" s="7" t="str">
        <f t="shared" si="288"/>
        <v/>
      </c>
      <c r="I4656" s="7" t="str">
        <f>IF(AND(ISBLANK(D4656),ISBLANK(C4656)),"",((VLOOKUP(D4656,Cardápio!$A$2:$C$16,3,0))*E4656)+IF(B4656="iFood",F4656*0.27,(VLOOKUP(VENDAS!C4656,Bairros!$A$2:$B$90,2,0))))</f>
        <v/>
      </c>
      <c r="J4656" s="7" t="str">
        <f t="shared" si="289"/>
        <v/>
      </c>
      <c r="K4656" s="9">
        <f t="shared" ca="1" si="290"/>
        <v>45404.878290162036</v>
      </c>
      <c r="L4656" s="10">
        <f t="shared" ca="1" si="291"/>
        <v>45404.878290046297</v>
      </c>
    </row>
    <row r="4657" spans="6:12" x14ac:dyDescent="0.25">
      <c r="F4657" s="11" t="str">
        <f>IF(ISBLANK(D4657),"",(VLOOKUP(D4657,Cardápio!$A$2:$B$16,2,0))*E4657)</f>
        <v/>
      </c>
      <c r="H4657" s="7" t="str">
        <f t="shared" si="288"/>
        <v/>
      </c>
      <c r="I4657" s="7" t="str">
        <f>IF(AND(ISBLANK(D4657),ISBLANK(C4657)),"",((VLOOKUP(D4657,Cardápio!$A$2:$C$16,3,0))*E4657)+IF(B4657="iFood",F4657*0.27,(VLOOKUP(VENDAS!C4657,Bairros!$A$2:$B$90,2,0))))</f>
        <v/>
      </c>
      <c r="J4657" s="7" t="str">
        <f t="shared" si="289"/>
        <v/>
      </c>
      <c r="K4657" s="9">
        <f t="shared" ca="1" si="290"/>
        <v>45404.878290277775</v>
      </c>
      <c r="L4657" s="10">
        <f t="shared" ca="1" si="291"/>
        <v>45404.878290046297</v>
      </c>
    </row>
    <row r="4658" spans="6:12" x14ac:dyDescent="0.25">
      <c r="F4658" s="11" t="str">
        <f>IF(ISBLANK(D4658),"",(VLOOKUP(D4658,Cardápio!$A$2:$B$16,2,0))*E4658)</f>
        <v/>
      </c>
      <c r="H4658" s="7" t="str">
        <f t="shared" si="288"/>
        <v/>
      </c>
      <c r="I4658" s="7" t="str">
        <f>IF(AND(ISBLANK(D4658),ISBLANK(C4658)),"",((VLOOKUP(D4658,Cardápio!$A$2:$C$16,3,0))*E4658)+IF(B4658="iFood",F4658*0.27,(VLOOKUP(VENDAS!C4658,Bairros!$A$2:$B$90,2,0))))</f>
        <v/>
      </c>
      <c r="J4658" s="7" t="str">
        <f t="shared" si="289"/>
        <v/>
      </c>
      <c r="K4658" s="9">
        <f t="shared" ca="1" si="290"/>
        <v>45404.878290162036</v>
      </c>
      <c r="L4658" s="10">
        <f t="shared" ca="1" si="291"/>
        <v>45404.878290046297</v>
      </c>
    </row>
    <row r="4659" spans="6:12" x14ac:dyDescent="0.25">
      <c r="F4659" s="11" t="str">
        <f>IF(ISBLANK(D4659),"",(VLOOKUP(D4659,Cardápio!$A$2:$B$16,2,0))*E4659)</f>
        <v/>
      </c>
      <c r="H4659" s="7" t="str">
        <f t="shared" si="288"/>
        <v/>
      </c>
      <c r="I4659" s="7" t="str">
        <f>IF(AND(ISBLANK(D4659),ISBLANK(C4659)),"",((VLOOKUP(D4659,Cardápio!$A$2:$C$16,3,0))*E4659)+IF(B4659="iFood",F4659*0.27,(VLOOKUP(VENDAS!C4659,Bairros!$A$2:$B$90,2,0))))</f>
        <v/>
      </c>
      <c r="J4659" s="7" t="str">
        <f t="shared" si="289"/>
        <v/>
      </c>
      <c r="K4659" s="9">
        <f t="shared" ca="1" si="290"/>
        <v>45404.878290162036</v>
      </c>
      <c r="L4659" s="10">
        <f t="shared" ca="1" si="291"/>
        <v>45404.878290162036</v>
      </c>
    </row>
    <row r="4660" spans="6:12" x14ac:dyDescent="0.25">
      <c r="F4660" s="11" t="str">
        <f>IF(ISBLANK(D4660),"",(VLOOKUP(D4660,Cardápio!$A$2:$B$16,2,0))*E4660)</f>
        <v/>
      </c>
      <c r="H4660" s="7" t="str">
        <f t="shared" si="288"/>
        <v/>
      </c>
      <c r="I4660" s="7" t="str">
        <f>IF(AND(ISBLANK(D4660),ISBLANK(C4660)),"",((VLOOKUP(D4660,Cardápio!$A$2:$C$16,3,0))*E4660)+IF(B4660="iFood",F4660*0.27,(VLOOKUP(VENDAS!C4660,Bairros!$A$2:$B$90,2,0))))</f>
        <v/>
      </c>
      <c r="J4660" s="7" t="str">
        <f t="shared" si="289"/>
        <v/>
      </c>
      <c r="K4660" s="9">
        <f t="shared" ca="1" si="290"/>
        <v>45404.878290162036</v>
      </c>
      <c r="L4660" s="10">
        <f t="shared" ca="1" si="291"/>
        <v>45404.878290046297</v>
      </c>
    </row>
    <row r="4661" spans="6:12" x14ac:dyDescent="0.25">
      <c r="F4661" s="11" t="str">
        <f>IF(ISBLANK(D4661),"",(VLOOKUP(D4661,Cardápio!$A$2:$B$16,2,0))*E4661)</f>
        <v/>
      </c>
      <c r="H4661" s="7" t="str">
        <f t="shared" ref="H4661:H4724" si="292">IF(ISBLANK(D4661),"",F4661-G4661)</f>
        <v/>
      </c>
      <c r="I4661" s="7" t="str">
        <f>IF(AND(ISBLANK(D4661),ISBLANK(C4661)),"",((VLOOKUP(D4661,Cardápio!$A$2:$C$16,3,0))*E4661)+IF(B4661="iFood",F4661*0.27,(VLOOKUP(VENDAS!C4661,Bairros!$A$2:$B$90,2,0))))</f>
        <v/>
      </c>
      <c r="J4661" s="7" t="str">
        <f t="shared" ref="J4661:J4724" si="293">IF(OR(AND(ISBLANK(H4661),ISBLANK(I4661)),(AND(H4661="",I4661=""))),"",H4661-I4661)</f>
        <v/>
      </c>
      <c r="K4661" s="9">
        <f t="shared" ref="K4661:K4724" ca="1" si="294">IF(D4661&lt;&gt;"",K4661,NOW())</f>
        <v>45404.878290277775</v>
      </c>
      <c r="L4661" s="10">
        <f t="shared" ref="L4661:L4724" ca="1" si="295">IF(D4661&lt;&gt;"",L4661,NOW())</f>
        <v>45404.878290046297</v>
      </c>
    </row>
    <row r="4662" spans="6:12" x14ac:dyDescent="0.25">
      <c r="F4662" s="11" t="str">
        <f>IF(ISBLANK(D4662),"",(VLOOKUP(D4662,Cardápio!$A$2:$B$16,2,0))*E4662)</f>
        <v/>
      </c>
      <c r="H4662" s="7" t="str">
        <f t="shared" si="292"/>
        <v/>
      </c>
      <c r="I4662" s="7" t="str">
        <f>IF(AND(ISBLANK(D4662),ISBLANK(C4662)),"",((VLOOKUP(D4662,Cardápio!$A$2:$C$16,3,0))*E4662)+IF(B4662="iFood",F4662*0.27,(VLOOKUP(VENDAS!C4662,Bairros!$A$2:$B$90,2,0))))</f>
        <v/>
      </c>
      <c r="J4662" s="7" t="str">
        <f t="shared" si="293"/>
        <v/>
      </c>
      <c r="K4662" s="9">
        <f t="shared" ca="1" si="294"/>
        <v>45404.878290162036</v>
      </c>
      <c r="L4662" s="10">
        <f t="shared" ca="1" si="295"/>
        <v>45404.878290046297</v>
      </c>
    </row>
    <row r="4663" spans="6:12" x14ac:dyDescent="0.25">
      <c r="F4663" s="11" t="str">
        <f>IF(ISBLANK(D4663),"",(VLOOKUP(D4663,Cardápio!$A$2:$B$16,2,0))*E4663)</f>
        <v/>
      </c>
      <c r="H4663" s="7" t="str">
        <f t="shared" si="292"/>
        <v/>
      </c>
      <c r="I4663" s="7" t="str">
        <f>IF(AND(ISBLANK(D4663),ISBLANK(C4663)),"",((VLOOKUP(D4663,Cardápio!$A$2:$C$16,3,0))*E4663)+IF(B4663="iFood",F4663*0.27,(VLOOKUP(VENDAS!C4663,Bairros!$A$2:$B$90,2,0))))</f>
        <v/>
      </c>
      <c r="J4663" s="7" t="str">
        <f t="shared" si="293"/>
        <v/>
      </c>
      <c r="K4663" s="9">
        <f t="shared" ca="1" si="294"/>
        <v>45404.878290162036</v>
      </c>
      <c r="L4663" s="10">
        <f t="shared" ca="1" si="295"/>
        <v>45404.878290162036</v>
      </c>
    </row>
    <row r="4664" spans="6:12" x14ac:dyDescent="0.25">
      <c r="F4664" s="11" t="str">
        <f>IF(ISBLANK(D4664),"",(VLOOKUP(D4664,Cardápio!$A$2:$B$16,2,0))*E4664)</f>
        <v/>
      </c>
      <c r="H4664" s="7" t="str">
        <f t="shared" si="292"/>
        <v/>
      </c>
      <c r="I4664" s="7" t="str">
        <f>IF(AND(ISBLANK(D4664),ISBLANK(C4664)),"",((VLOOKUP(D4664,Cardápio!$A$2:$C$16,3,0))*E4664)+IF(B4664="iFood",F4664*0.27,(VLOOKUP(VENDAS!C4664,Bairros!$A$2:$B$90,2,0))))</f>
        <v/>
      </c>
      <c r="J4664" s="7" t="str">
        <f t="shared" si="293"/>
        <v/>
      </c>
      <c r="K4664" s="9">
        <f t="shared" ca="1" si="294"/>
        <v>45404.878290162036</v>
      </c>
      <c r="L4664" s="10">
        <f t="shared" ca="1" si="295"/>
        <v>45404.878290046297</v>
      </c>
    </row>
    <row r="4665" spans="6:12" x14ac:dyDescent="0.25">
      <c r="F4665" s="11" t="str">
        <f>IF(ISBLANK(D4665),"",(VLOOKUP(D4665,Cardápio!$A$2:$B$16,2,0))*E4665)</f>
        <v/>
      </c>
      <c r="H4665" s="7" t="str">
        <f t="shared" si="292"/>
        <v/>
      </c>
      <c r="I4665" s="7" t="str">
        <f>IF(AND(ISBLANK(D4665),ISBLANK(C4665)),"",((VLOOKUP(D4665,Cardápio!$A$2:$C$16,3,0))*E4665)+IF(B4665="iFood",F4665*0.27,(VLOOKUP(VENDAS!C4665,Bairros!$A$2:$B$90,2,0))))</f>
        <v/>
      </c>
      <c r="J4665" s="7" t="str">
        <f t="shared" si="293"/>
        <v/>
      </c>
      <c r="K4665" s="9">
        <f t="shared" ca="1" si="294"/>
        <v>45404.878290277775</v>
      </c>
      <c r="L4665" s="10">
        <f t="shared" ca="1" si="295"/>
        <v>45404.878290046297</v>
      </c>
    </row>
    <row r="4666" spans="6:12" x14ac:dyDescent="0.25">
      <c r="F4666" s="11" t="str">
        <f>IF(ISBLANK(D4666),"",(VLOOKUP(D4666,Cardápio!$A$2:$B$16,2,0))*E4666)</f>
        <v/>
      </c>
      <c r="H4666" s="7" t="str">
        <f t="shared" si="292"/>
        <v/>
      </c>
      <c r="I4666" s="7" t="str">
        <f>IF(AND(ISBLANK(D4666),ISBLANK(C4666)),"",((VLOOKUP(D4666,Cardápio!$A$2:$C$16,3,0))*E4666)+IF(B4666="iFood",F4666*0.27,(VLOOKUP(VENDAS!C4666,Bairros!$A$2:$B$90,2,0))))</f>
        <v/>
      </c>
      <c r="J4666" s="7" t="str">
        <f t="shared" si="293"/>
        <v/>
      </c>
      <c r="K4666" s="9">
        <f t="shared" ca="1" si="294"/>
        <v>45404.878290162036</v>
      </c>
      <c r="L4666" s="10">
        <f t="shared" ca="1" si="295"/>
        <v>45404.878290046297</v>
      </c>
    </row>
    <row r="4667" spans="6:12" x14ac:dyDescent="0.25">
      <c r="F4667" s="11" t="str">
        <f>IF(ISBLANK(D4667),"",(VLOOKUP(D4667,Cardápio!$A$2:$B$16,2,0))*E4667)</f>
        <v/>
      </c>
      <c r="H4667" s="7" t="str">
        <f t="shared" si="292"/>
        <v/>
      </c>
      <c r="I4667" s="7" t="str">
        <f>IF(AND(ISBLANK(D4667),ISBLANK(C4667)),"",((VLOOKUP(D4667,Cardápio!$A$2:$C$16,3,0))*E4667)+IF(B4667="iFood",F4667*0.27,(VLOOKUP(VENDAS!C4667,Bairros!$A$2:$B$90,2,0))))</f>
        <v/>
      </c>
      <c r="J4667" s="7" t="str">
        <f t="shared" si="293"/>
        <v/>
      </c>
      <c r="K4667" s="9">
        <f t="shared" ca="1" si="294"/>
        <v>45404.878290162036</v>
      </c>
      <c r="L4667" s="10">
        <f t="shared" ca="1" si="295"/>
        <v>45404.878290162036</v>
      </c>
    </row>
    <row r="4668" spans="6:12" x14ac:dyDescent="0.25">
      <c r="F4668" s="11" t="str">
        <f>IF(ISBLANK(D4668),"",(VLOOKUP(D4668,Cardápio!$A$2:$B$16,2,0))*E4668)</f>
        <v/>
      </c>
      <c r="H4668" s="7" t="str">
        <f t="shared" si="292"/>
        <v/>
      </c>
      <c r="I4668" s="7" t="str">
        <f>IF(AND(ISBLANK(D4668),ISBLANK(C4668)),"",((VLOOKUP(D4668,Cardápio!$A$2:$C$16,3,0))*E4668)+IF(B4668="iFood",F4668*0.27,(VLOOKUP(VENDAS!C4668,Bairros!$A$2:$B$90,2,0))))</f>
        <v/>
      </c>
      <c r="J4668" s="7" t="str">
        <f t="shared" si="293"/>
        <v/>
      </c>
      <c r="K4668" s="9">
        <f t="shared" ca="1" si="294"/>
        <v>45404.878290162036</v>
      </c>
      <c r="L4668" s="10">
        <f t="shared" ca="1" si="295"/>
        <v>45404.878290046297</v>
      </c>
    </row>
    <row r="4669" spans="6:12" x14ac:dyDescent="0.25">
      <c r="F4669" s="11" t="str">
        <f>IF(ISBLANK(D4669),"",(VLOOKUP(D4669,Cardápio!$A$2:$B$16,2,0))*E4669)</f>
        <v/>
      </c>
      <c r="H4669" s="7" t="str">
        <f t="shared" si="292"/>
        <v/>
      </c>
      <c r="I4669" s="7" t="str">
        <f>IF(AND(ISBLANK(D4669),ISBLANK(C4669)),"",((VLOOKUP(D4669,Cardápio!$A$2:$C$16,3,0))*E4669)+IF(B4669="iFood",F4669*0.27,(VLOOKUP(VENDAS!C4669,Bairros!$A$2:$B$90,2,0))))</f>
        <v/>
      </c>
      <c r="J4669" s="7" t="str">
        <f t="shared" si="293"/>
        <v/>
      </c>
      <c r="K4669" s="9">
        <f t="shared" ca="1" si="294"/>
        <v>45404.878290277775</v>
      </c>
      <c r="L4669" s="10">
        <f t="shared" ca="1" si="295"/>
        <v>45404.878290046297</v>
      </c>
    </row>
    <row r="4670" spans="6:12" x14ac:dyDescent="0.25">
      <c r="F4670" s="11" t="str">
        <f>IF(ISBLANK(D4670),"",(VLOOKUP(D4670,Cardápio!$A$2:$B$16,2,0))*E4670)</f>
        <v/>
      </c>
      <c r="H4670" s="7" t="str">
        <f t="shared" si="292"/>
        <v/>
      </c>
      <c r="I4670" s="7" t="str">
        <f>IF(AND(ISBLANK(D4670),ISBLANK(C4670)),"",((VLOOKUP(D4670,Cardápio!$A$2:$C$16,3,0))*E4670)+IF(B4670="iFood",F4670*0.27,(VLOOKUP(VENDAS!C4670,Bairros!$A$2:$B$90,2,0))))</f>
        <v/>
      </c>
      <c r="J4670" s="7" t="str">
        <f t="shared" si="293"/>
        <v/>
      </c>
      <c r="K4670" s="9">
        <f t="shared" ca="1" si="294"/>
        <v>45404.878290162036</v>
      </c>
      <c r="L4670" s="10">
        <f t="shared" ca="1" si="295"/>
        <v>45404.878290046297</v>
      </c>
    </row>
    <row r="4671" spans="6:12" x14ac:dyDescent="0.25">
      <c r="F4671" s="11" t="str">
        <f>IF(ISBLANK(D4671),"",(VLOOKUP(D4671,Cardápio!$A$2:$B$16,2,0))*E4671)</f>
        <v/>
      </c>
      <c r="H4671" s="7" t="str">
        <f t="shared" si="292"/>
        <v/>
      </c>
      <c r="I4671" s="7" t="str">
        <f>IF(AND(ISBLANK(D4671),ISBLANK(C4671)),"",((VLOOKUP(D4671,Cardápio!$A$2:$C$16,3,0))*E4671)+IF(B4671="iFood",F4671*0.27,(VLOOKUP(VENDAS!C4671,Bairros!$A$2:$B$90,2,0))))</f>
        <v/>
      </c>
      <c r="J4671" s="7" t="str">
        <f t="shared" si="293"/>
        <v/>
      </c>
      <c r="K4671" s="9">
        <f t="shared" ca="1" si="294"/>
        <v>45404.878290162036</v>
      </c>
      <c r="L4671" s="10">
        <f t="shared" ca="1" si="295"/>
        <v>45404.878290162036</v>
      </c>
    </row>
    <row r="4672" spans="6:12" x14ac:dyDescent="0.25">
      <c r="F4672" s="11" t="str">
        <f>IF(ISBLANK(D4672),"",(VLOOKUP(D4672,Cardápio!$A$2:$B$16,2,0))*E4672)</f>
        <v/>
      </c>
      <c r="H4672" s="7" t="str">
        <f t="shared" si="292"/>
        <v/>
      </c>
      <c r="I4672" s="7" t="str">
        <f>IF(AND(ISBLANK(D4672),ISBLANK(C4672)),"",((VLOOKUP(D4672,Cardápio!$A$2:$C$16,3,0))*E4672)+IF(B4672="iFood",F4672*0.27,(VLOOKUP(VENDAS!C4672,Bairros!$A$2:$B$90,2,0))))</f>
        <v/>
      </c>
      <c r="J4672" s="7" t="str">
        <f t="shared" si="293"/>
        <v/>
      </c>
      <c r="K4672" s="9">
        <f t="shared" ca="1" si="294"/>
        <v>45404.878290162036</v>
      </c>
      <c r="L4672" s="10">
        <f t="shared" ca="1" si="295"/>
        <v>45404.878290046297</v>
      </c>
    </row>
    <row r="4673" spans="6:12" x14ac:dyDescent="0.25">
      <c r="F4673" s="11" t="str">
        <f>IF(ISBLANK(D4673),"",(VLOOKUP(D4673,Cardápio!$A$2:$B$16,2,0))*E4673)</f>
        <v/>
      </c>
      <c r="H4673" s="7" t="str">
        <f t="shared" si="292"/>
        <v/>
      </c>
      <c r="I4673" s="7" t="str">
        <f>IF(AND(ISBLANK(D4673),ISBLANK(C4673)),"",((VLOOKUP(D4673,Cardápio!$A$2:$C$16,3,0))*E4673)+IF(B4673="iFood",F4673*0.27,(VLOOKUP(VENDAS!C4673,Bairros!$A$2:$B$90,2,0))))</f>
        <v/>
      </c>
      <c r="J4673" s="7" t="str">
        <f t="shared" si="293"/>
        <v/>
      </c>
      <c r="K4673" s="9">
        <f t="shared" ca="1" si="294"/>
        <v>45404.878290277775</v>
      </c>
      <c r="L4673" s="10">
        <f t="shared" ca="1" si="295"/>
        <v>45404.878290046297</v>
      </c>
    </row>
    <row r="4674" spans="6:12" x14ac:dyDescent="0.25">
      <c r="F4674" s="11" t="str">
        <f>IF(ISBLANK(D4674),"",(VLOOKUP(D4674,Cardápio!$A$2:$B$16,2,0))*E4674)</f>
        <v/>
      </c>
      <c r="H4674" s="7" t="str">
        <f t="shared" si="292"/>
        <v/>
      </c>
      <c r="I4674" s="7" t="str">
        <f>IF(AND(ISBLANK(D4674),ISBLANK(C4674)),"",((VLOOKUP(D4674,Cardápio!$A$2:$C$16,3,0))*E4674)+IF(B4674="iFood",F4674*0.27,(VLOOKUP(VENDAS!C4674,Bairros!$A$2:$B$90,2,0))))</f>
        <v/>
      </c>
      <c r="J4674" s="7" t="str">
        <f t="shared" si="293"/>
        <v/>
      </c>
      <c r="K4674" s="9">
        <f t="shared" ca="1" si="294"/>
        <v>45404.878290162036</v>
      </c>
      <c r="L4674" s="10">
        <f t="shared" ca="1" si="295"/>
        <v>45404.878290046297</v>
      </c>
    </row>
    <row r="4675" spans="6:12" x14ac:dyDescent="0.25">
      <c r="F4675" s="11" t="str">
        <f>IF(ISBLANK(D4675),"",(VLOOKUP(D4675,Cardápio!$A$2:$B$16,2,0))*E4675)</f>
        <v/>
      </c>
      <c r="H4675" s="7" t="str">
        <f t="shared" si="292"/>
        <v/>
      </c>
      <c r="I4675" s="7" t="str">
        <f>IF(AND(ISBLANK(D4675),ISBLANK(C4675)),"",((VLOOKUP(D4675,Cardápio!$A$2:$C$16,3,0))*E4675)+IF(B4675="iFood",F4675*0.27,(VLOOKUP(VENDAS!C4675,Bairros!$A$2:$B$90,2,0))))</f>
        <v/>
      </c>
      <c r="J4675" s="7" t="str">
        <f t="shared" si="293"/>
        <v/>
      </c>
      <c r="K4675" s="9">
        <f t="shared" ca="1" si="294"/>
        <v>45404.878290162036</v>
      </c>
      <c r="L4675" s="10">
        <f t="shared" ca="1" si="295"/>
        <v>45404.878290162036</v>
      </c>
    </row>
    <row r="4676" spans="6:12" x14ac:dyDescent="0.25">
      <c r="F4676" s="11" t="str">
        <f>IF(ISBLANK(D4676),"",(VLOOKUP(D4676,Cardápio!$A$2:$B$16,2,0))*E4676)</f>
        <v/>
      </c>
      <c r="H4676" s="7" t="str">
        <f t="shared" si="292"/>
        <v/>
      </c>
      <c r="I4676" s="7" t="str">
        <f>IF(AND(ISBLANK(D4676),ISBLANK(C4676)),"",((VLOOKUP(D4676,Cardápio!$A$2:$C$16,3,0))*E4676)+IF(B4676="iFood",F4676*0.27,(VLOOKUP(VENDAS!C4676,Bairros!$A$2:$B$90,2,0))))</f>
        <v/>
      </c>
      <c r="J4676" s="7" t="str">
        <f t="shared" si="293"/>
        <v/>
      </c>
      <c r="K4676" s="9">
        <f t="shared" ca="1" si="294"/>
        <v>45404.878290162036</v>
      </c>
      <c r="L4676" s="10">
        <f t="shared" ca="1" si="295"/>
        <v>45404.878290046297</v>
      </c>
    </row>
    <row r="4677" spans="6:12" x14ac:dyDescent="0.25">
      <c r="F4677" s="11" t="str">
        <f>IF(ISBLANK(D4677),"",(VLOOKUP(D4677,Cardápio!$A$2:$B$16,2,0))*E4677)</f>
        <v/>
      </c>
      <c r="H4677" s="7" t="str">
        <f t="shared" si="292"/>
        <v/>
      </c>
      <c r="I4677" s="7" t="str">
        <f>IF(AND(ISBLANK(D4677),ISBLANK(C4677)),"",((VLOOKUP(D4677,Cardápio!$A$2:$C$16,3,0))*E4677)+IF(B4677="iFood",F4677*0.27,(VLOOKUP(VENDAS!C4677,Bairros!$A$2:$B$90,2,0))))</f>
        <v/>
      </c>
      <c r="J4677" s="7" t="str">
        <f t="shared" si="293"/>
        <v/>
      </c>
      <c r="K4677" s="9">
        <f t="shared" ca="1" si="294"/>
        <v>45404.878290277775</v>
      </c>
      <c r="L4677" s="10">
        <f t="shared" ca="1" si="295"/>
        <v>45404.878290046297</v>
      </c>
    </row>
    <row r="4678" spans="6:12" x14ac:dyDescent="0.25">
      <c r="F4678" s="11" t="str">
        <f>IF(ISBLANK(D4678),"",(VLOOKUP(D4678,Cardápio!$A$2:$B$16,2,0))*E4678)</f>
        <v/>
      </c>
      <c r="H4678" s="7" t="str">
        <f t="shared" si="292"/>
        <v/>
      </c>
      <c r="I4678" s="7" t="str">
        <f>IF(AND(ISBLANK(D4678),ISBLANK(C4678)),"",((VLOOKUP(D4678,Cardápio!$A$2:$C$16,3,0))*E4678)+IF(B4678="iFood",F4678*0.27,(VLOOKUP(VENDAS!C4678,Bairros!$A$2:$B$90,2,0))))</f>
        <v/>
      </c>
      <c r="J4678" s="7" t="str">
        <f t="shared" si="293"/>
        <v/>
      </c>
      <c r="K4678" s="9">
        <f t="shared" ca="1" si="294"/>
        <v>45404.878290162036</v>
      </c>
      <c r="L4678" s="10">
        <f t="shared" ca="1" si="295"/>
        <v>45404.878290046297</v>
      </c>
    </row>
    <row r="4679" spans="6:12" x14ac:dyDescent="0.25">
      <c r="F4679" s="11" t="str">
        <f>IF(ISBLANK(D4679),"",(VLOOKUP(D4679,Cardápio!$A$2:$B$16,2,0))*E4679)</f>
        <v/>
      </c>
      <c r="H4679" s="7" t="str">
        <f t="shared" si="292"/>
        <v/>
      </c>
      <c r="I4679" s="7" t="str">
        <f>IF(AND(ISBLANK(D4679),ISBLANK(C4679)),"",((VLOOKUP(D4679,Cardápio!$A$2:$C$16,3,0))*E4679)+IF(B4679="iFood",F4679*0.27,(VLOOKUP(VENDAS!C4679,Bairros!$A$2:$B$90,2,0))))</f>
        <v/>
      </c>
      <c r="J4679" s="7" t="str">
        <f t="shared" si="293"/>
        <v/>
      </c>
      <c r="K4679" s="9">
        <f t="shared" ca="1" si="294"/>
        <v>45404.878290162036</v>
      </c>
      <c r="L4679" s="10">
        <f t="shared" ca="1" si="295"/>
        <v>45404.878290162036</v>
      </c>
    </row>
    <row r="4680" spans="6:12" x14ac:dyDescent="0.25">
      <c r="F4680" s="11" t="str">
        <f>IF(ISBLANK(D4680),"",(VLOOKUP(D4680,Cardápio!$A$2:$B$16,2,0))*E4680)</f>
        <v/>
      </c>
      <c r="H4680" s="7" t="str">
        <f t="shared" si="292"/>
        <v/>
      </c>
      <c r="I4680" s="7" t="str">
        <f>IF(AND(ISBLANK(D4680),ISBLANK(C4680)),"",((VLOOKUP(D4680,Cardápio!$A$2:$C$16,3,0))*E4680)+IF(B4680="iFood",F4680*0.27,(VLOOKUP(VENDAS!C4680,Bairros!$A$2:$B$90,2,0))))</f>
        <v/>
      </c>
      <c r="J4680" s="7" t="str">
        <f t="shared" si="293"/>
        <v/>
      </c>
      <c r="K4680" s="9">
        <f t="shared" ca="1" si="294"/>
        <v>45404.878290162036</v>
      </c>
      <c r="L4680" s="10">
        <f t="shared" ca="1" si="295"/>
        <v>45404.878290046297</v>
      </c>
    </row>
    <row r="4681" spans="6:12" x14ac:dyDescent="0.25">
      <c r="F4681" s="11" t="str">
        <f>IF(ISBLANK(D4681),"",(VLOOKUP(D4681,Cardápio!$A$2:$B$16,2,0))*E4681)</f>
        <v/>
      </c>
      <c r="H4681" s="7" t="str">
        <f t="shared" si="292"/>
        <v/>
      </c>
      <c r="I4681" s="7" t="str">
        <f>IF(AND(ISBLANK(D4681),ISBLANK(C4681)),"",((VLOOKUP(D4681,Cardápio!$A$2:$C$16,3,0))*E4681)+IF(B4681="iFood",F4681*0.27,(VLOOKUP(VENDAS!C4681,Bairros!$A$2:$B$90,2,0))))</f>
        <v/>
      </c>
      <c r="J4681" s="7" t="str">
        <f t="shared" si="293"/>
        <v/>
      </c>
      <c r="K4681" s="9">
        <f t="shared" ca="1" si="294"/>
        <v>45404.878290277775</v>
      </c>
      <c r="L4681" s="10">
        <f t="shared" ca="1" si="295"/>
        <v>45404.878290046297</v>
      </c>
    </row>
    <row r="4682" spans="6:12" x14ac:dyDescent="0.25">
      <c r="F4682" s="11" t="str">
        <f>IF(ISBLANK(D4682),"",(VLOOKUP(D4682,Cardápio!$A$2:$B$16,2,0))*E4682)</f>
        <v/>
      </c>
      <c r="H4682" s="7" t="str">
        <f t="shared" si="292"/>
        <v/>
      </c>
      <c r="I4682" s="7" t="str">
        <f>IF(AND(ISBLANK(D4682),ISBLANK(C4682)),"",((VLOOKUP(D4682,Cardápio!$A$2:$C$16,3,0))*E4682)+IF(B4682="iFood",F4682*0.27,(VLOOKUP(VENDAS!C4682,Bairros!$A$2:$B$90,2,0))))</f>
        <v/>
      </c>
      <c r="J4682" s="7" t="str">
        <f t="shared" si="293"/>
        <v/>
      </c>
      <c r="K4682" s="9">
        <f t="shared" ca="1" si="294"/>
        <v>45404.878290162036</v>
      </c>
      <c r="L4682" s="10">
        <f t="shared" ca="1" si="295"/>
        <v>45404.878290046297</v>
      </c>
    </row>
    <row r="4683" spans="6:12" x14ac:dyDescent="0.25">
      <c r="F4683" s="11" t="str">
        <f>IF(ISBLANK(D4683),"",(VLOOKUP(D4683,Cardápio!$A$2:$B$16,2,0))*E4683)</f>
        <v/>
      </c>
      <c r="H4683" s="7" t="str">
        <f t="shared" si="292"/>
        <v/>
      </c>
      <c r="I4683" s="7" t="str">
        <f>IF(AND(ISBLANK(D4683),ISBLANK(C4683)),"",((VLOOKUP(D4683,Cardápio!$A$2:$C$16,3,0))*E4683)+IF(B4683="iFood",F4683*0.27,(VLOOKUP(VENDAS!C4683,Bairros!$A$2:$B$90,2,0))))</f>
        <v/>
      </c>
      <c r="J4683" s="7" t="str">
        <f t="shared" si="293"/>
        <v/>
      </c>
      <c r="K4683" s="9">
        <f t="shared" ca="1" si="294"/>
        <v>45404.878290162036</v>
      </c>
      <c r="L4683" s="10">
        <f t="shared" ca="1" si="295"/>
        <v>45404.878290162036</v>
      </c>
    </row>
    <row r="4684" spans="6:12" x14ac:dyDescent="0.25">
      <c r="F4684" s="11" t="str">
        <f>IF(ISBLANK(D4684),"",(VLOOKUP(D4684,Cardápio!$A$2:$B$16,2,0))*E4684)</f>
        <v/>
      </c>
      <c r="H4684" s="7" t="str">
        <f t="shared" si="292"/>
        <v/>
      </c>
      <c r="I4684" s="7" t="str">
        <f>IF(AND(ISBLANK(D4684),ISBLANK(C4684)),"",((VLOOKUP(D4684,Cardápio!$A$2:$C$16,3,0))*E4684)+IF(B4684="iFood",F4684*0.27,(VLOOKUP(VENDAS!C4684,Bairros!$A$2:$B$90,2,0))))</f>
        <v/>
      </c>
      <c r="J4684" s="7" t="str">
        <f t="shared" si="293"/>
        <v/>
      </c>
      <c r="K4684" s="9">
        <f t="shared" ca="1" si="294"/>
        <v>45404.878290162036</v>
      </c>
      <c r="L4684" s="10">
        <f t="shared" ca="1" si="295"/>
        <v>45404.878290046297</v>
      </c>
    </row>
    <row r="4685" spans="6:12" x14ac:dyDescent="0.25">
      <c r="F4685" s="11" t="str">
        <f>IF(ISBLANK(D4685),"",(VLOOKUP(D4685,Cardápio!$A$2:$B$16,2,0))*E4685)</f>
        <v/>
      </c>
      <c r="H4685" s="7" t="str">
        <f t="shared" si="292"/>
        <v/>
      </c>
      <c r="I4685" s="7" t="str">
        <f>IF(AND(ISBLANK(D4685),ISBLANK(C4685)),"",((VLOOKUP(D4685,Cardápio!$A$2:$C$16,3,0))*E4685)+IF(B4685="iFood",F4685*0.27,(VLOOKUP(VENDAS!C4685,Bairros!$A$2:$B$90,2,0))))</f>
        <v/>
      </c>
      <c r="J4685" s="7" t="str">
        <f t="shared" si="293"/>
        <v/>
      </c>
      <c r="K4685" s="9">
        <f t="shared" ca="1" si="294"/>
        <v>45404.878290277775</v>
      </c>
      <c r="L4685" s="10">
        <f t="shared" ca="1" si="295"/>
        <v>45404.878290046297</v>
      </c>
    </row>
    <row r="4686" spans="6:12" x14ac:dyDescent="0.25">
      <c r="F4686" s="11" t="str">
        <f>IF(ISBLANK(D4686),"",(VLOOKUP(D4686,Cardápio!$A$2:$B$16,2,0))*E4686)</f>
        <v/>
      </c>
      <c r="H4686" s="7" t="str">
        <f t="shared" si="292"/>
        <v/>
      </c>
      <c r="I4686" s="7" t="str">
        <f>IF(AND(ISBLANK(D4686),ISBLANK(C4686)),"",((VLOOKUP(D4686,Cardápio!$A$2:$C$16,3,0))*E4686)+IF(B4686="iFood",F4686*0.27,(VLOOKUP(VENDAS!C4686,Bairros!$A$2:$B$90,2,0))))</f>
        <v/>
      </c>
      <c r="J4686" s="7" t="str">
        <f t="shared" si="293"/>
        <v/>
      </c>
      <c r="K4686" s="9">
        <f t="shared" ca="1" si="294"/>
        <v>45404.878290162036</v>
      </c>
      <c r="L4686" s="10">
        <f t="shared" ca="1" si="295"/>
        <v>45404.878290046297</v>
      </c>
    </row>
    <row r="4687" spans="6:12" x14ac:dyDescent="0.25">
      <c r="F4687" s="11" t="str">
        <f>IF(ISBLANK(D4687),"",(VLOOKUP(D4687,Cardápio!$A$2:$B$16,2,0))*E4687)</f>
        <v/>
      </c>
      <c r="H4687" s="7" t="str">
        <f t="shared" si="292"/>
        <v/>
      </c>
      <c r="I4687" s="7" t="str">
        <f>IF(AND(ISBLANK(D4687),ISBLANK(C4687)),"",((VLOOKUP(D4687,Cardápio!$A$2:$C$16,3,0))*E4687)+IF(B4687="iFood",F4687*0.27,(VLOOKUP(VENDAS!C4687,Bairros!$A$2:$B$90,2,0))))</f>
        <v/>
      </c>
      <c r="J4687" s="7" t="str">
        <f t="shared" si="293"/>
        <v/>
      </c>
      <c r="K4687" s="9">
        <f t="shared" ca="1" si="294"/>
        <v>45404.878290162036</v>
      </c>
      <c r="L4687" s="10">
        <f t="shared" ca="1" si="295"/>
        <v>45404.878290162036</v>
      </c>
    </row>
    <row r="4688" spans="6:12" x14ac:dyDescent="0.25">
      <c r="F4688" s="11" t="str">
        <f>IF(ISBLANK(D4688),"",(VLOOKUP(D4688,Cardápio!$A$2:$B$16,2,0))*E4688)</f>
        <v/>
      </c>
      <c r="H4688" s="7" t="str">
        <f t="shared" si="292"/>
        <v/>
      </c>
      <c r="I4688" s="7" t="str">
        <f>IF(AND(ISBLANK(D4688),ISBLANK(C4688)),"",((VLOOKUP(D4688,Cardápio!$A$2:$C$16,3,0))*E4688)+IF(B4688="iFood",F4688*0.27,(VLOOKUP(VENDAS!C4688,Bairros!$A$2:$B$90,2,0))))</f>
        <v/>
      </c>
      <c r="J4688" s="7" t="str">
        <f t="shared" si="293"/>
        <v/>
      </c>
      <c r="K4688" s="9">
        <f t="shared" ca="1" si="294"/>
        <v>45404.878290162036</v>
      </c>
      <c r="L4688" s="10">
        <f t="shared" ca="1" si="295"/>
        <v>45404.878290046297</v>
      </c>
    </row>
    <row r="4689" spans="6:12" x14ac:dyDescent="0.25">
      <c r="F4689" s="11" t="str">
        <f>IF(ISBLANK(D4689),"",(VLOOKUP(D4689,Cardápio!$A$2:$B$16,2,0))*E4689)</f>
        <v/>
      </c>
      <c r="H4689" s="7" t="str">
        <f t="shared" si="292"/>
        <v/>
      </c>
      <c r="I4689" s="7" t="str">
        <f>IF(AND(ISBLANK(D4689),ISBLANK(C4689)),"",((VLOOKUP(D4689,Cardápio!$A$2:$C$16,3,0))*E4689)+IF(B4689="iFood",F4689*0.27,(VLOOKUP(VENDAS!C4689,Bairros!$A$2:$B$90,2,0))))</f>
        <v/>
      </c>
      <c r="J4689" s="7" t="str">
        <f t="shared" si="293"/>
        <v/>
      </c>
      <c r="K4689" s="9">
        <f t="shared" ca="1" si="294"/>
        <v>45404.878290277775</v>
      </c>
      <c r="L4689" s="10">
        <f t="shared" ca="1" si="295"/>
        <v>45404.878290046297</v>
      </c>
    </row>
    <row r="4690" spans="6:12" x14ac:dyDescent="0.25">
      <c r="F4690" s="11" t="str">
        <f>IF(ISBLANK(D4690),"",(VLOOKUP(D4690,Cardápio!$A$2:$B$16,2,0))*E4690)</f>
        <v/>
      </c>
      <c r="H4690" s="7" t="str">
        <f t="shared" si="292"/>
        <v/>
      </c>
      <c r="I4690" s="7" t="str">
        <f>IF(AND(ISBLANK(D4690),ISBLANK(C4690)),"",((VLOOKUP(D4690,Cardápio!$A$2:$C$16,3,0))*E4690)+IF(B4690="iFood",F4690*0.27,(VLOOKUP(VENDAS!C4690,Bairros!$A$2:$B$90,2,0))))</f>
        <v/>
      </c>
      <c r="J4690" s="7" t="str">
        <f t="shared" si="293"/>
        <v/>
      </c>
      <c r="K4690" s="9">
        <f t="shared" ca="1" si="294"/>
        <v>45404.878290162036</v>
      </c>
      <c r="L4690" s="10">
        <f t="shared" ca="1" si="295"/>
        <v>45404.878290046297</v>
      </c>
    </row>
    <row r="4691" spans="6:12" x14ac:dyDescent="0.25">
      <c r="F4691" s="11" t="str">
        <f>IF(ISBLANK(D4691),"",(VLOOKUP(D4691,Cardápio!$A$2:$B$16,2,0))*E4691)</f>
        <v/>
      </c>
      <c r="H4691" s="7" t="str">
        <f t="shared" si="292"/>
        <v/>
      </c>
      <c r="I4691" s="7" t="str">
        <f>IF(AND(ISBLANK(D4691),ISBLANK(C4691)),"",((VLOOKUP(D4691,Cardápio!$A$2:$C$16,3,0))*E4691)+IF(B4691="iFood",F4691*0.27,(VLOOKUP(VENDAS!C4691,Bairros!$A$2:$B$90,2,0))))</f>
        <v/>
      </c>
      <c r="J4691" s="7" t="str">
        <f t="shared" si="293"/>
        <v/>
      </c>
      <c r="K4691" s="9">
        <f t="shared" ca="1" si="294"/>
        <v>45404.878290162036</v>
      </c>
      <c r="L4691" s="10">
        <f t="shared" ca="1" si="295"/>
        <v>45404.878290162036</v>
      </c>
    </row>
    <row r="4692" spans="6:12" x14ac:dyDescent="0.25">
      <c r="F4692" s="11" t="str">
        <f>IF(ISBLANK(D4692),"",(VLOOKUP(D4692,Cardápio!$A$2:$B$16,2,0))*E4692)</f>
        <v/>
      </c>
      <c r="H4692" s="7" t="str">
        <f t="shared" si="292"/>
        <v/>
      </c>
      <c r="I4692" s="7" t="str">
        <f>IF(AND(ISBLANK(D4692),ISBLANK(C4692)),"",((VLOOKUP(D4692,Cardápio!$A$2:$C$16,3,0))*E4692)+IF(B4692="iFood",F4692*0.27,(VLOOKUP(VENDAS!C4692,Bairros!$A$2:$B$90,2,0))))</f>
        <v/>
      </c>
      <c r="J4692" s="7" t="str">
        <f t="shared" si="293"/>
        <v/>
      </c>
      <c r="K4692" s="9">
        <f t="shared" ca="1" si="294"/>
        <v>45404.878290162036</v>
      </c>
      <c r="L4692" s="10">
        <f t="shared" ca="1" si="295"/>
        <v>45404.878290046297</v>
      </c>
    </row>
    <row r="4693" spans="6:12" x14ac:dyDescent="0.25">
      <c r="F4693" s="11" t="str">
        <f>IF(ISBLANK(D4693),"",(VLOOKUP(D4693,Cardápio!$A$2:$B$16,2,0))*E4693)</f>
        <v/>
      </c>
      <c r="H4693" s="7" t="str">
        <f t="shared" si="292"/>
        <v/>
      </c>
      <c r="I4693" s="7" t="str">
        <f>IF(AND(ISBLANK(D4693),ISBLANK(C4693)),"",((VLOOKUP(D4693,Cardápio!$A$2:$C$16,3,0))*E4693)+IF(B4693="iFood",F4693*0.27,(VLOOKUP(VENDAS!C4693,Bairros!$A$2:$B$90,2,0))))</f>
        <v/>
      </c>
      <c r="J4693" s="7" t="str">
        <f t="shared" si="293"/>
        <v/>
      </c>
      <c r="K4693" s="9">
        <f t="shared" ca="1" si="294"/>
        <v>45404.878290277775</v>
      </c>
      <c r="L4693" s="10">
        <f t="shared" ca="1" si="295"/>
        <v>45404.878290046297</v>
      </c>
    </row>
    <row r="4694" spans="6:12" x14ac:dyDescent="0.25">
      <c r="F4694" s="11" t="str">
        <f>IF(ISBLANK(D4694),"",(VLOOKUP(D4694,Cardápio!$A$2:$B$16,2,0))*E4694)</f>
        <v/>
      </c>
      <c r="H4694" s="7" t="str">
        <f t="shared" si="292"/>
        <v/>
      </c>
      <c r="I4694" s="7" t="str">
        <f>IF(AND(ISBLANK(D4694),ISBLANK(C4694)),"",((VLOOKUP(D4694,Cardápio!$A$2:$C$16,3,0))*E4694)+IF(B4694="iFood",F4694*0.27,(VLOOKUP(VENDAS!C4694,Bairros!$A$2:$B$90,2,0))))</f>
        <v/>
      </c>
      <c r="J4694" s="7" t="str">
        <f t="shared" si="293"/>
        <v/>
      </c>
      <c r="K4694" s="9">
        <f t="shared" ca="1" si="294"/>
        <v>45404.878290162036</v>
      </c>
      <c r="L4694" s="10">
        <f t="shared" ca="1" si="295"/>
        <v>45404.878290046297</v>
      </c>
    </row>
    <row r="4695" spans="6:12" x14ac:dyDescent="0.25">
      <c r="F4695" s="11" t="str">
        <f>IF(ISBLANK(D4695),"",(VLOOKUP(D4695,Cardápio!$A$2:$B$16,2,0))*E4695)</f>
        <v/>
      </c>
      <c r="H4695" s="7" t="str">
        <f t="shared" si="292"/>
        <v/>
      </c>
      <c r="I4695" s="7" t="str">
        <f>IF(AND(ISBLANK(D4695),ISBLANK(C4695)),"",((VLOOKUP(D4695,Cardápio!$A$2:$C$16,3,0))*E4695)+IF(B4695="iFood",F4695*0.27,(VLOOKUP(VENDAS!C4695,Bairros!$A$2:$B$90,2,0))))</f>
        <v/>
      </c>
      <c r="J4695" s="7" t="str">
        <f t="shared" si="293"/>
        <v/>
      </c>
      <c r="K4695" s="9">
        <f t="shared" ca="1" si="294"/>
        <v>45404.878290162036</v>
      </c>
      <c r="L4695" s="10">
        <f t="shared" ca="1" si="295"/>
        <v>45404.878290162036</v>
      </c>
    </row>
    <row r="4696" spans="6:12" x14ac:dyDescent="0.25">
      <c r="F4696" s="11" t="str">
        <f>IF(ISBLANK(D4696),"",(VLOOKUP(D4696,Cardápio!$A$2:$B$16,2,0))*E4696)</f>
        <v/>
      </c>
      <c r="H4696" s="7" t="str">
        <f t="shared" si="292"/>
        <v/>
      </c>
      <c r="I4696" s="7" t="str">
        <f>IF(AND(ISBLANK(D4696),ISBLANK(C4696)),"",((VLOOKUP(D4696,Cardápio!$A$2:$C$16,3,0))*E4696)+IF(B4696="iFood",F4696*0.27,(VLOOKUP(VENDAS!C4696,Bairros!$A$2:$B$90,2,0))))</f>
        <v/>
      </c>
      <c r="J4696" s="7" t="str">
        <f t="shared" si="293"/>
        <v/>
      </c>
      <c r="K4696" s="9">
        <f t="shared" ca="1" si="294"/>
        <v>45404.878290162036</v>
      </c>
      <c r="L4696" s="10">
        <f t="shared" ca="1" si="295"/>
        <v>45404.878290046297</v>
      </c>
    </row>
    <row r="4697" spans="6:12" x14ac:dyDescent="0.25">
      <c r="F4697" s="11" t="str">
        <f>IF(ISBLANK(D4697),"",(VLOOKUP(D4697,Cardápio!$A$2:$B$16,2,0))*E4697)</f>
        <v/>
      </c>
      <c r="H4697" s="7" t="str">
        <f t="shared" si="292"/>
        <v/>
      </c>
      <c r="I4697" s="7" t="str">
        <f>IF(AND(ISBLANK(D4697),ISBLANK(C4697)),"",((VLOOKUP(D4697,Cardápio!$A$2:$C$16,3,0))*E4697)+IF(B4697="iFood",F4697*0.27,(VLOOKUP(VENDAS!C4697,Bairros!$A$2:$B$90,2,0))))</f>
        <v/>
      </c>
      <c r="J4697" s="7" t="str">
        <f t="shared" si="293"/>
        <v/>
      </c>
      <c r="K4697" s="9">
        <f t="shared" ca="1" si="294"/>
        <v>45404.878290277775</v>
      </c>
      <c r="L4697" s="10">
        <f t="shared" ca="1" si="295"/>
        <v>45404.878290046297</v>
      </c>
    </row>
    <row r="4698" spans="6:12" x14ac:dyDescent="0.25">
      <c r="F4698" s="11" t="str">
        <f>IF(ISBLANK(D4698),"",(VLOOKUP(D4698,Cardápio!$A$2:$B$16,2,0))*E4698)</f>
        <v/>
      </c>
      <c r="H4698" s="7" t="str">
        <f t="shared" si="292"/>
        <v/>
      </c>
      <c r="I4698" s="7" t="str">
        <f>IF(AND(ISBLANK(D4698),ISBLANK(C4698)),"",((VLOOKUP(D4698,Cardápio!$A$2:$C$16,3,0))*E4698)+IF(B4698="iFood",F4698*0.27,(VLOOKUP(VENDAS!C4698,Bairros!$A$2:$B$90,2,0))))</f>
        <v/>
      </c>
      <c r="J4698" s="7" t="str">
        <f t="shared" si="293"/>
        <v/>
      </c>
      <c r="K4698" s="9">
        <f t="shared" ca="1" si="294"/>
        <v>45404.878290162036</v>
      </c>
      <c r="L4698" s="10">
        <f t="shared" ca="1" si="295"/>
        <v>45404.878290046297</v>
      </c>
    </row>
    <row r="4699" spans="6:12" x14ac:dyDescent="0.25">
      <c r="F4699" s="11" t="str">
        <f>IF(ISBLANK(D4699),"",(VLOOKUP(D4699,Cardápio!$A$2:$B$16,2,0))*E4699)</f>
        <v/>
      </c>
      <c r="H4699" s="7" t="str">
        <f t="shared" si="292"/>
        <v/>
      </c>
      <c r="I4699" s="7" t="str">
        <f>IF(AND(ISBLANK(D4699),ISBLANK(C4699)),"",((VLOOKUP(D4699,Cardápio!$A$2:$C$16,3,0))*E4699)+IF(B4699="iFood",F4699*0.27,(VLOOKUP(VENDAS!C4699,Bairros!$A$2:$B$90,2,0))))</f>
        <v/>
      </c>
      <c r="J4699" s="7" t="str">
        <f t="shared" si="293"/>
        <v/>
      </c>
      <c r="K4699" s="9">
        <f t="shared" ca="1" si="294"/>
        <v>45404.878290162036</v>
      </c>
      <c r="L4699" s="10">
        <f t="shared" ca="1" si="295"/>
        <v>45404.878290162036</v>
      </c>
    </row>
    <row r="4700" spans="6:12" x14ac:dyDescent="0.25">
      <c r="F4700" s="11" t="str">
        <f>IF(ISBLANK(D4700),"",(VLOOKUP(D4700,Cardápio!$A$2:$B$16,2,0))*E4700)</f>
        <v/>
      </c>
      <c r="H4700" s="7" t="str">
        <f t="shared" si="292"/>
        <v/>
      </c>
      <c r="I4700" s="7" t="str">
        <f>IF(AND(ISBLANK(D4700),ISBLANK(C4700)),"",((VLOOKUP(D4700,Cardápio!$A$2:$C$16,3,0))*E4700)+IF(B4700="iFood",F4700*0.27,(VLOOKUP(VENDAS!C4700,Bairros!$A$2:$B$90,2,0))))</f>
        <v/>
      </c>
      <c r="J4700" s="7" t="str">
        <f t="shared" si="293"/>
        <v/>
      </c>
      <c r="K4700" s="9">
        <f t="shared" ca="1" si="294"/>
        <v>45404.878290162036</v>
      </c>
      <c r="L4700" s="10">
        <f t="shared" ca="1" si="295"/>
        <v>45404.878290046297</v>
      </c>
    </row>
    <row r="4701" spans="6:12" x14ac:dyDescent="0.25">
      <c r="F4701" s="11" t="str">
        <f>IF(ISBLANK(D4701),"",(VLOOKUP(D4701,Cardápio!$A$2:$B$16,2,0))*E4701)</f>
        <v/>
      </c>
      <c r="H4701" s="7" t="str">
        <f t="shared" si="292"/>
        <v/>
      </c>
      <c r="I4701" s="7" t="str">
        <f>IF(AND(ISBLANK(D4701),ISBLANK(C4701)),"",((VLOOKUP(D4701,Cardápio!$A$2:$C$16,3,0))*E4701)+IF(B4701="iFood",F4701*0.27,(VLOOKUP(VENDAS!C4701,Bairros!$A$2:$B$90,2,0))))</f>
        <v/>
      </c>
      <c r="J4701" s="7" t="str">
        <f t="shared" si="293"/>
        <v/>
      </c>
      <c r="K4701" s="9">
        <f t="shared" ca="1" si="294"/>
        <v>45404.878290277775</v>
      </c>
      <c r="L4701" s="10">
        <f t="shared" ca="1" si="295"/>
        <v>45404.878290046297</v>
      </c>
    </row>
    <row r="4702" spans="6:12" x14ac:dyDescent="0.25">
      <c r="F4702" s="11" t="str">
        <f>IF(ISBLANK(D4702),"",(VLOOKUP(D4702,Cardápio!$A$2:$B$16,2,0))*E4702)</f>
        <v/>
      </c>
      <c r="H4702" s="7" t="str">
        <f t="shared" si="292"/>
        <v/>
      </c>
      <c r="I4702" s="7" t="str">
        <f>IF(AND(ISBLANK(D4702),ISBLANK(C4702)),"",((VLOOKUP(D4702,Cardápio!$A$2:$C$16,3,0))*E4702)+IF(B4702="iFood",F4702*0.27,(VLOOKUP(VENDAS!C4702,Bairros!$A$2:$B$90,2,0))))</f>
        <v/>
      </c>
      <c r="J4702" s="7" t="str">
        <f t="shared" si="293"/>
        <v/>
      </c>
      <c r="K4702" s="9">
        <f t="shared" ca="1" si="294"/>
        <v>45404.878290162036</v>
      </c>
      <c r="L4702" s="10">
        <f t="shared" ca="1" si="295"/>
        <v>45404.878290046297</v>
      </c>
    </row>
    <row r="4703" spans="6:12" x14ac:dyDescent="0.25">
      <c r="F4703" s="11" t="str">
        <f>IF(ISBLANK(D4703),"",(VLOOKUP(D4703,Cardápio!$A$2:$B$16,2,0))*E4703)</f>
        <v/>
      </c>
      <c r="H4703" s="7" t="str">
        <f t="shared" si="292"/>
        <v/>
      </c>
      <c r="I4703" s="7" t="str">
        <f>IF(AND(ISBLANK(D4703),ISBLANK(C4703)),"",((VLOOKUP(D4703,Cardápio!$A$2:$C$16,3,0))*E4703)+IF(B4703="iFood",F4703*0.27,(VLOOKUP(VENDAS!C4703,Bairros!$A$2:$B$90,2,0))))</f>
        <v/>
      </c>
      <c r="J4703" s="7" t="str">
        <f t="shared" si="293"/>
        <v/>
      </c>
      <c r="K4703" s="9">
        <f t="shared" ca="1" si="294"/>
        <v>45404.878290162036</v>
      </c>
      <c r="L4703" s="10">
        <f t="shared" ca="1" si="295"/>
        <v>45404.878290162036</v>
      </c>
    </row>
    <row r="4704" spans="6:12" x14ac:dyDescent="0.25">
      <c r="F4704" s="11" t="str">
        <f>IF(ISBLANK(D4704),"",(VLOOKUP(D4704,Cardápio!$A$2:$B$16,2,0))*E4704)</f>
        <v/>
      </c>
      <c r="H4704" s="7" t="str">
        <f t="shared" si="292"/>
        <v/>
      </c>
      <c r="I4704" s="7" t="str">
        <f>IF(AND(ISBLANK(D4704),ISBLANK(C4704)),"",((VLOOKUP(D4704,Cardápio!$A$2:$C$16,3,0))*E4704)+IF(B4704="iFood",F4704*0.27,(VLOOKUP(VENDAS!C4704,Bairros!$A$2:$B$90,2,0))))</f>
        <v/>
      </c>
      <c r="J4704" s="7" t="str">
        <f t="shared" si="293"/>
        <v/>
      </c>
      <c r="K4704" s="9">
        <f t="shared" ca="1" si="294"/>
        <v>45404.878290162036</v>
      </c>
      <c r="L4704" s="10">
        <f t="shared" ca="1" si="295"/>
        <v>45404.878290046297</v>
      </c>
    </row>
    <row r="4705" spans="6:12" x14ac:dyDescent="0.25">
      <c r="F4705" s="11" t="str">
        <f>IF(ISBLANK(D4705),"",(VLOOKUP(D4705,Cardápio!$A$2:$B$16,2,0))*E4705)</f>
        <v/>
      </c>
      <c r="H4705" s="7" t="str">
        <f t="shared" si="292"/>
        <v/>
      </c>
      <c r="I4705" s="7" t="str">
        <f>IF(AND(ISBLANK(D4705),ISBLANK(C4705)),"",((VLOOKUP(D4705,Cardápio!$A$2:$C$16,3,0))*E4705)+IF(B4705="iFood",F4705*0.27,(VLOOKUP(VENDAS!C4705,Bairros!$A$2:$B$90,2,0))))</f>
        <v/>
      </c>
      <c r="J4705" s="7" t="str">
        <f t="shared" si="293"/>
        <v/>
      </c>
      <c r="K4705" s="9">
        <f t="shared" ca="1" si="294"/>
        <v>45404.878290277775</v>
      </c>
      <c r="L4705" s="10">
        <f t="shared" ca="1" si="295"/>
        <v>45404.878290046297</v>
      </c>
    </row>
    <row r="4706" spans="6:12" x14ac:dyDescent="0.25">
      <c r="F4706" s="11" t="str">
        <f>IF(ISBLANK(D4706),"",(VLOOKUP(D4706,Cardápio!$A$2:$B$16,2,0))*E4706)</f>
        <v/>
      </c>
      <c r="H4706" s="7" t="str">
        <f t="shared" si="292"/>
        <v/>
      </c>
      <c r="I4706" s="7" t="str">
        <f>IF(AND(ISBLANK(D4706),ISBLANK(C4706)),"",((VLOOKUP(D4706,Cardápio!$A$2:$C$16,3,0))*E4706)+IF(B4706="iFood",F4706*0.27,(VLOOKUP(VENDAS!C4706,Bairros!$A$2:$B$90,2,0))))</f>
        <v/>
      </c>
      <c r="J4706" s="7" t="str">
        <f t="shared" si="293"/>
        <v/>
      </c>
      <c r="K4706" s="9">
        <f t="shared" ca="1" si="294"/>
        <v>45404.878290162036</v>
      </c>
      <c r="L4706" s="10">
        <f t="shared" ca="1" si="295"/>
        <v>45404.878290046297</v>
      </c>
    </row>
    <row r="4707" spans="6:12" x14ac:dyDescent="0.25">
      <c r="F4707" s="11" t="str">
        <f>IF(ISBLANK(D4707),"",(VLOOKUP(D4707,Cardápio!$A$2:$B$16,2,0))*E4707)</f>
        <v/>
      </c>
      <c r="H4707" s="7" t="str">
        <f t="shared" si="292"/>
        <v/>
      </c>
      <c r="I4707" s="7" t="str">
        <f>IF(AND(ISBLANK(D4707),ISBLANK(C4707)),"",((VLOOKUP(D4707,Cardápio!$A$2:$C$16,3,0))*E4707)+IF(B4707="iFood",F4707*0.27,(VLOOKUP(VENDAS!C4707,Bairros!$A$2:$B$90,2,0))))</f>
        <v/>
      </c>
      <c r="J4707" s="7" t="str">
        <f t="shared" si="293"/>
        <v/>
      </c>
      <c r="K4707" s="9">
        <f t="shared" ca="1" si="294"/>
        <v>45404.878290162036</v>
      </c>
      <c r="L4707" s="10">
        <f t="shared" ca="1" si="295"/>
        <v>45404.878290162036</v>
      </c>
    </row>
    <row r="4708" spans="6:12" x14ac:dyDescent="0.25">
      <c r="F4708" s="11" t="str">
        <f>IF(ISBLANK(D4708),"",(VLOOKUP(D4708,Cardápio!$A$2:$B$16,2,0))*E4708)</f>
        <v/>
      </c>
      <c r="H4708" s="7" t="str">
        <f t="shared" si="292"/>
        <v/>
      </c>
      <c r="I4708" s="7" t="str">
        <f>IF(AND(ISBLANK(D4708),ISBLANK(C4708)),"",((VLOOKUP(D4708,Cardápio!$A$2:$C$16,3,0))*E4708)+IF(B4708="iFood",F4708*0.27,(VLOOKUP(VENDAS!C4708,Bairros!$A$2:$B$90,2,0))))</f>
        <v/>
      </c>
      <c r="J4708" s="7" t="str">
        <f t="shared" si="293"/>
        <v/>
      </c>
      <c r="K4708" s="9">
        <f t="shared" ca="1" si="294"/>
        <v>45404.878290162036</v>
      </c>
      <c r="L4708" s="10">
        <f t="shared" ca="1" si="295"/>
        <v>45404.878290046297</v>
      </c>
    </row>
    <row r="4709" spans="6:12" x14ac:dyDescent="0.25">
      <c r="F4709" s="11" t="str">
        <f>IF(ISBLANK(D4709),"",(VLOOKUP(D4709,Cardápio!$A$2:$B$16,2,0))*E4709)</f>
        <v/>
      </c>
      <c r="H4709" s="7" t="str">
        <f t="shared" si="292"/>
        <v/>
      </c>
      <c r="I4709" s="7" t="str">
        <f>IF(AND(ISBLANK(D4709),ISBLANK(C4709)),"",((VLOOKUP(D4709,Cardápio!$A$2:$C$16,3,0))*E4709)+IF(B4709="iFood",F4709*0.27,(VLOOKUP(VENDAS!C4709,Bairros!$A$2:$B$90,2,0))))</f>
        <v/>
      </c>
      <c r="J4709" s="7" t="str">
        <f t="shared" si="293"/>
        <v/>
      </c>
      <c r="K4709" s="9">
        <f t="shared" ca="1" si="294"/>
        <v>45404.878290277775</v>
      </c>
      <c r="L4709" s="10">
        <f t="shared" ca="1" si="295"/>
        <v>45404.878290046297</v>
      </c>
    </row>
    <row r="4710" spans="6:12" x14ac:dyDescent="0.25">
      <c r="F4710" s="11" t="str">
        <f>IF(ISBLANK(D4710),"",(VLOOKUP(D4710,Cardápio!$A$2:$B$16,2,0))*E4710)</f>
        <v/>
      </c>
      <c r="H4710" s="7" t="str">
        <f t="shared" si="292"/>
        <v/>
      </c>
      <c r="I4710" s="7" t="str">
        <f>IF(AND(ISBLANK(D4710),ISBLANK(C4710)),"",((VLOOKUP(D4710,Cardápio!$A$2:$C$16,3,0))*E4710)+IF(B4710="iFood",F4710*0.27,(VLOOKUP(VENDAS!C4710,Bairros!$A$2:$B$90,2,0))))</f>
        <v/>
      </c>
      <c r="J4710" s="7" t="str">
        <f t="shared" si="293"/>
        <v/>
      </c>
      <c r="K4710" s="9">
        <f t="shared" ca="1" si="294"/>
        <v>45404.878290162036</v>
      </c>
      <c r="L4710" s="10">
        <f t="shared" ca="1" si="295"/>
        <v>45404.878290046297</v>
      </c>
    </row>
    <row r="4711" spans="6:12" x14ac:dyDescent="0.25">
      <c r="F4711" s="11" t="str">
        <f>IF(ISBLANK(D4711),"",(VLOOKUP(D4711,Cardápio!$A$2:$B$16,2,0))*E4711)</f>
        <v/>
      </c>
      <c r="H4711" s="7" t="str">
        <f t="shared" si="292"/>
        <v/>
      </c>
      <c r="I4711" s="7" t="str">
        <f>IF(AND(ISBLANK(D4711),ISBLANK(C4711)),"",((VLOOKUP(D4711,Cardápio!$A$2:$C$16,3,0))*E4711)+IF(B4711="iFood",F4711*0.27,(VLOOKUP(VENDAS!C4711,Bairros!$A$2:$B$90,2,0))))</f>
        <v/>
      </c>
      <c r="J4711" s="7" t="str">
        <f t="shared" si="293"/>
        <v/>
      </c>
      <c r="K4711" s="9">
        <f t="shared" ca="1" si="294"/>
        <v>45404.878290162036</v>
      </c>
      <c r="L4711" s="10">
        <f t="shared" ca="1" si="295"/>
        <v>45404.878290162036</v>
      </c>
    </row>
    <row r="4712" spans="6:12" x14ac:dyDescent="0.25">
      <c r="F4712" s="11" t="str">
        <f>IF(ISBLANK(D4712),"",(VLOOKUP(D4712,Cardápio!$A$2:$B$16,2,0))*E4712)</f>
        <v/>
      </c>
      <c r="H4712" s="7" t="str">
        <f t="shared" si="292"/>
        <v/>
      </c>
      <c r="I4712" s="7" t="str">
        <f>IF(AND(ISBLANK(D4712),ISBLANK(C4712)),"",((VLOOKUP(D4712,Cardápio!$A$2:$C$16,3,0))*E4712)+IF(B4712="iFood",F4712*0.27,(VLOOKUP(VENDAS!C4712,Bairros!$A$2:$B$90,2,0))))</f>
        <v/>
      </c>
      <c r="J4712" s="7" t="str">
        <f t="shared" si="293"/>
        <v/>
      </c>
      <c r="K4712" s="9">
        <f t="shared" ca="1" si="294"/>
        <v>45404.878290162036</v>
      </c>
      <c r="L4712" s="10">
        <f t="shared" ca="1" si="295"/>
        <v>45404.878290046297</v>
      </c>
    </row>
    <row r="4713" spans="6:12" x14ac:dyDescent="0.25">
      <c r="F4713" s="11" t="str">
        <f>IF(ISBLANK(D4713),"",(VLOOKUP(D4713,Cardápio!$A$2:$B$16,2,0))*E4713)</f>
        <v/>
      </c>
      <c r="H4713" s="7" t="str">
        <f t="shared" si="292"/>
        <v/>
      </c>
      <c r="I4713" s="7" t="str">
        <f>IF(AND(ISBLANK(D4713),ISBLANK(C4713)),"",((VLOOKUP(D4713,Cardápio!$A$2:$C$16,3,0))*E4713)+IF(B4713="iFood",F4713*0.27,(VLOOKUP(VENDAS!C4713,Bairros!$A$2:$B$90,2,0))))</f>
        <v/>
      </c>
      <c r="J4713" s="7" t="str">
        <f t="shared" si="293"/>
        <v/>
      </c>
      <c r="K4713" s="9">
        <f t="shared" ca="1" si="294"/>
        <v>45404.878290277775</v>
      </c>
      <c r="L4713" s="10">
        <f t="shared" ca="1" si="295"/>
        <v>45404.878290046297</v>
      </c>
    </row>
    <row r="4714" spans="6:12" x14ac:dyDescent="0.25">
      <c r="F4714" s="11" t="str">
        <f>IF(ISBLANK(D4714),"",(VLOOKUP(D4714,Cardápio!$A$2:$B$16,2,0))*E4714)</f>
        <v/>
      </c>
      <c r="H4714" s="7" t="str">
        <f t="shared" si="292"/>
        <v/>
      </c>
      <c r="I4714" s="7" t="str">
        <f>IF(AND(ISBLANK(D4714),ISBLANK(C4714)),"",((VLOOKUP(D4714,Cardápio!$A$2:$C$16,3,0))*E4714)+IF(B4714="iFood",F4714*0.27,(VLOOKUP(VENDAS!C4714,Bairros!$A$2:$B$90,2,0))))</f>
        <v/>
      </c>
      <c r="J4714" s="7" t="str">
        <f t="shared" si="293"/>
        <v/>
      </c>
      <c r="K4714" s="9">
        <f t="shared" ca="1" si="294"/>
        <v>45404.878290162036</v>
      </c>
      <c r="L4714" s="10">
        <f t="shared" ca="1" si="295"/>
        <v>45404.878290046297</v>
      </c>
    </row>
    <row r="4715" spans="6:12" x14ac:dyDescent="0.25">
      <c r="F4715" s="11" t="str">
        <f>IF(ISBLANK(D4715),"",(VLOOKUP(D4715,Cardápio!$A$2:$B$16,2,0))*E4715)</f>
        <v/>
      </c>
      <c r="H4715" s="7" t="str">
        <f t="shared" si="292"/>
        <v/>
      </c>
      <c r="I4715" s="7" t="str">
        <f>IF(AND(ISBLANK(D4715),ISBLANK(C4715)),"",((VLOOKUP(D4715,Cardápio!$A$2:$C$16,3,0))*E4715)+IF(B4715="iFood",F4715*0.27,(VLOOKUP(VENDAS!C4715,Bairros!$A$2:$B$90,2,0))))</f>
        <v/>
      </c>
      <c r="J4715" s="7" t="str">
        <f t="shared" si="293"/>
        <v/>
      </c>
      <c r="K4715" s="9">
        <f t="shared" ca="1" si="294"/>
        <v>45404.878290162036</v>
      </c>
      <c r="L4715" s="10">
        <f t="shared" ca="1" si="295"/>
        <v>45404.878290162036</v>
      </c>
    </row>
    <row r="4716" spans="6:12" x14ac:dyDescent="0.25">
      <c r="F4716" s="11" t="str">
        <f>IF(ISBLANK(D4716),"",(VLOOKUP(D4716,Cardápio!$A$2:$B$16,2,0))*E4716)</f>
        <v/>
      </c>
      <c r="H4716" s="7" t="str">
        <f t="shared" si="292"/>
        <v/>
      </c>
      <c r="I4716" s="7" t="str">
        <f>IF(AND(ISBLANK(D4716),ISBLANK(C4716)),"",((VLOOKUP(D4716,Cardápio!$A$2:$C$16,3,0))*E4716)+IF(B4716="iFood",F4716*0.27,(VLOOKUP(VENDAS!C4716,Bairros!$A$2:$B$90,2,0))))</f>
        <v/>
      </c>
      <c r="J4716" s="7" t="str">
        <f t="shared" si="293"/>
        <v/>
      </c>
      <c r="K4716" s="9">
        <f t="shared" ca="1" si="294"/>
        <v>45404.878290162036</v>
      </c>
      <c r="L4716" s="10">
        <f t="shared" ca="1" si="295"/>
        <v>45404.878290046297</v>
      </c>
    </row>
    <row r="4717" spans="6:12" x14ac:dyDescent="0.25">
      <c r="F4717" s="11" t="str">
        <f>IF(ISBLANK(D4717),"",(VLOOKUP(D4717,Cardápio!$A$2:$B$16,2,0))*E4717)</f>
        <v/>
      </c>
      <c r="H4717" s="7" t="str">
        <f t="shared" si="292"/>
        <v/>
      </c>
      <c r="I4717" s="7" t="str">
        <f>IF(AND(ISBLANK(D4717),ISBLANK(C4717)),"",((VLOOKUP(D4717,Cardápio!$A$2:$C$16,3,0))*E4717)+IF(B4717="iFood",F4717*0.27,(VLOOKUP(VENDAS!C4717,Bairros!$A$2:$B$90,2,0))))</f>
        <v/>
      </c>
      <c r="J4717" s="7" t="str">
        <f t="shared" si="293"/>
        <v/>
      </c>
      <c r="K4717" s="9">
        <f t="shared" ca="1" si="294"/>
        <v>45404.878290277775</v>
      </c>
      <c r="L4717" s="10">
        <f t="shared" ca="1" si="295"/>
        <v>45404.878290046297</v>
      </c>
    </row>
    <row r="4718" spans="6:12" x14ac:dyDescent="0.25">
      <c r="F4718" s="11" t="str">
        <f>IF(ISBLANK(D4718),"",(VLOOKUP(D4718,Cardápio!$A$2:$B$16,2,0))*E4718)</f>
        <v/>
      </c>
      <c r="H4718" s="7" t="str">
        <f t="shared" si="292"/>
        <v/>
      </c>
      <c r="I4718" s="7" t="str">
        <f>IF(AND(ISBLANK(D4718),ISBLANK(C4718)),"",((VLOOKUP(D4718,Cardápio!$A$2:$C$16,3,0))*E4718)+IF(B4718="iFood",F4718*0.27,(VLOOKUP(VENDAS!C4718,Bairros!$A$2:$B$90,2,0))))</f>
        <v/>
      </c>
      <c r="J4718" s="7" t="str">
        <f t="shared" si="293"/>
        <v/>
      </c>
      <c r="K4718" s="9">
        <f t="shared" ca="1" si="294"/>
        <v>45404.878290162036</v>
      </c>
      <c r="L4718" s="10">
        <f t="shared" ca="1" si="295"/>
        <v>45404.878290046297</v>
      </c>
    </row>
    <row r="4719" spans="6:12" x14ac:dyDescent="0.25">
      <c r="F4719" s="11" t="str">
        <f>IF(ISBLANK(D4719),"",(VLOOKUP(D4719,Cardápio!$A$2:$B$16,2,0))*E4719)</f>
        <v/>
      </c>
      <c r="H4719" s="7" t="str">
        <f t="shared" si="292"/>
        <v/>
      </c>
      <c r="I4719" s="7" t="str">
        <f>IF(AND(ISBLANK(D4719),ISBLANK(C4719)),"",((VLOOKUP(D4719,Cardápio!$A$2:$C$16,3,0))*E4719)+IF(B4719="iFood",F4719*0.27,(VLOOKUP(VENDAS!C4719,Bairros!$A$2:$B$90,2,0))))</f>
        <v/>
      </c>
      <c r="J4719" s="7" t="str">
        <f t="shared" si="293"/>
        <v/>
      </c>
      <c r="K4719" s="9">
        <f t="shared" ca="1" si="294"/>
        <v>45404.878290162036</v>
      </c>
      <c r="L4719" s="10">
        <f t="shared" ca="1" si="295"/>
        <v>45404.878290162036</v>
      </c>
    </row>
    <row r="4720" spans="6:12" x14ac:dyDescent="0.25">
      <c r="F4720" s="11" t="str">
        <f>IF(ISBLANK(D4720),"",(VLOOKUP(D4720,Cardápio!$A$2:$B$16,2,0))*E4720)</f>
        <v/>
      </c>
      <c r="H4720" s="7" t="str">
        <f t="shared" si="292"/>
        <v/>
      </c>
      <c r="I4720" s="7" t="str">
        <f>IF(AND(ISBLANK(D4720),ISBLANK(C4720)),"",((VLOOKUP(D4720,Cardápio!$A$2:$C$16,3,0))*E4720)+IF(B4720="iFood",F4720*0.27,(VLOOKUP(VENDAS!C4720,Bairros!$A$2:$B$90,2,0))))</f>
        <v/>
      </c>
      <c r="J4720" s="7" t="str">
        <f t="shared" si="293"/>
        <v/>
      </c>
      <c r="K4720" s="9">
        <f t="shared" ca="1" si="294"/>
        <v>45404.878290162036</v>
      </c>
      <c r="L4720" s="10">
        <f t="shared" ca="1" si="295"/>
        <v>45404.878290046297</v>
      </c>
    </row>
    <row r="4721" spans="6:12" x14ac:dyDescent="0.25">
      <c r="F4721" s="11" t="str">
        <f>IF(ISBLANK(D4721),"",(VLOOKUP(D4721,Cardápio!$A$2:$B$16,2,0))*E4721)</f>
        <v/>
      </c>
      <c r="H4721" s="7" t="str">
        <f t="shared" si="292"/>
        <v/>
      </c>
      <c r="I4721" s="7" t="str">
        <f>IF(AND(ISBLANK(D4721),ISBLANK(C4721)),"",((VLOOKUP(D4721,Cardápio!$A$2:$C$16,3,0))*E4721)+IF(B4721="iFood",F4721*0.27,(VLOOKUP(VENDAS!C4721,Bairros!$A$2:$B$90,2,0))))</f>
        <v/>
      </c>
      <c r="J4721" s="7" t="str">
        <f t="shared" si="293"/>
        <v/>
      </c>
      <c r="K4721" s="9">
        <f t="shared" ca="1" si="294"/>
        <v>45404.878290277775</v>
      </c>
      <c r="L4721" s="10">
        <f t="shared" ca="1" si="295"/>
        <v>45404.878290046297</v>
      </c>
    </row>
    <row r="4722" spans="6:12" x14ac:dyDescent="0.25">
      <c r="F4722" s="11" t="str">
        <f>IF(ISBLANK(D4722),"",(VLOOKUP(D4722,Cardápio!$A$2:$B$16,2,0))*E4722)</f>
        <v/>
      </c>
      <c r="H4722" s="7" t="str">
        <f t="shared" si="292"/>
        <v/>
      </c>
      <c r="I4722" s="7" t="str">
        <f>IF(AND(ISBLANK(D4722),ISBLANK(C4722)),"",((VLOOKUP(D4722,Cardápio!$A$2:$C$16,3,0))*E4722)+IF(B4722="iFood",F4722*0.27,(VLOOKUP(VENDAS!C4722,Bairros!$A$2:$B$90,2,0))))</f>
        <v/>
      </c>
      <c r="J4722" s="7" t="str">
        <f t="shared" si="293"/>
        <v/>
      </c>
      <c r="K4722" s="9">
        <f t="shared" ca="1" si="294"/>
        <v>45404.878290162036</v>
      </c>
      <c r="L4722" s="10">
        <f t="shared" ca="1" si="295"/>
        <v>45404.878290046297</v>
      </c>
    </row>
    <row r="4723" spans="6:12" x14ac:dyDescent="0.25">
      <c r="F4723" s="11" t="str">
        <f>IF(ISBLANK(D4723),"",(VLOOKUP(D4723,Cardápio!$A$2:$B$16,2,0))*E4723)</f>
        <v/>
      </c>
      <c r="H4723" s="7" t="str">
        <f t="shared" si="292"/>
        <v/>
      </c>
      <c r="I4723" s="7" t="str">
        <f>IF(AND(ISBLANK(D4723),ISBLANK(C4723)),"",((VLOOKUP(D4723,Cardápio!$A$2:$C$16,3,0))*E4723)+IF(B4723="iFood",F4723*0.27,(VLOOKUP(VENDAS!C4723,Bairros!$A$2:$B$90,2,0))))</f>
        <v/>
      </c>
      <c r="J4723" s="7" t="str">
        <f t="shared" si="293"/>
        <v/>
      </c>
      <c r="K4723" s="9">
        <f t="shared" ca="1" si="294"/>
        <v>45404.878290162036</v>
      </c>
      <c r="L4723" s="10">
        <f t="shared" ca="1" si="295"/>
        <v>45404.878290162036</v>
      </c>
    </row>
    <row r="4724" spans="6:12" x14ac:dyDescent="0.25">
      <c r="F4724" s="11" t="str">
        <f>IF(ISBLANK(D4724),"",(VLOOKUP(D4724,Cardápio!$A$2:$B$16,2,0))*E4724)</f>
        <v/>
      </c>
      <c r="H4724" s="7" t="str">
        <f t="shared" si="292"/>
        <v/>
      </c>
      <c r="I4724" s="7" t="str">
        <f>IF(AND(ISBLANK(D4724),ISBLANK(C4724)),"",((VLOOKUP(D4724,Cardápio!$A$2:$C$16,3,0))*E4724)+IF(B4724="iFood",F4724*0.27,(VLOOKUP(VENDAS!C4724,Bairros!$A$2:$B$90,2,0))))</f>
        <v/>
      </c>
      <c r="J4724" s="7" t="str">
        <f t="shared" si="293"/>
        <v/>
      </c>
      <c r="K4724" s="9">
        <f t="shared" ca="1" si="294"/>
        <v>45404.878290162036</v>
      </c>
      <c r="L4724" s="10">
        <f t="shared" ca="1" si="295"/>
        <v>45404.878290046297</v>
      </c>
    </row>
    <row r="4725" spans="6:12" x14ac:dyDescent="0.25">
      <c r="F4725" s="11" t="str">
        <f>IF(ISBLANK(D4725),"",(VLOOKUP(D4725,Cardápio!$A$2:$B$16,2,0))*E4725)</f>
        <v/>
      </c>
      <c r="H4725" s="7" t="str">
        <f t="shared" ref="H4725:H4788" si="296">IF(ISBLANK(D4725),"",F4725-G4725)</f>
        <v/>
      </c>
      <c r="I4725" s="7" t="str">
        <f>IF(AND(ISBLANK(D4725),ISBLANK(C4725)),"",((VLOOKUP(D4725,Cardápio!$A$2:$C$16,3,0))*E4725)+IF(B4725="iFood",F4725*0.27,(VLOOKUP(VENDAS!C4725,Bairros!$A$2:$B$90,2,0))))</f>
        <v/>
      </c>
      <c r="J4725" s="7" t="str">
        <f t="shared" ref="J4725:J4788" si="297">IF(OR(AND(ISBLANK(H4725),ISBLANK(I4725)),(AND(H4725="",I4725=""))),"",H4725-I4725)</f>
        <v/>
      </c>
      <c r="K4725" s="9">
        <f t="shared" ref="K4725:K4788" ca="1" si="298">IF(D4725&lt;&gt;"",K4725,NOW())</f>
        <v>45404.878290277775</v>
      </c>
      <c r="L4725" s="10">
        <f t="shared" ref="L4725:L4788" ca="1" si="299">IF(D4725&lt;&gt;"",L4725,NOW())</f>
        <v>45404.878290046297</v>
      </c>
    </row>
    <row r="4726" spans="6:12" x14ac:dyDescent="0.25">
      <c r="F4726" s="11" t="str">
        <f>IF(ISBLANK(D4726),"",(VLOOKUP(D4726,Cardápio!$A$2:$B$16,2,0))*E4726)</f>
        <v/>
      </c>
      <c r="H4726" s="7" t="str">
        <f t="shared" si="296"/>
        <v/>
      </c>
      <c r="I4726" s="7" t="str">
        <f>IF(AND(ISBLANK(D4726),ISBLANK(C4726)),"",((VLOOKUP(D4726,Cardápio!$A$2:$C$16,3,0))*E4726)+IF(B4726="iFood",F4726*0.27,(VLOOKUP(VENDAS!C4726,Bairros!$A$2:$B$90,2,0))))</f>
        <v/>
      </c>
      <c r="J4726" s="7" t="str">
        <f t="shared" si="297"/>
        <v/>
      </c>
      <c r="K4726" s="9">
        <f t="shared" ca="1" si="298"/>
        <v>45404.878290162036</v>
      </c>
      <c r="L4726" s="10">
        <f t="shared" ca="1" si="299"/>
        <v>45404.878290046297</v>
      </c>
    </row>
    <row r="4727" spans="6:12" x14ac:dyDescent="0.25">
      <c r="F4727" s="11" t="str">
        <f>IF(ISBLANK(D4727),"",(VLOOKUP(D4727,Cardápio!$A$2:$B$16,2,0))*E4727)</f>
        <v/>
      </c>
      <c r="H4727" s="7" t="str">
        <f t="shared" si="296"/>
        <v/>
      </c>
      <c r="I4727" s="7" t="str">
        <f>IF(AND(ISBLANK(D4727),ISBLANK(C4727)),"",((VLOOKUP(D4727,Cardápio!$A$2:$C$16,3,0))*E4727)+IF(B4727="iFood",F4727*0.27,(VLOOKUP(VENDAS!C4727,Bairros!$A$2:$B$90,2,0))))</f>
        <v/>
      </c>
      <c r="J4727" s="7" t="str">
        <f t="shared" si="297"/>
        <v/>
      </c>
      <c r="K4727" s="9">
        <f t="shared" ca="1" si="298"/>
        <v>45404.878290162036</v>
      </c>
      <c r="L4727" s="10">
        <f t="shared" ca="1" si="299"/>
        <v>45404.878290162036</v>
      </c>
    </row>
    <row r="4728" spans="6:12" x14ac:dyDescent="0.25">
      <c r="F4728" s="11" t="str">
        <f>IF(ISBLANK(D4728),"",(VLOOKUP(D4728,Cardápio!$A$2:$B$16,2,0))*E4728)</f>
        <v/>
      </c>
      <c r="H4728" s="7" t="str">
        <f t="shared" si="296"/>
        <v/>
      </c>
      <c r="I4728" s="7" t="str">
        <f>IF(AND(ISBLANK(D4728),ISBLANK(C4728)),"",((VLOOKUP(D4728,Cardápio!$A$2:$C$16,3,0))*E4728)+IF(B4728="iFood",F4728*0.27,(VLOOKUP(VENDAS!C4728,Bairros!$A$2:$B$90,2,0))))</f>
        <v/>
      </c>
      <c r="J4728" s="7" t="str">
        <f t="shared" si="297"/>
        <v/>
      </c>
      <c r="K4728" s="9">
        <f t="shared" ca="1" si="298"/>
        <v>45404.878290162036</v>
      </c>
      <c r="L4728" s="10">
        <f t="shared" ca="1" si="299"/>
        <v>45404.878290046297</v>
      </c>
    </row>
    <row r="4729" spans="6:12" x14ac:dyDescent="0.25">
      <c r="F4729" s="11" t="str">
        <f>IF(ISBLANK(D4729),"",(VLOOKUP(D4729,Cardápio!$A$2:$B$16,2,0))*E4729)</f>
        <v/>
      </c>
      <c r="H4729" s="7" t="str">
        <f t="shared" si="296"/>
        <v/>
      </c>
      <c r="I4729" s="7" t="str">
        <f>IF(AND(ISBLANK(D4729),ISBLANK(C4729)),"",((VLOOKUP(D4729,Cardápio!$A$2:$C$16,3,0))*E4729)+IF(B4729="iFood",F4729*0.27,(VLOOKUP(VENDAS!C4729,Bairros!$A$2:$B$90,2,0))))</f>
        <v/>
      </c>
      <c r="J4729" s="7" t="str">
        <f t="shared" si="297"/>
        <v/>
      </c>
      <c r="K4729" s="9">
        <f t="shared" ca="1" si="298"/>
        <v>45404.878290277775</v>
      </c>
      <c r="L4729" s="10">
        <f t="shared" ca="1" si="299"/>
        <v>45404.878290046297</v>
      </c>
    </row>
    <row r="4730" spans="6:12" x14ac:dyDescent="0.25">
      <c r="F4730" s="11" t="str">
        <f>IF(ISBLANK(D4730),"",(VLOOKUP(D4730,Cardápio!$A$2:$B$16,2,0))*E4730)</f>
        <v/>
      </c>
      <c r="H4730" s="7" t="str">
        <f t="shared" si="296"/>
        <v/>
      </c>
      <c r="I4730" s="7" t="str">
        <f>IF(AND(ISBLANK(D4730),ISBLANK(C4730)),"",((VLOOKUP(D4730,Cardápio!$A$2:$C$16,3,0))*E4730)+IF(B4730="iFood",F4730*0.27,(VLOOKUP(VENDAS!C4730,Bairros!$A$2:$B$90,2,0))))</f>
        <v/>
      </c>
      <c r="J4730" s="7" t="str">
        <f t="shared" si="297"/>
        <v/>
      </c>
      <c r="K4730" s="9">
        <f t="shared" ca="1" si="298"/>
        <v>45404.878290162036</v>
      </c>
      <c r="L4730" s="10">
        <f t="shared" ca="1" si="299"/>
        <v>45404.878290046297</v>
      </c>
    </row>
    <row r="4731" spans="6:12" x14ac:dyDescent="0.25">
      <c r="F4731" s="11" t="str">
        <f>IF(ISBLANK(D4731),"",(VLOOKUP(D4731,Cardápio!$A$2:$B$16,2,0))*E4731)</f>
        <v/>
      </c>
      <c r="H4731" s="7" t="str">
        <f t="shared" si="296"/>
        <v/>
      </c>
      <c r="I4731" s="7" t="str">
        <f>IF(AND(ISBLANK(D4731),ISBLANK(C4731)),"",((VLOOKUP(D4731,Cardápio!$A$2:$C$16,3,0))*E4731)+IF(B4731="iFood",F4731*0.27,(VLOOKUP(VENDAS!C4731,Bairros!$A$2:$B$90,2,0))))</f>
        <v/>
      </c>
      <c r="J4731" s="7" t="str">
        <f t="shared" si="297"/>
        <v/>
      </c>
      <c r="K4731" s="9">
        <f t="shared" ca="1" si="298"/>
        <v>45404.878290162036</v>
      </c>
      <c r="L4731" s="10">
        <f t="shared" ca="1" si="299"/>
        <v>45404.878290162036</v>
      </c>
    </row>
    <row r="4732" spans="6:12" x14ac:dyDescent="0.25">
      <c r="F4732" s="11" t="str">
        <f>IF(ISBLANK(D4732),"",(VLOOKUP(D4732,Cardápio!$A$2:$B$16,2,0))*E4732)</f>
        <v/>
      </c>
      <c r="H4732" s="7" t="str">
        <f t="shared" si="296"/>
        <v/>
      </c>
      <c r="I4732" s="7" t="str">
        <f>IF(AND(ISBLANK(D4732),ISBLANK(C4732)),"",((VLOOKUP(D4732,Cardápio!$A$2:$C$16,3,0))*E4732)+IF(B4732="iFood",F4732*0.27,(VLOOKUP(VENDAS!C4732,Bairros!$A$2:$B$90,2,0))))</f>
        <v/>
      </c>
      <c r="J4732" s="7" t="str">
        <f t="shared" si="297"/>
        <v/>
      </c>
      <c r="K4732" s="9">
        <f t="shared" ca="1" si="298"/>
        <v>45404.878290162036</v>
      </c>
      <c r="L4732" s="10">
        <f t="shared" ca="1" si="299"/>
        <v>45404.878290046297</v>
      </c>
    </row>
    <row r="4733" spans="6:12" x14ac:dyDescent="0.25">
      <c r="F4733" s="11" t="str">
        <f>IF(ISBLANK(D4733),"",(VLOOKUP(D4733,Cardápio!$A$2:$B$16,2,0))*E4733)</f>
        <v/>
      </c>
      <c r="H4733" s="7" t="str">
        <f t="shared" si="296"/>
        <v/>
      </c>
      <c r="I4733" s="7" t="str">
        <f>IF(AND(ISBLANK(D4733),ISBLANK(C4733)),"",((VLOOKUP(D4733,Cardápio!$A$2:$C$16,3,0))*E4733)+IF(B4733="iFood",F4733*0.27,(VLOOKUP(VENDAS!C4733,Bairros!$A$2:$B$90,2,0))))</f>
        <v/>
      </c>
      <c r="J4733" s="7" t="str">
        <f t="shared" si="297"/>
        <v/>
      </c>
      <c r="K4733" s="9">
        <f t="shared" ca="1" si="298"/>
        <v>45404.878290277775</v>
      </c>
      <c r="L4733" s="10">
        <f t="shared" ca="1" si="299"/>
        <v>45404.878290046297</v>
      </c>
    </row>
    <row r="4734" spans="6:12" x14ac:dyDescent="0.25">
      <c r="F4734" s="11" t="str">
        <f>IF(ISBLANK(D4734),"",(VLOOKUP(D4734,Cardápio!$A$2:$B$16,2,0))*E4734)</f>
        <v/>
      </c>
      <c r="H4734" s="7" t="str">
        <f t="shared" si="296"/>
        <v/>
      </c>
      <c r="I4734" s="7" t="str">
        <f>IF(AND(ISBLANK(D4734),ISBLANK(C4734)),"",((VLOOKUP(D4734,Cardápio!$A$2:$C$16,3,0))*E4734)+IF(B4734="iFood",F4734*0.27,(VLOOKUP(VENDAS!C4734,Bairros!$A$2:$B$90,2,0))))</f>
        <v/>
      </c>
      <c r="J4734" s="7" t="str">
        <f t="shared" si="297"/>
        <v/>
      </c>
      <c r="K4734" s="9">
        <f t="shared" ca="1" si="298"/>
        <v>45404.878290162036</v>
      </c>
      <c r="L4734" s="10">
        <f t="shared" ca="1" si="299"/>
        <v>45404.878290046297</v>
      </c>
    </row>
    <row r="4735" spans="6:12" x14ac:dyDescent="0.25">
      <c r="F4735" s="11" t="str">
        <f>IF(ISBLANK(D4735),"",(VLOOKUP(D4735,Cardápio!$A$2:$B$16,2,0))*E4735)</f>
        <v/>
      </c>
      <c r="H4735" s="7" t="str">
        <f t="shared" si="296"/>
        <v/>
      </c>
      <c r="I4735" s="7" t="str">
        <f>IF(AND(ISBLANK(D4735),ISBLANK(C4735)),"",((VLOOKUP(D4735,Cardápio!$A$2:$C$16,3,0))*E4735)+IF(B4735="iFood",F4735*0.27,(VLOOKUP(VENDAS!C4735,Bairros!$A$2:$B$90,2,0))))</f>
        <v/>
      </c>
      <c r="J4735" s="7" t="str">
        <f t="shared" si="297"/>
        <v/>
      </c>
      <c r="K4735" s="9">
        <f t="shared" ca="1" si="298"/>
        <v>45404.878290162036</v>
      </c>
      <c r="L4735" s="10">
        <f t="shared" ca="1" si="299"/>
        <v>45404.878290162036</v>
      </c>
    </row>
    <row r="4736" spans="6:12" x14ac:dyDescent="0.25">
      <c r="F4736" s="11" t="str">
        <f>IF(ISBLANK(D4736),"",(VLOOKUP(D4736,Cardápio!$A$2:$B$16,2,0))*E4736)</f>
        <v/>
      </c>
      <c r="H4736" s="7" t="str">
        <f t="shared" si="296"/>
        <v/>
      </c>
      <c r="I4736" s="7" t="str">
        <f>IF(AND(ISBLANK(D4736),ISBLANK(C4736)),"",((VLOOKUP(D4736,Cardápio!$A$2:$C$16,3,0))*E4736)+IF(B4736="iFood",F4736*0.27,(VLOOKUP(VENDAS!C4736,Bairros!$A$2:$B$90,2,0))))</f>
        <v/>
      </c>
      <c r="J4736" s="7" t="str">
        <f t="shared" si="297"/>
        <v/>
      </c>
      <c r="K4736" s="9">
        <f t="shared" ca="1" si="298"/>
        <v>45404.878290162036</v>
      </c>
      <c r="L4736" s="10">
        <f t="shared" ca="1" si="299"/>
        <v>45404.878290046297</v>
      </c>
    </row>
    <row r="4737" spans="6:12" x14ac:dyDescent="0.25">
      <c r="F4737" s="11" t="str">
        <f>IF(ISBLANK(D4737),"",(VLOOKUP(D4737,Cardápio!$A$2:$B$16,2,0))*E4737)</f>
        <v/>
      </c>
      <c r="H4737" s="7" t="str">
        <f t="shared" si="296"/>
        <v/>
      </c>
      <c r="I4737" s="7" t="str">
        <f>IF(AND(ISBLANK(D4737),ISBLANK(C4737)),"",((VLOOKUP(D4737,Cardápio!$A$2:$C$16,3,0))*E4737)+IF(B4737="iFood",F4737*0.27,(VLOOKUP(VENDAS!C4737,Bairros!$A$2:$B$90,2,0))))</f>
        <v/>
      </c>
      <c r="J4737" s="7" t="str">
        <f t="shared" si="297"/>
        <v/>
      </c>
      <c r="K4737" s="9">
        <f t="shared" ca="1" si="298"/>
        <v>45404.878290277775</v>
      </c>
      <c r="L4737" s="10">
        <f t="shared" ca="1" si="299"/>
        <v>45404.878290046297</v>
      </c>
    </row>
    <row r="4738" spans="6:12" x14ac:dyDescent="0.25">
      <c r="F4738" s="11" t="str">
        <f>IF(ISBLANK(D4738),"",(VLOOKUP(D4738,Cardápio!$A$2:$B$16,2,0))*E4738)</f>
        <v/>
      </c>
      <c r="H4738" s="7" t="str">
        <f t="shared" si="296"/>
        <v/>
      </c>
      <c r="I4738" s="7" t="str">
        <f>IF(AND(ISBLANK(D4738),ISBLANK(C4738)),"",((VLOOKUP(D4738,Cardápio!$A$2:$C$16,3,0))*E4738)+IF(B4738="iFood",F4738*0.27,(VLOOKUP(VENDAS!C4738,Bairros!$A$2:$B$90,2,0))))</f>
        <v/>
      </c>
      <c r="J4738" s="7" t="str">
        <f t="shared" si="297"/>
        <v/>
      </c>
      <c r="K4738" s="9">
        <f t="shared" ca="1" si="298"/>
        <v>45404.878290162036</v>
      </c>
      <c r="L4738" s="10">
        <f t="shared" ca="1" si="299"/>
        <v>45404.878290046297</v>
      </c>
    </row>
    <row r="4739" spans="6:12" x14ac:dyDescent="0.25">
      <c r="F4739" s="11" t="str">
        <f>IF(ISBLANK(D4739),"",(VLOOKUP(D4739,Cardápio!$A$2:$B$16,2,0))*E4739)</f>
        <v/>
      </c>
      <c r="H4739" s="7" t="str">
        <f t="shared" si="296"/>
        <v/>
      </c>
      <c r="I4739" s="7" t="str">
        <f>IF(AND(ISBLANK(D4739),ISBLANK(C4739)),"",((VLOOKUP(D4739,Cardápio!$A$2:$C$16,3,0))*E4739)+IF(B4739="iFood",F4739*0.27,(VLOOKUP(VENDAS!C4739,Bairros!$A$2:$B$90,2,0))))</f>
        <v/>
      </c>
      <c r="J4739" s="7" t="str">
        <f t="shared" si="297"/>
        <v/>
      </c>
      <c r="K4739" s="9">
        <f t="shared" ca="1" si="298"/>
        <v>45404.878290162036</v>
      </c>
      <c r="L4739" s="10">
        <f t="shared" ca="1" si="299"/>
        <v>45404.878290162036</v>
      </c>
    </row>
    <row r="4740" spans="6:12" x14ac:dyDescent="0.25">
      <c r="F4740" s="11" t="str">
        <f>IF(ISBLANK(D4740),"",(VLOOKUP(D4740,Cardápio!$A$2:$B$16,2,0))*E4740)</f>
        <v/>
      </c>
      <c r="H4740" s="7" t="str">
        <f t="shared" si="296"/>
        <v/>
      </c>
      <c r="I4740" s="7" t="str">
        <f>IF(AND(ISBLANK(D4740),ISBLANK(C4740)),"",((VLOOKUP(D4740,Cardápio!$A$2:$C$16,3,0))*E4740)+IF(B4740="iFood",F4740*0.27,(VLOOKUP(VENDAS!C4740,Bairros!$A$2:$B$90,2,0))))</f>
        <v/>
      </c>
      <c r="J4740" s="7" t="str">
        <f t="shared" si="297"/>
        <v/>
      </c>
      <c r="K4740" s="9">
        <f t="shared" ca="1" si="298"/>
        <v>45404.878290162036</v>
      </c>
      <c r="L4740" s="10">
        <f t="shared" ca="1" si="299"/>
        <v>45404.878290046297</v>
      </c>
    </row>
    <row r="4741" spans="6:12" x14ac:dyDescent="0.25">
      <c r="F4741" s="11" t="str">
        <f>IF(ISBLANK(D4741),"",(VLOOKUP(D4741,Cardápio!$A$2:$B$16,2,0))*E4741)</f>
        <v/>
      </c>
      <c r="H4741" s="7" t="str">
        <f t="shared" si="296"/>
        <v/>
      </c>
      <c r="I4741" s="7" t="str">
        <f>IF(AND(ISBLANK(D4741),ISBLANK(C4741)),"",((VLOOKUP(D4741,Cardápio!$A$2:$C$16,3,0))*E4741)+IF(B4741="iFood",F4741*0.27,(VLOOKUP(VENDAS!C4741,Bairros!$A$2:$B$90,2,0))))</f>
        <v/>
      </c>
      <c r="J4741" s="7" t="str">
        <f t="shared" si="297"/>
        <v/>
      </c>
      <c r="K4741" s="9">
        <f t="shared" ca="1" si="298"/>
        <v>45404.878290277775</v>
      </c>
      <c r="L4741" s="10">
        <f t="shared" ca="1" si="299"/>
        <v>45404.878290046297</v>
      </c>
    </row>
    <row r="4742" spans="6:12" x14ac:dyDescent="0.25">
      <c r="F4742" s="11" t="str">
        <f>IF(ISBLANK(D4742),"",(VLOOKUP(D4742,Cardápio!$A$2:$B$16,2,0))*E4742)</f>
        <v/>
      </c>
      <c r="H4742" s="7" t="str">
        <f t="shared" si="296"/>
        <v/>
      </c>
      <c r="I4742" s="7" t="str">
        <f>IF(AND(ISBLANK(D4742),ISBLANK(C4742)),"",((VLOOKUP(D4742,Cardápio!$A$2:$C$16,3,0))*E4742)+IF(B4742="iFood",F4742*0.27,(VLOOKUP(VENDAS!C4742,Bairros!$A$2:$B$90,2,0))))</f>
        <v/>
      </c>
      <c r="J4742" s="7" t="str">
        <f t="shared" si="297"/>
        <v/>
      </c>
      <c r="K4742" s="9">
        <f t="shared" ca="1" si="298"/>
        <v>45404.878290162036</v>
      </c>
      <c r="L4742" s="10">
        <f t="shared" ca="1" si="299"/>
        <v>45404.878290046297</v>
      </c>
    </row>
    <row r="4743" spans="6:12" x14ac:dyDescent="0.25">
      <c r="F4743" s="11" t="str">
        <f>IF(ISBLANK(D4743),"",(VLOOKUP(D4743,Cardápio!$A$2:$B$16,2,0))*E4743)</f>
        <v/>
      </c>
      <c r="H4743" s="7" t="str">
        <f t="shared" si="296"/>
        <v/>
      </c>
      <c r="I4743" s="7" t="str">
        <f>IF(AND(ISBLANK(D4743),ISBLANK(C4743)),"",((VLOOKUP(D4743,Cardápio!$A$2:$C$16,3,0))*E4743)+IF(B4743="iFood",F4743*0.27,(VLOOKUP(VENDAS!C4743,Bairros!$A$2:$B$90,2,0))))</f>
        <v/>
      </c>
      <c r="J4743" s="7" t="str">
        <f t="shared" si="297"/>
        <v/>
      </c>
      <c r="K4743" s="9">
        <f t="shared" ca="1" si="298"/>
        <v>45404.878290162036</v>
      </c>
      <c r="L4743" s="10">
        <f t="shared" ca="1" si="299"/>
        <v>45404.878290162036</v>
      </c>
    </row>
    <row r="4744" spans="6:12" x14ac:dyDescent="0.25">
      <c r="F4744" s="11" t="str">
        <f>IF(ISBLANK(D4744),"",(VLOOKUP(D4744,Cardápio!$A$2:$B$16,2,0))*E4744)</f>
        <v/>
      </c>
      <c r="H4744" s="7" t="str">
        <f t="shared" si="296"/>
        <v/>
      </c>
      <c r="I4744" s="7" t="str">
        <f>IF(AND(ISBLANK(D4744),ISBLANK(C4744)),"",((VLOOKUP(D4744,Cardápio!$A$2:$C$16,3,0))*E4744)+IF(B4744="iFood",F4744*0.27,(VLOOKUP(VENDAS!C4744,Bairros!$A$2:$B$90,2,0))))</f>
        <v/>
      </c>
      <c r="J4744" s="7" t="str">
        <f t="shared" si="297"/>
        <v/>
      </c>
      <c r="K4744" s="9">
        <f t="shared" ca="1" si="298"/>
        <v>45404.878290162036</v>
      </c>
      <c r="L4744" s="10">
        <f t="shared" ca="1" si="299"/>
        <v>45404.878290046297</v>
      </c>
    </row>
    <row r="4745" spans="6:12" x14ac:dyDescent="0.25">
      <c r="F4745" s="11" t="str">
        <f>IF(ISBLANK(D4745),"",(VLOOKUP(D4745,Cardápio!$A$2:$B$16,2,0))*E4745)</f>
        <v/>
      </c>
      <c r="H4745" s="7" t="str">
        <f t="shared" si="296"/>
        <v/>
      </c>
      <c r="I4745" s="7" t="str">
        <f>IF(AND(ISBLANK(D4745),ISBLANK(C4745)),"",((VLOOKUP(D4745,Cardápio!$A$2:$C$16,3,0))*E4745)+IF(B4745="iFood",F4745*0.27,(VLOOKUP(VENDAS!C4745,Bairros!$A$2:$B$90,2,0))))</f>
        <v/>
      </c>
      <c r="J4745" s="7" t="str">
        <f t="shared" si="297"/>
        <v/>
      </c>
      <c r="K4745" s="9">
        <f t="shared" ca="1" si="298"/>
        <v>45404.878290277775</v>
      </c>
      <c r="L4745" s="10">
        <f t="shared" ca="1" si="299"/>
        <v>45404.878290046297</v>
      </c>
    </row>
    <row r="4746" spans="6:12" x14ac:dyDescent="0.25">
      <c r="F4746" s="11" t="str">
        <f>IF(ISBLANK(D4746),"",(VLOOKUP(D4746,Cardápio!$A$2:$B$16,2,0))*E4746)</f>
        <v/>
      </c>
      <c r="H4746" s="7" t="str">
        <f t="shared" si="296"/>
        <v/>
      </c>
      <c r="I4746" s="7" t="str">
        <f>IF(AND(ISBLANK(D4746),ISBLANK(C4746)),"",((VLOOKUP(D4746,Cardápio!$A$2:$C$16,3,0))*E4746)+IF(B4746="iFood",F4746*0.27,(VLOOKUP(VENDAS!C4746,Bairros!$A$2:$B$90,2,0))))</f>
        <v/>
      </c>
      <c r="J4746" s="7" t="str">
        <f t="shared" si="297"/>
        <v/>
      </c>
      <c r="K4746" s="9">
        <f t="shared" ca="1" si="298"/>
        <v>45404.878290162036</v>
      </c>
      <c r="L4746" s="10">
        <f t="shared" ca="1" si="299"/>
        <v>45404.878290046297</v>
      </c>
    </row>
    <row r="4747" spans="6:12" x14ac:dyDescent="0.25">
      <c r="F4747" s="11" t="str">
        <f>IF(ISBLANK(D4747),"",(VLOOKUP(D4747,Cardápio!$A$2:$B$16,2,0))*E4747)</f>
        <v/>
      </c>
      <c r="H4747" s="7" t="str">
        <f t="shared" si="296"/>
        <v/>
      </c>
      <c r="I4747" s="7" t="str">
        <f>IF(AND(ISBLANK(D4747),ISBLANK(C4747)),"",((VLOOKUP(D4747,Cardápio!$A$2:$C$16,3,0))*E4747)+IF(B4747="iFood",F4747*0.27,(VLOOKUP(VENDAS!C4747,Bairros!$A$2:$B$90,2,0))))</f>
        <v/>
      </c>
      <c r="J4747" s="7" t="str">
        <f t="shared" si="297"/>
        <v/>
      </c>
      <c r="K4747" s="9">
        <f t="shared" ca="1" si="298"/>
        <v>45404.878290162036</v>
      </c>
      <c r="L4747" s="10">
        <f t="shared" ca="1" si="299"/>
        <v>45404.878290162036</v>
      </c>
    </row>
    <row r="4748" spans="6:12" x14ac:dyDescent="0.25">
      <c r="F4748" s="11" t="str">
        <f>IF(ISBLANK(D4748),"",(VLOOKUP(D4748,Cardápio!$A$2:$B$16,2,0))*E4748)</f>
        <v/>
      </c>
      <c r="H4748" s="7" t="str">
        <f t="shared" si="296"/>
        <v/>
      </c>
      <c r="I4748" s="7" t="str">
        <f>IF(AND(ISBLANK(D4748),ISBLANK(C4748)),"",((VLOOKUP(D4748,Cardápio!$A$2:$C$16,3,0))*E4748)+IF(B4748="iFood",F4748*0.27,(VLOOKUP(VENDAS!C4748,Bairros!$A$2:$B$90,2,0))))</f>
        <v/>
      </c>
      <c r="J4748" s="7" t="str">
        <f t="shared" si="297"/>
        <v/>
      </c>
      <c r="K4748" s="9">
        <f t="shared" ca="1" si="298"/>
        <v>45404.878290162036</v>
      </c>
      <c r="L4748" s="10">
        <f t="shared" ca="1" si="299"/>
        <v>45404.878290046297</v>
      </c>
    </row>
    <row r="4749" spans="6:12" x14ac:dyDescent="0.25">
      <c r="F4749" s="11" t="str">
        <f>IF(ISBLANK(D4749),"",(VLOOKUP(D4749,Cardápio!$A$2:$B$16,2,0))*E4749)</f>
        <v/>
      </c>
      <c r="H4749" s="7" t="str">
        <f t="shared" si="296"/>
        <v/>
      </c>
      <c r="I4749" s="7" t="str">
        <f>IF(AND(ISBLANK(D4749),ISBLANK(C4749)),"",((VLOOKUP(D4749,Cardápio!$A$2:$C$16,3,0))*E4749)+IF(B4749="iFood",F4749*0.27,(VLOOKUP(VENDAS!C4749,Bairros!$A$2:$B$90,2,0))))</f>
        <v/>
      </c>
      <c r="J4749" s="7" t="str">
        <f t="shared" si="297"/>
        <v/>
      </c>
      <c r="K4749" s="9">
        <f t="shared" ca="1" si="298"/>
        <v>45404.878290277775</v>
      </c>
      <c r="L4749" s="10">
        <f t="shared" ca="1" si="299"/>
        <v>45404.878290046297</v>
      </c>
    </row>
    <row r="4750" spans="6:12" x14ac:dyDescent="0.25">
      <c r="F4750" s="11" t="str">
        <f>IF(ISBLANK(D4750),"",(VLOOKUP(D4750,Cardápio!$A$2:$B$16,2,0))*E4750)</f>
        <v/>
      </c>
      <c r="H4750" s="7" t="str">
        <f t="shared" si="296"/>
        <v/>
      </c>
      <c r="I4750" s="7" t="str">
        <f>IF(AND(ISBLANK(D4750),ISBLANK(C4750)),"",((VLOOKUP(D4750,Cardápio!$A$2:$C$16,3,0))*E4750)+IF(B4750="iFood",F4750*0.27,(VLOOKUP(VENDAS!C4750,Bairros!$A$2:$B$90,2,0))))</f>
        <v/>
      </c>
      <c r="J4750" s="7" t="str">
        <f t="shared" si="297"/>
        <v/>
      </c>
      <c r="K4750" s="9">
        <f t="shared" ca="1" si="298"/>
        <v>45404.878290162036</v>
      </c>
      <c r="L4750" s="10">
        <f t="shared" ca="1" si="299"/>
        <v>45404.878290046297</v>
      </c>
    </row>
    <row r="4751" spans="6:12" x14ac:dyDescent="0.25">
      <c r="F4751" s="11" t="str">
        <f>IF(ISBLANK(D4751),"",(VLOOKUP(D4751,Cardápio!$A$2:$B$16,2,0))*E4751)</f>
        <v/>
      </c>
      <c r="H4751" s="7" t="str">
        <f t="shared" si="296"/>
        <v/>
      </c>
      <c r="I4751" s="7" t="str">
        <f>IF(AND(ISBLANK(D4751),ISBLANK(C4751)),"",((VLOOKUP(D4751,Cardápio!$A$2:$C$16,3,0))*E4751)+IF(B4751="iFood",F4751*0.27,(VLOOKUP(VENDAS!C4751,Bairros!$A$2:$B$90,2,0))))</f>
        <v/>
      </c>
      <c r="J4751" s="7" t="str">
        <f t="shared" si="297"/>
        <v/>
      </c>
      <c r="K4751" s="9">
        <f t="shared" ca="1" si="298"/>
        <v>45404.878290162036</v>
      </c>
      <c r="L4751" s="10">
        <f t="shared" ca="1" si="299"/>
        <v>45404.878290162036</v>
      </c>
    </row>
    <row r="4752" spans="6:12" x14ac:dyDescent="0.25">
      <c r="F4752" s="11" t="str">
        <f>IF(ISBLANK(D4752),"",(VLOOKUP(D4752,Cardápio!$A$2:$B$16,2,0))*E4752)</f>
        <v/>
      </c>
      <c r="H4752" s="7" t="str">
        <f t="shared" si="296"/>
        <v/>
      </c>
      <c r="I4752" s="7" t="str">
        <f>IF(AND(ISBLANK(D4752),ISBLANK(C4752)),"",((VLOOKUP(D4752,Cardápio!$A$2:$C$16,3,0))*E4752)+IF(B4752="iFood",F4752*0.27,(VLOOKUP(VENDAS!C4752,Bairros!$A$2:$B$90,2,0))))</f>
        <v/>
      </c>
      <c r="J4752" s="7" t="str">
        <f t="shared" si="297"/>
        <v/>
      </c>
      <c r="K4752" s="9">
        <f t="shared" ca="1" si="298"/>
        <v>45404.878290162036</v>
      </c>
      <c r="L4752" s="10">
        <f t="shared" ca="1" si="299"/>
        <v>45404.878290046297</v>
      </c>
    </row>
    <row r="4753" spans="6:12" x14ac:dyDescent="0.25">
      <c r="F4753" s="11" t="str">
        <f>IF(ISBLANK(D4753),"",(VLOOKUP(D4753,Cardápio!$A$2:$B$16,2,0))*E4753)</f>
        <v/>
      </c>
      <c r="H4753" s="7" t="str">
        <f t="shared" si="296"/>
        <v/>
      </c>
      <c r="I4753" s="7" t="str">
        <f>IF(AND(ISBLANK(D4753),ISBLANK(C4753)),"",((VLOOKUP(D4753,Cardápio!$A$2:$C$16,3,0))*E4753)+IF(B4753="iFood",F4753*0.27,(VLOOKUP(VENDAS!C4753,Bairros!$A$2:$B$90,2,0))))</f>
        <v/>
      </c>
      <c r="J4753" s="7" t="str">
        <f t="shared" si="297"/>
        <v/>
      </c>
      <c r="K4753" s="9">
        <f t="shared" ca="1" si="298"/>
        <v>45404.878290277775</v>
      </c>
      <c r="L4753" s="10">
        <f t="shared" ca="1" si="299"/>
        <v>45404.878290046297</v>
      </c>
    </row>
    <row r="4754" spans="6:12" x14ac:dyDescent="0.25">
      <c r="F4754" s="11" t="str">
        <f>IF(ISBLANK(D4754),"",(VLOOKUP(D4754,Cardápio!$A$2:$B$16,2,0))*E4754)</f>
        <v/>
      </c>
      <c r="H4754" s="7" t="str">
        <f t="shared" si="296"/>
        <v/>
      </c>
      <c r="I4754" s="7" t="str">
        <f>IF(AND(ISBLANK(D4754),ISBLANK(C4754)),"",((VLOOKUP(D4754,Cardápio!$A$2:$C$16,3,0))*E4754)+IF(B4754="iFood",F4754*0.27,(VLOOKUP(VENDAS!C4754,Bairros!$A$2:$B$90,2,0))))</f>
        <v/>
      </c>
      <c r="J4754" s="7" t="str">
        <f t="shared" si="297"/>
        <v/>
      </c>
      <c r="K4754" s="9">
        <f t="shared" ca="1" si="298"/>
        <v>45404.878290162036</v>
      </c>
      <c r="L4754" s="10">
        <f t="shared" ca="1" si="299"/>
        <v>45404.878290046297</v>
      </c>
    </row>
    <row r="4755" spans="6:12" x14ac:dyDescent="0.25">
      <c r="F4755" s="11" t="str">
        <f>IF(ISBLANK(D4755),"",(VLOOKUP(D4755,Cardápio!$A$2:$B$16,2,0))*E4755)</f>
        <v/>
      </c>
      <c r="H4755" s="7" t="str">
        <f t="shared" si="296"/>
        <v/>
      </c>
      <c r="I4755" s="7" t="str">
        <f>IF(AND(ISBLANK(D4755),ISBLANK(C4755)),"",((VLOOKUP(D4755,Cardápio!$A$2:$C$16,3,0))*E4755)+IF(B4755="iFood",F4755*0.27,(VLOOKUP(VENDAS!C4755,Bairros!$A$2:$B$90,2,0))))</f>
        <v/>
      </c>
      <c r="J4755" s="7" t="str">
        <f t="shared" si="297"/>
        <v/>
      </c>
      <c r="K4755" s="9">
        <f t="shared" ca="1" si="298"/>
        <v>45404.878290162036</v>
      </c>
      <c r="L4755" s="10">
        <f t="shared" ca="1" si="299"/>
        <v>45404.878290162036</v>
      </c>
    </row>
    <row r="4756" spans="6:12" x14ac:dyDescent="0.25">
      <c r="F4756" s="11" t="str">
        <f>IF(ISBLANK(D4756),"",(VLOOKUP(D4756,Cardápio!$A$2:$B$16,2,0))*E4756)</f>
        <v/>
      </c>
      <c r="H4756" s="7" t="str">
        <f t="shared" si="296"/>
        <v/>
      </c>
      <c r="I4756" s="7" t="str">
        <f>IF(AND(ISBLANK(D4756),ISBLANK(C4756)),"",((VLOOKUP(D4756,Cardápio!$A$2:$C$16,3,0))*E4756)+IF(B4756="iFood",F4756*0.27,(VLOOKUP(VENDAS!C4756,Bairros!$A$2:$B$90,2,0))))</f>
        <v/>
      </c>
      <c r="J4756" s="7" t="str">
        <f t="shared" si="297"/>
        <v/>
      </c>
      <c r="K4756" s="9">
        <f t="shared" ca="1" si="298"/>
        <v>45404.878290162036</v>
      </c>
      <c r="L4756" s="10">
        <f t="shared" ca="1" si="299"/>
        <v>45404.878290046297</v>
      </c>
    </row>
    <row r="4757" spans="6:12" x14ac:dyDescent="0.25">
      <c r="F4757" s="11" t="str">
        <f>IF(ISBLANK(D4757),"",(VLOOKUP(D4757,Cardápio!$A$2:$B$16,2,0))*E4757)</f>
        <v/>
      </c>
      <c r="H4757" s="7" t="str">
        <f t="shared" si="296"/>
        <v/>
      </c>
      <c r="I4757" s="7" t="str">
        <f>IF(AND(ISBLANK(D4757),ISBLANK(C4757)),"",((VLOOKUP(D4757,Cardápio!$A$2:$C$16,3,0))*E4757)+IF(B4757="iFood",F4757*0.27,(VLOOKUP(VENDAS!C4757,Bairros!$A$2:$B$90,2,0))))</f>
        <v/>
      </c>
      <c r="J4757" s="7" t="str">
        <f t="shared" si="297"/>
        <v/>
      </c>
      <c r="K4757" s="9">
        <f t="shared" ca="1" si="298"/>
        <v>45404.878290277775</v>
      </c>
      <c r="L4757" s="10">
        <f t="shared" ca="1" si="299"/>
        <v>45404.878290046297</v>
      </c>
    </row>
    <row r="4758" spans="6:12" x14ac:dyDescent="0.25">
      <c r="F4758" s="11" t="str">
        <f>IF(ISBLANK(D4758),"",(VLOOKUP(D4758,Cardápio!$A$2:$B$16,2,0))*E4758)</f>
        <v/>
      </c>
      <c r="H4758" s="7" t="str">
        <f t="shared" si="296"/>
        <v/>
      </c>
      <c r="I4758" s="7" t="str">
        <f>IF(AND(ISBLANK(D4758),ISBLANK(C4758)),"",((VLOOKUP(D4758,Cardápio!$A$2:$C$16,3,0))*E4758)+IF(B4758="iFood",F4758*0.27,(VLOOKUP(VENDAS!C4758,Bairros!$A$2:$B$90,2,0))))</f>
        <v/>
      </c>
      <c r="J4758" s="7" t="str">
        <f t="shared" si="297"/>
        <v/>
      </c>
      <c r="K4758" s="9">
        <f t="shared" ca="1" si="298"/>
        <v>45404.878290162036</v>
      </c>
      <c r="L4758" s="10">
        <f t="shared" ca="1" si="299"/>
        <v>45404.878290046297</v>
      </c>
    </row>
    <row r="4759" spans="6:12" x14ac:dyDescent="0.25">
      <c r="F4759" s="11" t="str">
        <f>IF(ISBLANK(D4759),"",(VLOOKUP(D4759,Cardápio!$A$2:$B$16,2,0))*E4759)</f>
        <v/>
      </c>
      <c r="H4759" s="7" t="str">
        <f t="shared" si="296"/>
        <v/>
      </c>
      <c r="I4759" s="7" t="str">
        <f>IF(AND(ISBLANK(D4759),ISBLANK(C4759)),"",((VLOOKUP(D4759,Cardápio!$A$2:$C$16,3,0))*E4759)+IF(B4759="iFood",F4759*0.27,(VLOOKUP(VENDAS!C4759,Bairros!$A$2:$B$90,2,0))))</f>
        <v/>
      </c>
      <c r="J4759" s="7" t="str">
        <f t="shared" si="297"/>
        <v/>
      </c>
      <c r="K4759" s="9">
        <f t="shared" ca="1" si="298"/>
        <v>45404.878290162036</v>
      </c>
      <c r="L4759" s="10">
        <f t="shared" ca="1" si="299"/>
        <v>45404.878290162036</v>
      </c>
    </row>
    <row r="4760" spans="6:12" x14ac:dyDescent="0.25">
      <c r="F4760" s="11" t="str">
        <f>IF(ISBLANK(D4760),"",(VLOOKUP(D4760,Cardápio!$A$2:$B$16,2,0))*E4760)</f>
        <v/>
      </c>
      <c r="H4760" s="7" t="str">
        <f t="shared" si="296"/>
        <v/>
      </c>
      <c r="I4760" s="7" t="str">
        <f>IF(AND(ISBLANK(D4760),ISBLANK(C4760)),"",((VLOOKUP(D4760,Cardápio!$A$2:$C$16,3,0))*E4760)+IF(B4760="iFood",F4760*0.27,(VLOOKUP(VENDAS!C4760,Bairros!$A$2:$B$90,2,0))))</f>
        <v/>
      </c>
      <c r="J4760" s="7" t="str">
        <f t="shared" si="297"/>
        <v/>
      </c>
      <c r="K4760" s="9">
        <f t="shared" ca="1" si="298"/>
        <v>45404.878290162036</v>
      </c>
      <c r="L4760" s="10">
        <f t="shared" ca="1" si="299"/>
        <v>45404.878290046297</v>
      </c>
    </row>
    <row r="4761" spans="6:12" x14ac:dyDescent="0.25">
      <c r="F4761" s="11" t="str">
        <f>IF(ISBLANK(D4761),"",(VLOOKUP(D4761,Cardápio!$A$2:$B$16,2,0))*E4761)</f>
        <v/>
      </c>
      <c r="H4761" s="7" t="str">
        <f t="shared" si="296"/>
        <v/>
      </c>
      <c r="I4761" s="7" t="str">
        <f>IF(AND(ISBLANK(D4761),ISBLANK(C4761)),"",((VLOOKUP(D4761,Cardápio!$A$2:$C$16,3,0))*E4761)+IF(B4761="iFood",F4761*0.27,(VLOOKUP(VENDAS!C4761,Bairros!$A$2:$B$90,2,0))))</f>
        <v/>
      </c>
      <c r="J4761" s="7" t="str">
        <f t="shared" si="297"/>
        <v/>
      </c>
      <c r="K4761" s="9">
        <f t="shared" ca="1" si="298"/>
        <v>45404.878290277775</v>
      </c>
      <c r="L4761" s="10">
        <f t="shared" ca="1" si="299"/>
        <v>45404.878290046297</v>
      </c>
    </row>
    <row r="4762" spans="6:12" x14ac:dyDescent="0.25">
      <c r="F4762" s="11" t="str">
        <f>IF(ISBLANK(D4762),"",(VLOOKUP(D4762,Cardápio!$A$2:$B$16,2,0))*E4762)</f>
        <v/>
      </c>
      <c r="H4762" s="7" t="str">
        <f t="shared" si="296"/>
        <v/>
      </c>
      <c r="I4762" s="7" t="str">
        <f>IF(AND(ISBLANK(D4762),ISBLANK(C4762)),"",((VLOOKUP(D4762,Cardápio!$A$2:$C$16,3,0))*E4762)+IF(B4762="iFood",F4762*0.27,(VLOOKUP(VENDAS!C4762,Bairros!$A$2:$B$90,2,0))))</f>
        <v/>
      </c>
      <c r="J4762" s="7" t="str">
        <f t="shared" si="297"/>
        <v/>
      </c>
      <c r="K4762" s="9">
        <f t="shared" ca="1" si="298"/>
        <v>45404.878290162036</v>
      </c>
      <c r="L4762" s="10">
        <f t="shared" ca="1" si="299"/>
        <v>45404.878290046297</v>
      </c>
    </row>
    <row r="4763" spans="6:12" x14ac:dyDescent="0.25">
      <c r="F4763" s="11" t="str">
        <f>IF(ISBLANK(D4763),"",(VLOOKUP(D4763,Cardápio!$A$2:$B$16,2,0))*E4763)</f>
        <v/>
      </c>
      <c r="H4763" s="7" t="str">
        <f t="shared" si="296"/>
        <v/>
      </c>
      <c r="I4763" s="7" t="str">
        <f>IF(AND(ISBLANK(D4763),ISBLANK(C4763)),"",((VLOOKUP(D4763,Cardápio!$A$2:$C$16,3,0))*E4763)+IF(B4763="iFood",F4763*0.27,(VLOOKUP(VENDAS!C4763,Bairros!$A$2:$B$90,2,0))))</f>
        <v/>
      </c>
      <c r="J4763" s="7" t="str">
        <f t="shared" si="297"/>
        <v/>
      </c>
      <c r="K4763" s="9">
        <f t="shared" ca="1" si="298"/>
        <v>45404.878290162036</v>
      </c>
      <c r="L4763" s="10">
        <f t="shared" ca="1" si="299"/>
        <v>45404.878290162036</v>
      </c>
    </row>
    <row r="4764" spans="6:12" x14ac:dyDescent="0.25">
      <c r="F4764" s="11" t="str">
        <f>IF(ISBLANK(D4764),"",(VLOOKUP(D4764,Cardápio!$A$2:$B$16,2,0))*E4764)</f>
        <v/>
      </c>
      <c r="H4764" s="7" t="str">
        <f t="shared" si="296"/>
        <v/>
      </c>
      <c r="I4764" s="7" t="str">
        <f>IF(AND(ISBLANK(D4764),ISBLANK(C4764)),"",((VLOOKUP(D4764,Cardápio!$A$2:$C$16,3,0))*E4764)+IF(B4764="iFood",F4764*0.27,(VLOOKUP(VENDAS!C4764,Bairros!$A$2:$B$90,2,0))))</f>
        <v/>
      </c>
      <c r="J4764" s="7" t="str">
        <f t="shared" si="297"/>
        <v/>
      </c>
      <c r="K4764" s="9">
        <f t="shared" ca="1" si="298"/>
        <v>45404.878290162036</v>
      </c>
      <c r="L4764" s="10">
        <f t="shared" ca="1" si="299"/>
        <v>45404.878290046297</v>
      </c>
    </row>
    <row r="4765" spans="6:12" x14ac:dyDescent="0.25">
      <c r="F4765" s="11" t="str">
        <f>IF(ISBLANK(D4765),"",(VLOOKUP(D4765,Cardápio!$A$2:$B$16,2,0))*E4765)</f>
        <v/>
      </c>
      <c r="H4765" s="7" t="str">
        <f t="shared" si="296"/>
        <v/>
      </c>
      <c r="I4765" s="7" t="str">
        <f>IF(AND(ISBLANK(D4765),ISBLANK(C4765)),"",((VLOOKUP(D4765,Cardápio!$A$2:$C$16,3,0))*E4765)+IF(B4765="iFood",F4765*0.27,(VLOOKUP(VENDAS!C4765,Bairros!$A$2:$B$90,2,0))))</f>
        <v/>
      </c>
      <c r="J4765" s="7" t="str">
        <f t="shared" si="297"/>
        <v/>
      </c>
      <c r="K4765" s="9">
        <f t="shared" ca="1" si="298"/>
        <v>45404.878290277775</v>
      </c>
      <c r="L4765" s="10">
        <f t="shared" ca="1" si="299"/>
        <v>45404.878290046297</v>
      </c>
    </row>
    <row r="4766" spans="6:12" x14ac:dyDescent="0.25">
      <c r="F4766" s="11" t="str">
        <f>IF(ISBLANK(D4766),"",(VLOOKUP(D4766,Cardápio!$A$2:$B$16,2,0))*E4766)</f>
        <v/>
      </c>
      <c r="H4766" s="7" t="str">
        <f t="shared" si="296"/>
        <v/>
      </c>
      <c r="I4766" s="7" t="str">
        <f>IF(AND(ISBLANK(D4766),ISBLANK(C4766)),"",((VLOOKUP(D4766,Cardápio!$A$2:$C$16,3,0))*E4766)+IF(B4766="iFood",F4766*0.27,(VLOOKUP(VENDAS!C4766,Bairros!$A$2:$B$90,2,0))))</f>
        <v/>
      </c>
      <c r="J4766" s="7" t="str">
        <f t="shared" si="297"/>
        <v/>
      </c>
      <c r="K4766" s="9">
        <f t="shared" ca="1" si="298"/>
        <v>45404.878290162036</v>
      </c>
      <c r="L4766" s="10">
        <f t="shared" ca="1" si="299"/>
        <v>45404.878290046297</v>
      </c>
    </row>
    <row r="4767" spans="6:12" x14ac:dyDescent="0.25">
      <c r="F4767" s="11" t="str">
        <f>IF(ISBLANK(D4767),"",(VLOOKUP(D4767,Cardápio!$A$2:$B$16,2,0))*E4767)</f>
        <v/>
      </c>
      <c r="H4767" s="7" t="str">
        <f t="shared" si="296"/>
        <v/>
      </c>
      <c r="I4767" s="7" t="str">
        <f>IF(AND(ISBLANK(D4767),ISBLANK(C4767)),"",((VLOOKUP(D4767,Cardápio!$A$2:$C$16,3,0))*E4767)+IF(B4767="iFood",F4767*0.27,(VLOOKUP(VENDAS!C4767,Bairros!$A$2:$B$90,2,0))))</f>
        <v/>
      </c>
      <c r="J4767" s="7" t="str">
        <f t="shared" si="297"/>
        <v/>
      </c>
      <c r="K4767" s="9">
        <f t="shared" ca="1" si="298"/>
        <v>45404.878290162036</v>
      </c>
      <c r="L4767" s="10">
        <f t="shared" ca="1" si="299"/>
        <v>45404.878290162036</v>
      </c>
    </row>
    <row r="4768" spans="6:12" x14ac:dyDescent="0.25">
      <c r="F4768" s="11" t="str">
        <f>IF(ISBLANK(D4768),"",(VLOOKUP(D4768,Cardápio!$A$2:$B$16,2,0))*E4768)</f>
        <v/>
      </c>
      <c r="H4768" s="7" t="str">
        <f t="shared" si="296"/>
        <v/>
      </c>
      <c r="I4768" s="7" t="str">
        <f>IF(AND(ISBLANK(D4768),ISBLANK(C4768)),"",((VLOOKUP(D4768,Cardápio!$A$2:$C$16,3,0))*E4768)+IF(B4768="iFood",F4768*0.27,(VLOOKUP(VENDAS!C4768,Bairros!$A$2:$B$90,2,0))))</f>
        <v/>
      </c>
      <c r="J4768" s="7" t="str">
        <f t="shared" si="297"/>
        <v/>
      </c>
      <c r="K4768" s="9">
        <f t="shared" ca="1" si="298"/>
        <v>45404.878290162036</v>
      </c>
      <c r="L4768" s="10">
        <f t="shared" ca="1" si="299"/>
        <v>45404.878290046297</v>
      </c>
    </row>
    <row r="4769" spans="6:12" x14ac:dyDescent="0.25">
      <c r="F4769" s="11" t="str">
        <f>IF(ISBLANK(D4769),"",(VLOOKUP(D4769,Cardápio!$A$2:$B$16,2,0))*E4769)</f>
        <v/>
      </c>
      <c r="H4769" s="7" t="str">
        <f t="shared" si="296"/>
        <v/>
      </c>
      <c r="I4769" s="7" t="str">
        <f>IF(AND(ISBLANK(D4769),ISBLANK(C4769)),"",((VLOOKUP(D4769,Cardápio!$A$2:$C$16,3,0))*E4769)+IF(B4769="iFood",F4769*0.27,(VLOOKUP(VENDAS!C4769,Bairros!$A$2:$B$90,2,0))))</f>
        <v/>
      </c>
      <c r="J4769" s="7" t="str">
        <f t="shared" si="297"/>
        <v/>
      </c>
      <c r="K4769" s="9">
        <f t="shared" ca="1" si="298"/>
        <v>45404.878290277775</v>
      </c>
      <c r="L4769" s="10">
        <f t="shared" ca="1" si="299"/>
        <v>45404.878290046297</v>
      </c>
    </row>
    <row r="4770" spans="6:12" x14ac:dyDescent="0.25">
      <c r="F4770" s="11" t="str">
        <f>IF(ISBLANK(D4770),"",(VLOOKUP(D4770,Cardápio!$A$2:$B$16,2,0))*E4770)</f>
        <v/>
      </c>
      <c r="H4770" s="7" t="str">
        <f t="shared" si="296"/>
        <v/>
      </c>
      <c r="I4770" s="7" t="str">
        <f>IF(AND(ISBLANK(D4770),ISBLANK(C4770)),"",((VLOOKUP(D4770,Cardápio!$A$2:$C$16,3,0))*E4770)+IF(B4770="iFood",F4770*0.27,(VLOOKUP(VENDAS!C4770,Bairros!$A$2:$B$90,2,0))))</f>
        <v/>
      </c>
      <c r="J4770" s="7" t="str">
        <f t="shared" si="297"/>
        <v/>
      </c>
      <c r="K4770" s="9">
        <f t="shared" ca="1" si="298"/>
        <v>45404.878290162036</v>
      </c>
      <c r="L4770" s="10">
        <f t="shared" ca="1" si="299"/>
        <v>45404.878290046297</v>
      </c>
    </row>
    <row r="4771" spans="6:12" x14ac:dyDescent="0.25">
      <c r="F4771" s="11" t="str">
        <f>IF(ISBLANK(D4771),"",(VLOOKUP(D4771,Cardápio!$A$2:$B$16,2,0))*E4771)</f>
        <v/>
      </c>
      <c r="H4771" s="7" t="str">
        <f t="shared" si="296"/>
        <v/>
      </c>
      <c r="I4771" s="7" t="str">
        <f>IF(AND(ISBLANK(D4771),ISBLANK(C4771)),"",((VLOOKUP(D4771,Cardápio!$A$2:$C$16,3,0))*E4771)+IF(B4771="iFood",F4771*0.27,(VLOOKUP(VENDAS!C4771,Bairros!$A$2:$B$90,2,0))))</f>
        <v/>
      </c>
      <c r="J4771" s="7" t="str">
        <f t="shared" si="297"/>
        <v/>
      </c>
      <c r="K4771" s="9">
        <f t="shared" ca="1" si="298"/>
        <v>45404.878290162036</v>
      </c>
      <c r="L4771" s="10">
        <f t="shared" ca="1" si="299"/>
        <v>45404.878290162036</v>
      </c>
    </row>
    <row r="4772" spans="6:12" x14ac:dyDescent="0.25">
      <c r="F4772" s="11" t="str">
        <f>IF(ISBLANK(D4772),"",(VLOOKUP(D4772,Cardápio!$A$2:$B$16,2,0))*E4772)</f>
        <v/>
      </c>
      <c r="H4772" s="7" t="str">
        <f t="shared" si="296"/>
        <v/>
      </c>
      <c r="I4772" s="7" t="str">
        <f>IF(AND(ISBLANK(D4772),ISBLANK(C4772)),"",((VLOOKUP(D4772,Cardápio!$A$2:$C$16,3,0))*E4772)+IF(B4772="iFood",F4772*0.27,(VLOOKUP(VENDAS!C4772,Bairros!$A$2:$B$90,2,0))))</f>
        <v/>
      </c>
      <c r="J4772" s="7" t="str">
        <f t="shared" si="297"/>
        <v/>
      </c>
      <c r="K4772" s="9">
        <f t="shared" ca="1" si="298"/>
        <v>45404.878290162036</v>
      </c>
      <c r="L4772" s="10">
        <f t="shared" ca="1" si="299"/>
        <v>45404.878290046297</v>
      </c>
    </row>
    <row r="4773" spans="6:12" x14ac:dyDescent="0.25">
      <c r="F4773" s="11" t="str">
        <f>IF(ISBLANK(D4773),"",(VLOOKUP(D4773,Cardápio!$A$2:$B$16,2,0))*E4773)</f>
        <v/>
      </c>
      <c r="H4773" s="7" t="str">
        <f t="shared" si="296"/>
        <v/>
      </c>
      <c r="I4773" s="7" t="str">
        <f>IF(AND(ISBLANK(D4773),ISBLANK(C4773)),"",((VLOOKUP(D4773,Cardápio!$A$2:$C$16,3,0))*E4773)+IF(B4773="iFood",F4773*0.27,(VLOOKUP(VENDAS!C4773,Bairros!$A$2:$B$90,2,0))))</f>
        <v/>
      </c>
      <c r="J4773" s="7" t="str">
        <f t="shared" si="297"/>
        <v/>
      </c>
      <c r="K4773" s="9">
        <f t="shared" ca="1" si="298"/>
        <v>45404.878290277775</v>
      </c>
      <c r="L4773" s="10">
        <f t="shared" ca="1" si="299"/>
        <v>45404.878290046297</v>
      </c>
    </row>
    <row r="4774" spans="6:12" x14ac:dyDescent="0.25">
      <c r="F4774" s="11" t="str">
        <f>IF(ISBLANK(D4774),"",(VLOOKUP(D4774,Cardápio!$A$2:$B$16,2,0))*E4774)</f>
        <v/>
      </c>
      <c r="H4774" s="7" t="str">
        <f t="shared" si="296"/>
        <v/>
      </c>
      <c r="I4774" s="7" t="str">
        <f>IF(AND(ISBLANK(D4774),ISBLANK(C4774)),"",((VLOOKUP(D4774,Cardápio!$A$2:$C$16,3,0))*E4774)+IF(B4774="iFood",F4774*0.27,(VLOOKUP(VENDAS!C4774,Bairros!$A$2:$B$90,2,0))))</f>
        <v/>
      </c>
      <c r="J4774" s="7" t="str">
        <f t="shared" si="297"/>
        <v/>
      </c>
      <c r="K4774" s="9">
        <f t="shared" ca="1" si="298"/>
        <v>45404.878290162036</v>
      </c>
      <c r="L4774" s="10">
        <f t="shared" ca="1" si="299"/>
        <v>45404.878290046297</v>
      </c>
    </row>
    <row r="4775" spans="6:12" x14ac:dyDescent="0.25">
      <c r="F4775" s="11" t="str">
        <f>IF(ISBLANK(D4775),"",(VLOOKUP(D4775,Cardápio!$A$2:$B$16,2,0))*E4775)</f>
        <v/>
      </c>
      <c r="H4775" s="7" t="str">
        <f t="shared" si="296"/>
        <v/>
      </c>
      <c r="I4775" s="7" t="str">
        <f>IF(AND(ISBLANK(D4775),ISBLANK(C4775)),"",((VLOOKUP(D4775,Cardápio!$A$2:$C$16,3,0))*E4775)+IF(B4775="iFood",F4775*0.27,(VLOOKUP(VENDAS!C4775,Bairros!$A$2:$B$90,2,0))))</f>
        <v/>
      </c>
      <c r="J4775" s="7" t="str">
        <f t="shared" si="297"/>
        <v/>
      </c>
      <c r="K4775" s="9">
        <f t="shared" ca="1" si="298"/>
        <v>45404.878290162036</v>
      </c>
      <c r="L4775" s="10">
        <f t="shared" ca="1" si="299"/>
        <v>45404.878290162036</v>
      </c>
    </row>
    <row r="4776" spans="6:12" x14ac:dyDescent="0.25">
      <c r="F4776" s="11" t="str">
        <f>IF(ISBLANK(D4776),"",(VLOOKUP(D4776,Cardápio!$A$2:$B$16,2,0))*E4776)</f>
        <v/>
      </c>
      <c r="H4776" s="7" t="str">
        <f t="shared" si="296"/>
        <v/>
      </c>
      <c r="I4776" s="7" t="str">
        <f>IF(AND(ISBLANK(D4776),ISBLANK(C4776)),"",((VLOOKUP(D4776,Cardápio!$A$2:$C$16,3,0))*E4776)+IF(B4776="iFood",F4776*0.27,(VLOOKUP(VENDAS!C4776,Bairros!$A$2:$B$90,2,0))))</f>
        <v/>
      </c>
      <c r="J4776" s="7" t="str">
        <f t="shared" si="297"/>
        <v/>
      </c>
      <c r="K4776" s="9">
        <f t="shared" ca="1" si="298"/>
        <v>45404.878290162036</v>
      </c>
      <c r="L4776" s="10">
        <f t="shared" ca="1" si="299"/>
        <v>45404.878290046297</v>
      </c>
    </row>
    <row r="4777" spans="6:12" x14ac:dyDescent="0.25">
      <c r="F4777" s="11" t="str">
        <f>IF(ISBLANK(D4777),"",(VLOOKUP(D4777,Cardápio!$A$2:$B$16,2,0))*E4777)</f>
        <v/>
      </c>
      <c r="H4777" s="7" t="str">
        <f t="shared" si="296"/>
        <v/>
      </c>
      <c r="I4777" s="7" t="str">
        <f>IF(AND(ISBLANK(D4777),ISBLANK(C4777)),"",((VLOOKUP(D4777,Cardápio!$A$2:$C$16,3,0))*E4777)+IF(B4777="iFood",F4777*0.27,(VLOOKUP(VENDAS!C4777,Bairros!$A$2:$B$90,2,0))))</f>
        <v/>
      </c>
      <c r="J4777" s="7" t="str">
        <f t="shared" si="297"/>
        <v/>
      </c>
      <c r="K4777" s="9">
        <f t="shared" ca="1" si="298"/>
        <v>45404.878290277775</v>
      </c>
      <c r="L4777" s="10">
        <f t="shared" ca="1" si="299"/>
        <v>45404.878290046297</v>
      </c>
    </row>
    <row r="4778" spans="6:12" x14ac:dyDescent="0.25">
      <c r="F4778" s="11" t="str">
        <f>IF(ISBLANK(D4778),"",(VLOOKUP(D4778,Cardápio!$A$2:$B$16,2,0))*E4778)</f>
        <v/>
      </c>
      <c r="H4778" s="7" t="str">
        <f t="shared" si="296"/>
        <v/>
      </c>
      <c r="I4778" s="7" t="str">
        <f>IF(AND(ISBLANK(D4778),ISBLANK(C4778)),"",((VLOOKUP(D4778,Cardápio!$A$2:$C$16,3,0))*E4778)+IF(B4778="iFood",F4778*0.27,(VLOOKUP(VENDAS!C4778,Bairros!$A$2:$B$90,2,0))))</f>
        <v/>
      </c>
      <c r="J4778" s="7" t="str">
        <f t="shared" si="297"/>
        <v/>
      </c>
      <c r="K4778" s="9">
        <f t="shared" ca="1" si="298"/>
        <v>45404.878290162036</v>
      </c>
      <c r="L4778" s="10">
        <f t="shared" ca="1" si="299"/>
        <v>45404.878290046297</v>
      </c>
    </row>
    <row r="4779" spans="6:12" x14ac:dyDescent="0.25">
      <c r="F4779" s="11" t="str">
        <f>IF(ISBLANK(D4779),"",(VLOOKUP(D4779,Cardápio!$A$2:$B$16,2,0))*E4779)</f>
        <v/>
      </c>
      <c r="H4779" s="7" t="str">
        <f t="shared" si="296"/>
        <v/>
      </c>
      <c r="I4779" s="7" t="str">
        <f>IF(AND(ISBLANK(D4779),ISBLANK(C4779)),"",((VLOOKUP(D4779,Cardápio!$A$2:$C$16,3,0))*E4779)+IF(B4779="iFood",F4779*0.27,(VLOOKUP(VENDAS!C4779,Bairros!$A$2:$B$90,2,0))))</f>
        <v/>
      </c>
      <c r="J4779" s="7" t="str">
        <f t="shared" si="297"/>
        <v/>
      </c>
      <c r="K4779" s="9">
        <f t="shared" ca="1" si="298"/>
        <v>45404.878290162036</v>
      </c>
      <c r="L4779" s="10">
        <f t="shared" ca="1" si="299"/>
        <v>45404.878290162036</v>
      </c>
    </row>
    <row r="4780" spans="6:12" x14ac:dyDescent="0.25">
      <c r="F4780" s="11" t="str">
        <f>IF(ISBLANK(D4780),"",(VLOOKUP(D4780,Cardápio!$A$2:$B$16,2,0))*E4780)</f>
        <v/>
      </c>
      <c r="H4780" s="7" t="str">
        <f t="shared" si="296"/>
        <v/>
      </c>
      <c r="I4780" s="7" t="str">
        <f>IF(AND(ISBLANK(D4780),ISBLANK(C4780)),"",((VLOOKUP(D4780,Cardápio!$A$2:$C$16,3,0))*E4780)+IF(B4780="iFood",F4780*0.27,(VLOOKUP(VENDAS!C4780,Bairros!$A$2:$B$90,2,0))))</f>
        <v/>
      </c>
      <c r="J4780" s="7" t="str">
        <f t="shared" si="297"/>
        <v/>
      </c>
      <c r="K4780" s="9">
        <f t="shared" ca="1" si="298"/>
        <v>45404.878290162036</v>
      </c>
      <c r="L4780" s="10">
        <f t="shared" ca="1" si="299"/>
        <v>45404.878290046297</v>
      </c>
    </row>
    <row r="4781" spans="6:12" x14ac:dyDescent="0.25">
      <c r="F4781" s="11" t="str">
        <f>IF(ISBLANK(D4781),"",(VLOOKUP(D4781,Cardápio!$A$2:$B$16,2,0))*E4781)</f>
        <v/>
      </c>
      <c r="H4781" s="7" t="str">
        <f t="shared" si="296"/>
        <v/>
      </c>
      <c r="I4781" s="7" t="str">
        <f>IF(AND(ISBLANK(D4781),ISBLANK(C4781)),"",((VLOOKUP(D4781,Cardápio!$A$2:$C$16,3,0))*E4781)+IF(B4781="iFood",F4781*0.27,(VLOOKUP(VENDAS!C4781,Bairros!$A$2:$B$90,2,0))))</f>
        <v/>
      </c>
      <c r="J4781" s="7" t="str">
        <f t="shared" si="297"/>
        <v/>
      </c>
      <c r="K4781" s="9">
        <f t="shared" ca="1" si="298"/>
        <v>45404.878290277775</v>
      </c>
      <c r="L4781" s="10">
        <f t="shared" ca="1" si="299"/>
        <v>45404.878290046297</v>
      </c>
    </row>
    <row r="4782" spans="6:12" x14ac:dyDescent="0.25">
      <c r="F4782" s="11" t="str">
        <f>IF(ISBLANK(D4782),"",(VLOOKUP(D4782,Cardápio!$A$2:$B$16,2,0))*E4782)</f>
        <v/>
      </c>
      <c r="H4782" s="7" t="str">
        <f t="shared" si="296"/>
        <v/>
      </c>
      <c r="I4782" s="7" t="str">
        <f>IF(AND(ISBLANK(D4782),ISBLANK(C4782)),"",((VLOOKUP(D4782,Cardápio!$A$2:$C$16,3,0))*E4782)+IF(B4782="iFood",F4782*0.27,(VLOOKUP(VENDAS!C4782,Bairros!$A$2:$B$90,2,0))))</f>
        <v/>
      </c>
      <c r="J4782" s="7" t="str">
        <f t="shared" si="297"/>
        <v/>
      </c>
      <c r="K4782" s="9">
        <f t="shared" ca="1" si="298"/>
        <v>45404.878290162036</v>
      </c>
      <c r="L4782" s="10">
        <f t="shared" ca="1" si="299"/>
        <v>45404.878290046297</v>
      </c>
    </row>
    <row r="4783" spans="6:12" x14ac:dyDescent="0.25">
      <c r="F4783" s="11" t="str">
        <f>IF(ISBLANK(D4783),"",(VLOOKUP(D4783,Cardápio!$A$2:$B$16,2,0))*E4783)</f>
        <v/>
      </c>
      <c r="H4783" s="7" t="str">
        <f t="shared" si="296"/>
        <v/>
      </c>
      <c r="I4783" s="7" t="str">
        <f>IF(AND(ISBLANK(D4783),ISBLANK(C4783)),"",((VLOOKUP(D4783,Cardápio!$A$2:$C$16,3,0))*E4783)+IF(B4783="iFood",F4783*0.27,(VLOOKUP(VENDAS!C4783,Bairros!$A$2:$B$90,2,0))))</f>
        <v/>
      </c>
      <c r="J4783" s="7" t="str">
        <f t="shared" si="297"/>
        <v/>
      </c>
      <c r="K4783" s="9">
        <f t="shared" ca="1" si="298"/>
        <v>45404.878290162036</v>
      </c>
      <c r="L4783" s="10">
        <f t="shared" ca="1" si="299"/>
        <v>45404.878290162036</v>
      </c>
    </row>
    <row r="4784" spans="6:12" x14ac:dyDescent="0.25">
      <c r="F4784" s="11" t="str">
        <f>IF(ISBLANK(D4784),"",(VLOOKUP(D4784,Cardápio!$A$2:$B$16,2,0))*E4784)</f>
        <v/>
      </c>
      <c r="H4784" s="7" t="str">
        <f t="shared" si="296"/>
        <v/>
      </c>
      <c r="I4784" s="7" t="str">
        <f>IF(AND(ISBLANK(D4784),ISBLANK(C4784)),"",((VLOOKUP(D4784,Cardápio!$A$2:$C$16,3,0))*E4784)+IF(B4784="iFood",F4784*0.27,(VLOOKUP(VENDAS!C4784,Bairros!$A$2:$B$90,2,0))))</f>
        <v/>
      </c>
      <c r="J4784" s="7" t="str">
        <f t="shared" si="297"/>
        <v/>
      </c>
      <c r="K4784" s="9">
        <f t="shared" ca="1" si="298"/>
        <v>45404.878290162036</v>
      </c>
      <c r="L4784" s="10">
        <f t="shared" ca="1" si="299"/>
        <v>45404.878290046297</v>
      </c>
    </row>
    <row r="4785" spans="6:12" x14ac:dyDescent="0.25">
      <c r="F4785" s="11" t="str">
        <f>IF(ISBLANK(D4785),"",(VLOOKUP(D4785,Cardápio!$A$2:$B$16,2,0))*E4785)</f>
        <v/>
      </c>
      <c r="H4785" s="7" t="str">
        <f t="shared" si="296"/>
        <v/>
      </c>
      <c r="I4785" s="7" t="str">
        <f>IF(AND(ISBLANK(D4785),ISBLANK(C4785)),"",((VLOOKUP(D4785,Cardápio!$A$2:$C$16,3,0))*E4785)+IF(B4785="iFood",F4785*0.27,(VLOOKUP(VENDAS!C4785,Bairros!$A$2:$B$90,2,0))))</f>
        <v/>
      </c>
      <c r="J4785" s="7" t="str">
        <f t="shared" si="297"/>
        <v/>
      </c>
      <c r="K4785" s="9">
        <f t="shared" ca="1" si="298"/>
        <v>45404.878290277775</v>
      </c>
      <c r="L4785" s="10">
        <f t="shared" ca="1" si="299"/>
        <v>45404.878290046297</v>
      </c>
    </row>
    <row r="4786" spans="6:12" x14ac:dyDescent="0.25">
      <c r="F4786" s="11" t="str">
        <f>IF(ISBLANK(D4786),"",(VLOOKUP(D4786,Cardápio!$A$2:$B$16,2,0))*E4786)</f>
        <v/>
      </c>
      <c r="H4786" s="7" t="str">
        <f t="shared" si="296"/>
        <v/>
      </c>
      <c r="I4786" s="7" t="str">
        <f>IF(AND(ISBLANK(D4786),ISBLANK(C4786)),"",((VLOOKUP(D4786,Cardápio!$A$2:$C$16,3,0))*E4786)+IF(B4786="iFood",F4786*0.27,(VLOOKUP(VENDAS!C4786,Bairros!$A$2:$B$90,2,0))))</f>
        <v/>
      </c>
      <c r="J4786" s="7" t="str">
        <f t="shared" si="297"/>
        <v/>
      </c>
      <c r="K4786" s="9">
        <f t="shared" ca="1" si="298"/>
        <v>45404.878290162036</v>
      </c>
      <c r="L4786" s="10">
        <f t="shared" ca="1" si="299"/>
        <v>45404.878290046297</v>
      </c>
    </row>
    <row r="4787" spans="6:12" x14ac:dyDescent="0.25">
      <c r="F4787" s="11" t="str">
        <f>IF(ISBLANK(D4787),"",(VLOOKUP(D4787,Cardápio!$A$2:$B$16,2,0))*E4787)</f>
        <v/>
      </c>
      <c r="H4787" s="7" t="str">
        <f t="shared" si="296"/>
        <v/>
      </c>
      <c r="I4787" s="7" t="str">
        <f>IF(AND(ISBLANK(D4787),ISBLANK(C4787)),"",((VLOOKUP(D4787,Cardápio!$A$2:$C$16,3,0))*E4787)+IF(B4787="iFood",F4787*0.27,(VLOOKUP(VENDAS!C4787,Bairros!$A$2:$B$90,2,0))))</f>
        <v/>
      </c>
      <c r="J4787" s="7" t="str">
        <f t="shared" si="297"/>
        <v/>
      </c>
      <c r="K4787" s="9">
        <f t="shared" ca="1" si="298"/>
        <v>45404.878290162036</v>
      </c>
      <c r="L4787" s="10">
        <f t="shared" ca="1" si="299"/>
        <v>45404.878290162036</v>
      </c>
    </row>
    <row r="4788" spans="6:12" x14ac:dyDescent="0.25">
      <c r="F4788" s="11" t="str">
        <f>IF(ISBLANK(D4788),"",(VLOOKUP(D4788,Cardápio!$A$2:$B$16,2,0))*E4788)</f>
        <v/>
      </c>
      <c r="H4788" s="7" t="str">
        <f t="shared" si="296"/>
        <v/>
      </c>
      <c r="I4788" s="7" t="str">
        <f>IF(AND(ISBLANK(D4788),ISBLANK(C4788)),"",((VLOOKUP(D4788,Cardápio!$A$2:$C$16,3,0))*E4788)+IF(B4788="iFood",F4788*0.27,(VLOOKUP(VENDAS!C4788,Bairros!$A$2:$B$90,2,0))))</f>
        <v/>
      </c>
      <c r="J4788" s="7" t="str">
        <f t="shared" si="297"/>
        <v/>
      </c>
      <c r="K4788" s="9">
        <f t="shared" ca="1" si="298"/>
        <v>45404.878290162036</v>
      </c>
      <c r="L4788" s="10">
        <f t="shared" ca="1" si="299"/>
        <v>45404.878290046297</v>
      </c>
    </row>
    <row r="4789" spans="6:12" x14ac:dyDescent="0.25">
      <c r="F4789" s="11" t="str">
        <f>IF(ISBLANK(D4789),"",(VLOOKUP(D4789,Cardápio!$A$2:$B$16,2,0))*E4789)</f>
        <v/>
      </c>
      <c r="H4789" s="7" t="str">
        <f t="shared" ref="H4789:H4852" si="300">IF(ISBLANK(D4789),"",F4789-G4789)</f>
        <v/>
      </c>
      <c r="I4789" s="7" t="str">
        <f>IF(AND(ISBLANK(D4789),ISBLANK(C4789)),"",((VLOOKUP(D4789,Cardápio!$A$2:$C$16,3,0))*E4789)+IF(B4789="iFood",F4789*0.27,(VLOOKUP(VENDAS!C4789,Bairros!$A$2:$B$90,2,0))))</f>
        <v/>
      </c>
      <c r="J4789" s="7" t="str">
        <f t="shared" ref="J4789:J4852" si="301">IF(OR(AND(ISBLANK(H4789),ISBLANK(I4789)),(AND(H4789="",I4789=""))),"",H4789-I4789)</f>
        <v/>
      </c>
      <c r="K4789" s="9">
        <f t="shared" ref="K4789:K4852" ca="1" si="302">IF(D4789&lt;&gt;"",K4789,NOW())</f>
        <v>45404.878290277775</v>
      </c>
      <c r="L4789" s="10">
        <f t="shared" ref="L4789:L4852" ca="1" si="303">IF(D4789&lt;&gt;"",L4789,NOW())</f>
        <v>45404.878290046297</v>
      </c>
    </row>
    <row r="4790" spans="6:12" x14ac:dyDescent="0.25">
      <c r="F4790" s="11" t="str">
        <f>IF(ISBLANK(D4790),"",(VLOOKUP(D4790,Cardápio!$A$2:$B$16,2,0))*E4790)</f>
        <v/>
      </c>
      <c r="H4790" s="7" t="str">
        <f t="shared" si="300"/>
        <v/>
      </c>
      <c r="I4790" s="7" t="str">
        <f>IF(AND(ISBLANK(D4790),ISBLANK(C4790)),"",((VLOOKUP(D4790,Cardápio!$A$2:$C$16,3,0))*E4790)+IF(B4790="iFood",F4790*0.27,(VLOOKUP(VENDAS!C4790,Bairros!$A$2:$B$90,2,0))))</f>
        <v/>
      </c>
      <c r="J4790" s="7" t="str">
        <f t="shared" si="301"/>
        <v/>
      </c>
      <c r="K4790" s="9">
        <f t="shared" ca="1" si="302"/>
        <v>45404.878290162036</v>
      </c>
      <c r="L4790" s="10">
        <f t="shared" ca="1" si="303"/>
        <v>45404.878290046297</v>
      </c>
    </row>
    <row r="4791" spans="6:12" x14ac:dyDescent="0.25">
      <c r="F4791" s="11" t="str">
        <f>IF(ISBLANK(D4791),"",(VLOOKUP(D4791,Cardápio!$A$2:$B$16,2,0))*E4791)</f>
        <v/>
      </c>
      <c r="H4791" s="7" t="str">
        <f t="shared" si="300"/>
        <v/>
      </c>
      <c r="I4791" s="7" t="str">
        <f>IF(AND(ISBLANK(D4791),ISBLANK(C4791)),"",((VLOOKUP(D4791,Cardápio!$A$2:$C$16,3,0))*E4791)+IF(B4791="iFood",F4791*0.27,(VLOOKUP(VENDAS!C4791,Bairros!$A$2:$B$90,2,0))))</f>
        <v/>
      </c>
      <c r="J4791" s="7" t="str">
        <f t="shared" si="301"/>
        <v/>
      </c>
      <c r="K4791" s="9">
        <f t="shared" ca="1" si="302"/>
        <v>45404.878290162036</v>
      </c>
      <c r="L4791" s="10">
        <f t="shared" ca="1" si="303"/>
        <v>45404.878290162036</v>
      </c>
    </row>
    <row r="4792" spans="6:12" x14ac:dyDescent="0.25">
      <c r="F4792" s="11" t="str">
        <f>IF(ISBLANK(D4792),"",(VLOOKUP(D4792,Cardápio!$A$2:$B$16,2,0))*E4792)</f>
        <v/>
      </c>
      <c r="H4792" s="7" t="str">
        <f t="shared" si="300"/>
        <v/>
      </c>
      <c r="I4792" s="7" t="str">
        <f>IF(AND(ISBLANK(D4792),ISBLANK(C4792)),"",((VLOOKUP(D4792,Cardápio!$A$2:$C$16,3,0))*E4792)+IF(B4792="iFood",F4792*0.27,(VLOOKUP(VENDAS!C4792,Bairros!$A$2:$B$90,2,0))))</f>
        <v/>
      </c>
      <c r="J4792" s="7" t="str">
        <f t="shared" si="301"/>
        <v/>
      </c>
      <c r="K4792" s="9">
        <f t="shared" ca="1" si="302"/>
        <v>45404.878290162036</v>
      </c>
      <c r="L4792" s="10">
        <f t="shared" ca="1" si="303"/>
        <v>45404.878290046297</v>
      </c>
    </row>
    <row r="4793" spans="6:12" x14ac:dyDescent="0.25">
      <c r="F4793" s="11" t="str">
        <f>IF(ISBLANK(D4793),"",(VLOOKUP(D4793,Cardápio!$A$2:$B$16,2,0))*E4793)</f>
        <v/>
      </c>
      <c r="H4793" s="7" t="str">
        <f t="shared" si="300"/>
        <v/>
      </c>
      <c r="I4793" s="7" t="str">
        <f>IF(AND(ISBLANK(D4793),ISBLANK(C4793)),"",((VLOOKUP(D4793,Cardápio!$A$2:$C$16,3,0))*E4793)+IF(B4793="iFood",F4793*0.27,(VLOOKUP(VENDAS!C4793,Bairros!$A$2:$B$90,2,0))))</f>
        <v/>
      </c>
      <c r="J4793" s="7" t="str">
        <f t="shared" si="301"/>
        <v/>
      </c>
      <c r="K4793" s="9">
        <f t="shared" ca="1" si="302"/>
        <v>45404.878290277775</v>
      </c>
      <c r="L4793" s="10">
        <f t="shared" ca="1" si="303"/>
        <v>45404.878290046297</v>
      </c>
    </row>
    <row r="4794" spans="6:12" x14ac:dyDescent="0.25">
      <c r="F4794" s="11" t="str">
        <f>IF(ISBLANK(D4794),"",(VLOOKUP(D4794,Cardápio!$A$2:$B$16,2,0))*E4794)</f>
        <v/>
      </c>
      <c r="H4794" s="7" t="str">
        <f t="shared" si="300"/>
        <v/>
      </c>
      <c r="I4794" s="7" t="str">
        <f>IF(AND(ISBLANK(D4794),ISBLANK(C4794)),"",((VLOOKUP(D4794,Cardápio!$A$2:$C$16,3,0))*E4794)+IF(B4794="iFood",F4794*0.27,(VLOOKUP(VENDAS!C4794,Bairros!$A$2:$B$90,2,0))))</f>
        <v/>
      </c>
      <c r="J4794" s="7" t="str">
        <f t="shared" si="301"/>
        <v/>
      </c>
      <c r="K4794" s="9">
        <f t="shared" ca="1" si="302"/>
        <v>45404.878290162036</v>
      </c>
      <c r="L4794" s="10">
        <f t="shared" ca="1" si="303"/>
        <v>45404.878290046297</v>
      </c>
    </row>
    <row r="4795" spans="6:12" x14ac:dyDescent="0.25">
      <c r="F4795" s="11" t="str">
        <f>IF(ISBLANK(D4795),"",(VLOOKUP(D4795,Cardápio!$A$2:$B$16,2,0))*E4795)</f>
        <v/>
      </c>
      <c r="H4795" s="7" t="str">
        <f t="shared" si="300"/>
        <v/>
      </c>
      <c r="I4795" s="7" t="str">
        <f>IF(AND(ISBLANK(D4795),ISBLANK(C4795)),"",((VLOOKUP(D4795,Cardápio!$A$2:$C$16,3,0))*E4795)+IF(B4795="iFood",F4795*0.27,(VLOOKUP(VENDAS!C4795,Bairros!$A$2:$B$90,2,0))))</f>
        <v/>
      </c>
      <c r="J4795" s="7" t="str">
        <f t="shared" si="301"/>
        <v/>
      </c>
      <c r="K4795" s="9">
        <f t="shared" ca="1" si="302"/>
        <v>45404.878290162036</v>
      </c>
      <c r="L4795" s="10">
        <f t="shared" ca="1" si="303"/>
        <v>45404.878290162036</v>
      </c>
    </row>
    <row r="4796" spans="6:12" x14ac:dyDescent="0.25">
      <c r="F4796" s="11" t="str">
        <f>IF(ISBLANK(D4796),"",(VLOOKUP(D4796,Cardápio!$A$2:$B$16,2,0))*E4796)</f>
        <v/>
      </c>
      <c r="H4796" s="7" t="str">
        <f t="shared" si="300"/>
        <v/>
      </c>
      <c r="I4796" s="7" t="str">
        <f>IF(AND(ISBLANK(D4796),ISBLANK(C4796)),"",((VLOOKUP(D4796,Cardápio!$A$2:$C$16,3,0))*E4796)+IF(B4796="iFood",F4796*0.27,(VLOOKUP(VENDAS!C4796,Bairros!$A$2:$B$90,2,0))))</f>
        <v/>
      </c>
      <c r="J4796" s="7" t="str">
        <f t="shared" si="301"/>
        <v/>
      </c>
      <c r="K4796" s="9">
        <f t="shared" ca="1" si="302"/>
        <v>45404.878290162036</v>
      </c>
      <c r="L4796" s="10">
        <f t="shared" ca="1" si="303"/>
        <v>45404.878290046297</v>
      </c>
    </row>
    <row r="4797" spans="6:12" x14ac:dyDescent="0.25">
      <c r="F4797" s="11" t="str">
        <f>IF(ISBLANK(D4797),"",(VLOOKUP(D4797,Cardápio!$A$2:$B$16,2,0))*E4797)</f>
        <v/>
      </c>
      <c r="H4797" s="7" t="str">
        <f t="shared" si="300"/>
        <v/>
      </c>
      <c r="I4797" s="7" t="str">
        <f>IF(AND(ISBLANK(D4797),ISBLANK(C4797)),"",((VLOOKUP(D4797,Cardápio!$A$2:$C$16,3,0))*E4797)+IF(B4797="iFood",F4797*0.27,(VLOOKUP(VENDAS!C4797,Bairros!$A$2:$B$90,2,0))))</f>
        <v/>
      </c>
      <c r="J4797" s="7" t="str">
        <f t="shared" si="301"/>
        <v/>
      </c>
      <c r="K4797" s="9">
        <f t="shared" ca="1" si="302"/>
        <v>45404.878290277775</v>
      </c>
      <c r="L4797" s="10">
        <f t="shared" ca="1" si="303"/>
        <v>45404.878290046297</v>
      </c>
    </row>
    <row r="4798" spans="6:12" x14ac:dyDescent="0.25">
      <c r="F4798" s="11" t="str">
        <f>IF(ISBLANK(D4798),"",(VLOOKUP(D4798,Cardápio!$A$2:$B$16,2,0))*E4798)</f>
        <v/>
      </c>
      <c r="H4798" s="7" t="str">
        <f t="shared" si="300"/>
        <v/>
      </c>
      <c r="I4798" s="7" t="str">
        <f>IF(AND(ISBLANK(D4798),ISBLANK(C4798)),"",((VLOOKUP(D4798,Cardápio!$A$2:$C$16,3,0))*E4798)+IF(B4798="iFood",F4798*0.27,(VLOOKUP(VENDAS!C4798,Bairros!$A$2:$B$90,2,0))))</f>
        <v/>
      </c>
      <c r="J4798" s="7" t="str">
        <f t="shared" si="301"/>
        <v/>
      </c>
      <c r="K4798" s="9">
        <f t="shared" ca="1" si="302"/>
        <v>45404.878290162036</v>
      </c>
      <c r="L4798" s="10">
        <f t="shared" ca="1" si="303"/>
        <v>45404.878290046297</v>
      </c>
    </row>
    <row r="4799" spans="6:12" x14ac:dyDescent="0.25">
      <c r="F4799" s="11" t="str">
        <f>IF(ISBLANK(D4799),"",(VLOOKUP(D4799,Cardápio!$A$2:$B$16,2,0))*E4799)</f>
        <v/>
      </c>
      <c r="H4799" s="7" t="str">
        <f t="shared" si="300"/>
        <v/>
      </c>
      <c r="I4799" s="7" t="str">
        <f>IF(AND(ISBLANK(D4799),ISBLANK(C4799)),"",((VLOOKUP(D4799,Cardápio!$A$2:$C$16,3,0))*E4799)+IF(B4799="iFood",F4799*0.27,(VLOOKUP(VENDAS!C4799,Bairros!$A$2:$B$90,2,0))))</f>
        <v/>
      </c>
      <c r="J4799" s="7" t="str">
        <f t="shared" si="301"/>
        <v/>
      </c>
      <c r="K4799" s="9">
        <f t="shared" ca="1" si="302"/>
        <v>45404.878290162036</v>
      </c>
      <c r="L4799" s="10">
        <f t="shared" ca="1" si="303"/>
        <v>45404.878290162036</v>
      </c>
    </row>
    <row r="4800" spans="6:12" x14ac:dyDescent="0.25">
      <c r="F4800" s="11" t="str">
        <f>IF(ISBLANK(D4800),"",(VLOOKUP(D4800,Cardápio!$A$2:$B$16,2,0))*E4800)</f>
        <v/>
      </c>
      <c r="H4800" s="7" t="str">
        <f t="shared" si="300"/>
        <v/>
      </c>
      <c r="I4800" s="7" t="str">
        <f>IF(AND(ISBLANK(D4800),ISBLANK(C4800)),"",((VLOOKUP(D4800,Cardápio!$A$2:$C$16,3,0))*E4800)+IF(B4800="iFood",F4800*0.27,(VLOOKUP(VENDAS!C4800,Bairros!$A$2:$B$90,2,0))))</f>
        <v/>
      </c>
      <c r="J4800" s="7" t="str">
        <f t="shared" si="301"/>
        <v/>
      </c>
      <c r="K4800" s="9">
        <f t="shared" ca="1" si="302"/>
        <v>45404.878290162036</v>
      </c>
      <c r="L4800" s="10">
        <f t="shared" ca="1" si="303"/>
        <v>45404.878290046297</v>
      </c>
    </row>
    <row r="4801" spans="6:12" x14ac:dyDescent="0.25">
      <c r="F4801" s="11" t="str">
        <f>IF(ISBLANK(D4801),"",(VLOOKUP(D4801,Cardápio!$A$2:$B$16,2,0))*E4801)</f>
        <v/>
      </c>
      <c r="H4801" s="7" t="str">
        <f t="shared" si="300"/>
        <v/>
      </c>
      <c r="I4801" s="7" t="str">
        <f>IF(AND(ISBLANK(D4801),ISBLANK(C4801)),"",((VLOOKUP(D4801,Cardápio!$A$2:$C$16,3,0))*E4801)+IF(B4801="iFood",F4801*0.27,(VLOOKUP(VENDAS!C4801,Bairros!$A$2:$B$90,2,0))))</f>
        <v/>
      </c>
      <c r="J4801" s="7" t="str">
        <f t="shared" si="301"/>
        <v/>
      </c>
      <c r="K4801" s="9">
        <f t="shared" ca="1" si="302"/>
        <v>45404.878290277775</v>
      </c>
      <c r="L4801" s="10">
        <f t="shared" ca="1" si="303"/>
        <v>45404.878290046297</v>
      </c>
    </row>
    <row r="4802" spans="6:12" x14ac:dyDescent="0.25">
      <c r="F4802" s="11" t="str">
        <f>IF(ISBLANK(D4802),"",(VLOOKUP(D4802,Cardápio!$A$2:$B$16,2,0))*E4802)</f>
        <v/>
      </c>
      <c r="H4802" s="7" t="str">
        <f t="shared" si="300"/>
        <v/>
      </c>
      <c r="I4802" s="7" t="str">
        <f>IF(AND(ISBLANK(D4802),ISBLANK(C4802)),"",((VLOOKUP(D4802,Cardápio!$A$2:$C$16,3,0))*E4802)+IF(B4802="iFood",F4802*0.27,(VLOOKUP(VENDAS!C4802,Bairros!$A$2:$B$90,2,0))))</f>
        <v/>
      </c>
      <c r="J4802" s="7" t="str">
        <f t="shared" si="301"/>
        <v/>
      </c>
      <c r="K4802" s="9">
        <f t="shared" ca="1" si="302"/>
        <v>45404.878290162036</v>
      </c>
      <c r="L4802" s="10">
        <f t="shared" ca="1" si="303"/>
        <v>45404.878290046297</v>
      </c>
    </row>
    <row r="4803" spans="6:12" x14ac:dyDescent="0.25">
      <c r="F4803" s="11" t="str">
        <f>IF(ISBLANK(D4803),"",(VLOOKUP(D4803,Cardápio!$A$2:$B$16,2,0))*E4803)</f>
        <v/>
      </c>
      <c r="H4803" s="7" t="str">
        <f t="shared" si="300"/>
        <v/>
      </c>
      <c r="I4803" s="7" t="str">
        <f>IF(AND(ISBLANK(D4803),ISBLANK(C4803)),"",((VLOOKUP(D4803,Cardápio!$A$2:$C$16,3,0))*E4803)+IF(B4803="iFood",F4803*0.27,(VLOOKUP(VENDAS!C4803,Bairros!$A$2:$B$90,2,0))))</f>
        <v/>
      </c>
      <c r="J4803" s="7" t="str">
        <f t="shared" si="301"/>
        <v/>
      </c>
      <c r="K4803" s="9">
        <f t="shared" ca="1" si="302"/>
        <v>45404.878290162036</v>
      </c>
      <c r="L4803" s="10">
        <f t="shared" ca="1" si="303"/>
        <v>45404.878290162036</v>
      </c>
    </row>
    <row r="4804" spans="6:12" x14ac:dyDescent="0.25">
      <c r="F4804" s="11" t="str">
        <f>IF(ISBLANK(D4804),"",(VLOOKUP(D4804,Cardápio!$A$2:$B$16,2,0))*E4804)</f>
        <v/>
      </c>
      <c r="H4804" s="7" t="str">
        <f t="shared" si="300"/>
        <v/>
      </c>
      <c r="I4804" s="7" t="str">
        <f>IF(AND(ISBLANK(D4804),ISBLANK(C4804)),"",((VLOOKUP(D4804,Cardápio!$A$2:$C$16,3,0))*E4804)+IF(B4804="iFood",F4804*0.27,(VLOOKUP(VENDAS!C4804,Bairros!$A$2:$B$90,2,0))))</f>
        <v/>
      </c>
      <c r="J4804" s="7" t="str">
        <f t="shared" si="301"/>
        <v/>
      </c>
      <c r="K4804" s="9">
        <f t="shared" ca="1" si="302"/>
        <v>45404.878290162036</v>
      </c>
      <c r="L4804" s="10">
        <f t="shared" ca="1" si="303"/>
        <v>45404.878290046297</v>
      </c>
    </row>
    <row r="4805" spans="6:12" x14ac:dyDescent="0.25">
      <c r="F4805" s="11" t="str">
        <f>IF(ISBLANK(D4805),"",(VLOOKUP(D4805,Cardápio!$A$2:$B$16,2,0))*E4805)</f>
        <v/>
      </c>
      <c r="H4805" s="7" t="str">
        <f t="shared" si="300"/>
        <v/>
      </c>
      <c r="I4805" s="7" t="str">
        <f>IF(AND(ISBLANK(D4805),ISBLANK(C4805)),"",((VLOOKUP(D4805,Cardápio!$A$2:$C$16,3,0))*E4805)+IF(B4805="iFood",F4805*0.27,(VLOOKUP(VENDAS!C4805,Bairros!$A$2:$B$90,2,0))))</f>
        <v/>
      </c>
      <c r="J4805" s="7" t="str">
        <f t="shared" si="301"/>
        <v/>
      </c>
      <c r="K4805" s="9">
        <f t="shared" ca="1" si="302"/>
        <v>45404.878290277775</v>
      </c>
      <c r="L4805" s="10">
        <f t="shared" ca="1" si="303"/>
        <v>45404.878290046297</v>
      </c>
    </row>
    <row r="4806" spans="6:12" x14ac:dyDescent="0.25">
      <c r="F4806" s="11" t="str">
        <f>IF(ISBLANK(D4806),"",(VLOOKUP(D4806,Cardápio!$A$2:$B$16,2,0))*E4806)</f>
        <v/>
      </c>
      <c r="H4806" s="7" t="str">
        <f t="shared" si="300"/>
        <v/>
      </c>
      <c r="I4806" s="7" t="str">
        <f>IF(AND(ISBLANK(D4806),ISBLANK(C4806)),"",((VLOOKUP(D4806,Cardápio!$A$2:$C$16,3,0))*E4806)+IF(B4806="iFood",F4806*0.27,(VLOOKUP(VENDAS!C4806,Bairros!$A$2:$B$90,2,0))))</f>
        <v/>
      </c>
      <c r="J4806" s="7" t="str">
        <f t="shared" si="301"/>
        <v/>
      </c>
      <c r="K4806" s="9">
        <f t="shared" ca="1" si="302"/>
        <v>45404.878290162036</v>
      </c>
      <c r="L4806" s="10">
        <f t="shared" ca="1" si="303"/>
        <v>45404.878290046297</v>
      </c>
    </row>
    <row r="4807" spans="6:12" x14ac:dyDescent="0.25">
      <c r="F4807" s="11" t="str">
        <f>IF(ISBLANK(D4807),"",(VLOOKUP(D4807,Cardápio!$A$2:$B$16,2,0))*E4807)</f>
        <v/>
      </c>
      <c r="H4807" s="7" t="str">
        <f t="shared" si="300"/>
        <v/>
      </c>
      <c r="I4807" s="7" t="str">
        <f>IF(AND(ISBLANK(D4807),ISBLANK(C4807)),"",((VLOOKUP(D4807,Cardápio!$A$2:$C$16,3,0))*E4807)+IF(B4807="iFood",F4807*0.27,(VLOOKUP(VENDAS!C4807,Bairros!$A$2:$B$90,2,0))))</f>
        <v/>
      </c>
      <c r="J4807" s="7" t="str">
        <f t="shared" si="301"/>
        <v/>
      </c>
      <c r="K4807" s="9">
        <f t="shared" ca="1" si="302"/>
        <v>45404.878290162036</v>
      </c>
      <c r="L4807" s="10">
        <f t="shared" ca="1" si="303"/>
        <v>45404.878290162036</v>
      </c>
    </row>
    <row r="4808" spans="6:12" x14ac:dyDescent="0.25">
      <c r="F4808" s="11" t="str">
        <f>IF(ISBLANK(D4808),"",(VLOOKUP(D4808,Cardápio!$A$2:$B$16,2,0))*E4808)</f>
        <v/>
      </c>
      <c r="H4808" s="7" t="str">
        <f t="shared" si="300"/>
        <v/>
      </c>
      <c r="I4808" s="7" t="str">
        <f>IF(AND(ISBLANK(D4808),ISBLANK(C4808)),"",((VLOOKUP(D4808,Cardápio!$A$2:$C$16,3,0))*E4808)+IF(B4808="iFood",F4808*0.27,(VLOOKUP(VENDAS!C4808,Bairros!$A$2:$B$90,2,0))))</f>
        <v/>
      </c>
      <c r="J4808" s="7" t="str">
        <f t="shared" si="301"/>
        <v/>
      </c>
      <c r="K4808" s="9">
        <f t="shared" ca="1" si="302"/>
        <v>45404.878290162036</v>
      </c>
      <c r="L4808" s="10">
        <f t="shared" ca="1" si="303"/>
        <v>45404.878290046297</v>
      </c>
    </row>
    <row r="4809" spans="6:12" x14ac:dyDescent="0.25">
      <c r="F4809" s="11" t="str">
        <f>IF(ISBLANK(D4809),"",(VLOOKUP(D4809,Cardápio!$A$2:$B$16,2,0))*E4809)</f>
        <v/>
      </c>
      <c r="H4809" s="7" t="str">
        <f t="shared" si="300"/>
        <v/>
      </c>
      <c r="I4809" s="7" t="str">
        <f>IF(AND(ISBLANK(D4809),ISBLANK(C4809)),"",((VLOOKUP(D4809,Cardápio!$A$2:$C$16,3,0))*E4809)+IF(B4809="iFood",F4809*0.27,(VLOOKUP(VENDAS!C4809,Bairros!$A$2:$B$90,2,0))))</f>
        <v/>
      </c>
      <c r="J4809" s="7" t="str">
        <f t="shared" si="301"/>
        <v/>
      </c>
      <c r="K4809" s="9">
        <f t="shared" ca="1" si="302"/>
        <v>45404.878290277775</v>
      </c>
      <c r="L4809" s="10">
        <f t="shared" ca="1" si="303"/>
        <v>45404.878290046297</v>
      </c>
    </row>
    <row r="4810" spans="6:12" x14ac:dyDescent="0.25">
      <c r="F4810" s="11" t="str">
        <f>IF(ISBLANK(D4810),"",(VLOOKUP(D4810,Cardápio!$A$2:$B$16,2,0))*E4810)</f>
        <v/>
      </c>
      <c r="H4810" s="7" t="str">
        <f t="shared" si="300"/>
        <v/>
      </c>
      <c r="I4810" s="7" t="str">
        <f>IF(AND(ISBLANK(D4810),ISBLANK(C4810)),"",((VLOOKUP(D4810,Cardápio!$A$2:$C$16,3,0))*E4810)+IF(B4810="iFood",F4810*0.27,(VLOOKUP(VENDAS!C4810,Bairros!$A$2:$B$90,2,0))))</f>
        <v/>
      </c>
      <c r="J4810" s="7" t="str">
        <f t="shared" si="301"/>
        <v/>
      </c>
      <c r="K4810" s="9">
        <f t="shared" ca="1" si="302"/>
        <v>45404.878290162036</v>
      </c>
      <c r="L4810" s="10">
        <f t="shared" ca="1" si="303"/>
        <v>45404.878290046297</v>
      </c>
    </row>
    <row r="4811" spans="6:12" x14ac:dyDescent="0.25">
      <c r="F4811" s="11" t="str">
        <f>IF(ISBLANK(D4811),"",(VLOOKUP(D4811,Cardápio!$A$2:$B$16,2,0))*E4811)</f>
        <v/>
      </c>
      <c r="H4811" s="7" t="str">
        <f t="shared" si="300"/>
        <v/>
      </c>
      <c r="I4811" s="7" t="str">
        <f>IF(AND(ISBLANK(D4811),ISBLANK(C4811)),"",((VLOOKUP(D4811,Cardápio!$A$2:$C$16,3,0))*E4811)+IF(B4811="iFood",F4811*0.27,(VLOOKUP(VENDAS!C4811,Bairros!$A$2:$B$90,2,0))))</f>
        <v/>
      </c>
      <c r="J4811" s="7" t="str">
        <f t="shared" si="301"/>
        <v/>
      </c>
      <c r="K4811" s="9">
        <f t="shared" ca="1" si="302"/>
        <v>45404.878290162036</v>
      </c>
      <c r="L4811" s="10">
        <f t="shared" ca="1" si="303"/>
        <v>45404.878290162036</v>
      </c>
    </row>
    <row r="4812" spans="6:12" x14ac:dyDescent="0.25">
      <c r="F4812" s="11" t="str">
        <f>IF(ISBLANK(D4812),"",(VLOOKUP(D4812,Cardápio!$A$2:$B$16,2,0))*E4812)</f>
        <v/>
      </c>
      <c r="H4812" s="7" t="str">
        <f t="shared" si="300"/>
        <v/>
      </c>
      <c r="I4812" s="7" t="str">
        <f>IF(AND(ISBLANK(D4812),ISBLANK(C4812)),"",((VLOOKUP(D4812,Cardápio!$A$2:$C$16,3,0))*E4812)+IF(B4812="iFood",F4812*0.27,(VLOOKUP(VENDAS!C4812,Bairros!$A$2:$B$90,2,0))))</f>
        <v/>
      </c>
      <c r="J4812" s="7" t="str">
        <f t="shared" si="301"/>
        <v/>
      </c>
      <c r="K4812" s="9">
        <f t="shared" ca="1" si="302"/>
        <v>45404.878290162036</v>
      </c>
      <c r="L4812" s="10">
        <f t="shared" ca="1" si="303"/>
        <v>45404.878290046297</v>
      </c>
    </row>
    <row r="4813" spans="6:12" x14ac:dyDescent="0.25">
      <c r="F4813" s="11" t="str">
        <f>IF(ISBLANK(D4813),"",(VLOOKUP(D4813,Cardápio!$A$2:$B$16,2,0))*E4813)</f>
        <v/>
      </c>
      <c r="H4813" s="7" t="str">
        <f t="shared" si="300"/>
        <v/>
      </c>
      <c r="I4813" s="7" t="str">
        <f>IF(AND(ISBLANK(D4813),ISBLANK(C4813)),"",((VLOOKUP(D4813,Cardápio!$A$2:$C$16,3,0))*E4813)+IF(B4813="iFood",F4813*0.27,(VLOOKUP(VENDAS!C4813,Bairros!$A$2:$B$90,2,0))))</f>
        <v/>
      </c>
      <c r="J4813" s="7" t="str">
        <f t="shared" si="301"/>
        <v/>
      </c>
      <c r="K4813" s="9">
        <f t="shared" ca="1" si="302"/>
        <v>45404.878290277775</v>
      </c>
      <c r="L4813" s="10">
        <f t="shared" ca="1" si="303"/>
        <v>45404.878290046297</v>
      </c>
    </row>
    <row r="4814" spans="6:12" x14ac:dyDescent="0.25">
      <c r="F4814" s="11" t="str">
        <f>IF(ISBLANK(D4814),"",(VLOOKUP(D4814,Cardápio!$A$2:$B$16,2,0))*E4814)</f>
        <v/>
      </c>
      <c r="H4814" s="7" t="str">
        <f t="shared" si="300"/>
        <v/>
      </c>
      <c r="I4814" s="7" t="str">
        <f>IF(AND(ISBLANK(D4814),ISBLANK(C4814)),"",((VLOOKUP(D4814,Cardápio!$A$2:$C$16,3,0))*E4814)+IF(B4814="iFood",F4814*0.27,(VLOOKUP(VENDAS!C4814,Bairros!$A$2:$B$90,2,0))))</f>
        <v/>
      </c>
      <c r="J4814" s="7" t="str">
        <f t="shared" si="301"/>
        <v/>
      </c>
      <c r="K4814" s="9">
        <f t="shared" ca="1" si="302"/>
        <v>45404.878290162036</v>
      </c>
      <c r="L4814" s="10">
        <f t="shared" ca="1" si="303"/>
        <v>45404.878290046297</v>
      </c>
    </row>
    <row r="4815" spans="6:12" x14ac:dyDescent="0.25">
      <c r="F4815" s="11" t="str">
        <f>IF(ISBLANK(D4815),"",(VLOOKUP(D4815,Cardápio!$A$2:$B$16,2,0))*E4815)</f>
        <v/>
      </c>
      <c r="H4815" s="7" t="str">
        <f t="shared" si="300"/>
        <v/>
      </c>
      <c r="I4815" s="7" t="str">
        <f>IF(AND(ISBLANK(D4815),ISBLANK(C4815)),"",((VLOOKUP(D4815,Cardápio!$A$2:$C$16,3,0))*E4815)+IF(B4815="iFood",F4815*0.27,(VLOOKUP(VENDAS!C4815,Bairros!$A$2:$B$90,2,0))))</f>
        <v/>
      </c>
      <c r="J4815" s="7" t="str">
        <f t="shared" si="301"/>
        <v/>
      </c>
      <c r="K4815" s="9">
        <f t="shared" ca="1" si="302"/>
        <v>45404.878290162036</v>
      </c>
      <c r="L4815" s="10">
        <f t="shared" ca="1" si="303"/>
        <v>45404.878290162036</v>
      </c>
    </row>
    <row r="4816" spans="6:12" x14ac:dyDescent="0.25">
      <c r="F4816" s="11" t="str">
        <f>IF(ISBLANK(D4816),"",(VLOOKUP(D4816,Cardápio!$A$2:$B$16,2,0))*E4816)</f>
        <v/>
      </c>
      <c r="H4816" s="7" t="str">
        <f t="shared" si="300"/>
        <v/>
      </c>
      <c r="I4816" s="7" t="str">
        <f>IF(AND(ISBLANK(D4816),ISBLANK(C4816)),"",((VLOOKUP(D4816,Cardápio!$A$2:$C$16,3,0))*E4816)+IF(B4816="iFood",F4816*0.27,(VLOOKUP(VENDAS!C4816,Bairros!$A$2:$B$90,2,0))))</f>
        <v/>
      </c>
      <c r="J4816" s="7" t="str">
        <f t="shared" si="301"/>
        <v/>
      </c>
      <c r="K4816" s="9">
        <f t="shared" ca="1" si="302"/>
        <v>45404.878290162036</v>
      </c>
      <c r="L4816" s="10">
        <f t="shared" ca="1" si="303"/>
        <v>45404.878290046297</v>
      </c>
    </row>
    <row r="4817" spans="6:12" x14ac:dyDescent="0.25">
      <c r="F4817" s="11" t="str">
        <f>IF(ISBLANK(D4817),"",(VLOOKUP(D4817,Cardápio!$A$2:$B$16,2,0))*E4817)</f>
        <v/>
      </c>
      <c r="H4817" s="7" t="str">
        <f t="shared" si="300"/>
        <v/>
      </c>
      <c r="I4817" s="7" t="str">
        <f>IF(AND(ISBLANK(D4817),ISBLANK(C4817)),"",((VLOOKUP(D4817,Cardápio!$A$2:$C$16,3,0))*E4817)+IF(B4817="iFood",F4817*0.27,(VLOOKUP(VENDAS!C4817,Bairros!$A$2:$B$90,2,0))))</f>
        <v/>
      </c>
      <c r="J4817" s="7" t="str">
        <f t="shared" si="301"/>
        <v/>
      </c>
      <c r="K4817" s="9">
        <f t="shared" ca="1" si="302"/>
        <v>45404.878290277775</v>
      </c>
      <c r="L4817" s="10">
        <f t="shared" ca="1" si="303"/>
        <v>45404.878290046297</v>
      </c>
    </row>
    <row r="4818" spans="6:12" x14ac:dyDescent="0.25">
      <c r="F4818" s="11" t="str">
        <f>IF(ISBLANK(D4818),"",(VLOOKUP(D4818,Cardápio!$A$2:$B$16,2,0))*E4818)</f>
        <v/>
      </c>
      <c r="H4818" s="7" t="str">
        <f t="shared" si="300"/>
        <v/>
      </c>
      <c r="I4818" s="7" t="str">
        <f>IF(AND(ISBLANK(D4818),ISBLANK(C4818)),"",((VLOOKUP(D4818,Cardápio!$A$2:$C$16,3,0))*E4818)+IF(B4818="iFood",F4818*0.27,(VLOOKUP(VENDAS!C4818,Bairros!$A$2:$B$90,2,0))))</f>
        <v/>
      </c>
      <c r="J4818" s="7" t="str">
        <f t="shared" si="301"/>
        <v/>
      </c>
      <c r="K4818" s="9">
        <f t="shared" ca="1" si="302"/>
        <v>45404.878290162036</v>
      </c>
      <c r="L4818" s="10">
        <f t="shared" ca="1" si="303"/>
        <v>45404.878290046297</v>
      </c>
    </row>
    <row r="4819" spans="6:12" x14ac:dyDescent="0.25">
      <c r="F4819" s="11" t="str">
        <f>IF(ISBLANK(D4819),"",(VLOOKUP(D4819,Cardápio!$A$2:$B$16,2,0))*E4819)</f>
        <v/>
      </c>
      <c r="H4819" s="7" t="str">
        <f t="shared" si="300"/>
        <v/>
      </c>
      <c r="I4819" s="7" t="str">
        <f>IF(AND(ISBLANK(D4819),ISBLANK(C4819)),"",((VLOOKUP(D4819,Cardápio!$A$2:$C$16,3,0))*E4819)+IF(B4819="iFood",F4819*0.27,(VLOOKUP(VENDAS!C4819,Bairros!$A$2:$B$90,2,0))))</f>
        <v/>
      </c>
      <c r="J4819" s="7" t="str">
        <f t="shared" si="301"/>
        <v/>
      </c>
      <c r="K4819" s="9">
        <f t="shared" ca="1" si="302"/>
        <v>45404.878290162036</v>
      </c>
      <c r="L4819" s="10">
        <f t="shared" ca="1" si="303"/>
        <v>45404.878290162036</v>
      </c>
    </row>
    <row r="4820" spans="6:12" x14ac:dyDescent="0.25">
      <c r="F4820" s="11" t="str">
        <f>IF(ISBLANK(D4820),"",(VLOOKUP(D4820,Cardápio!$A$2:$B$16,2,0))*E4820)</f>
        <v/>
      </c>
      <c r="H4820" s="7" t="str">
        <f t="shared" si="300"/>
        <v/>
      </c>
      <c r="I4820" s="7" t="str">
        <f>IF(AND(ISBLANK(D4820),ISBLANK(C4820)),"",((VLOOKUP(D4820,Cardápio!$A$2:$C$16,3,0))*E4820)+IF(B4820="iFood",F4820*0.27,(VLOOKUP(VENDAS!C4820,Bairros!$A$2:$B$90,2,0))))</f>
        <v/>
      </c>
      <c r="J4820" s="7" t="str">
        <f t="shared" si="301"/>
        <v/>
      </c>
      <c r="K4820" s="9">
        <f t="shared" ca="1" si="302"/>
        <v>45404.878290162036</v>
      </c>
      <c r="L4820" s="10">
        <f t="shared" ca="1" si="303"/>
        <v>45404.878290046297</v>
      </c>
    </row>
    <row r="4821" spans="6:12" x14ac:dyDescent="0.25">
      <c r="F4821" s="11" t="str">
        <f>IF(ISBLANK(D4821),"",(VLOOKUP(D4821,Cardápio!$A$2:$B$16,2,0))*E4821)</f>
        <v/>
      </c>
      <c r="H4821" s="7" t="str">
        <f t="shared" si="300"/>
        <v/>
      </c>
      <c r="I4821" s="7" t="str">
        <f>IF(AND(ISBLANK(D4821),ISBLANK(C4821)),"",((VLOOKUP(D4821,Cardápio!$A$2:$C$16,3,0))*E4821)+IF(B4821="iFood",F4821*0.27,(VLOOKUP(VENDAS!C4821,Bairros!$A$2:$B$90,2,0))))</f>
        <v/>
      </c>
      <c r="J4821" s="7" t="str">
        <f t="shared" si="301"/>
        <v/>
      </c>
      <c r="K4821" s="9">
        <f t="shared" ca="1" si="302"/>
        <v>45404.878290277775</v>
      </c>
      <c r="L4821" s="10">
        <f t="shared" ca="1" si="303"/>
        <v>45404.878290046297</v>
      </c>
    </row>
    <row r="4822" spans="6:12" x14ac:dyDescent="0.25">
      <c r="F4822" s="11" t="str">
        <f>IF(ISBLANK(D4822),"",(VLOOKUP(D4822,Cardápio!$A$2:$B$16,2,0))*E4822)</f>
        <v/>
      </c>
      <c r="H4822" s="7" t="str">
        <f t="shared" si="300"/>
        <v/>
      </c>
      <c r="I4822" s="7" t="str">
        <f>IF(AND(ISBLANK(D4822),ISBLANK(C4822)),"",((VLOOKUP(D4822,Cardápio!$A$2:$C$16,3,0))*E4822)+IF(B4822="iFood",F4822*0.27,(VLOOKUP(VENDAS!C4822,Bairros!$A$2:$B$90,2,0))))</f>
        <v/>
      </c>
      <c r="J4822" s="7" t="str">
        <f t="shared" si="301"/>
        <v/>
      </c>
      <c r="K4822" s="9">
        <f t="shared" ca="1" si="302"/>
        <v>45404.878290162036</v>
      </c>
      <c r="L4822" s="10">
        <f t="shared" ca="1" si="303"/>
        <v>45404.878290046297</v>
      </c>
    </row>
    <row r="4823" spans="6:12" x14ac:dyDescent="0.25">
      <c r="F4823" s="11" t="str">
        <f>IF(ISBLANK(D4823),"",(VLOOKUP(D4823,Cardápio!$A$2:$B$16,2,0))*E4823)</f>
        <v/>
      </c>
      <c r="H4823" s="7" t="str">
        <f t="shared" si="300"/>
        <v/>
      </c>
      <c r="I4823" s="7" t="str">
        <f>IF(AND(ISBLANK(D4823),ISBLANK(C4823)),"",((VLOOKUP(D4823,Cardápio!$A$2:$C$16,3,0))*E4823)+IF(B4823="iFood",F4823*0.27,(VLOOKUP(VENDAS!C4823,Bairros!$A$2:$B$90,2,0))))</f>
        <v/>
      </c>
      <c r="J4823" s="7" t="str">
        <f t="shared" si="301"/>
        <v/>
      </c>
      <c r="K4823" s="9">
        <f t="shared" ca="1" si="302"/>
        <v>45404.878290162036</v>
      </c>
      <c r="L4823" s="10">
        <f t="shared" ca="1" si="303"/>
        <v>45404.878290162036</v>
      </c>
    </row>
    <row r="4824" spans="6:12" x14ac:dyDescent="0.25">
      <c r="F4824" s="11" t="str">
        <f>IF(ISBLANK(D4824),"",(VLOOKUP(D4824,Cardápio!$A$2:$B$16,2,0))*E4824)</f>
        <v/>
      </c>
      <c r="H4824" s="7" t="str">
        <f t="shared" si="300"/>
        <v/>
      </c>
      <c r="I4824" s="7" t="str">
        <f>IF(AND(ISBLANK(D4824),ISBLANK(C4824)),"",((VLOOKUP(D4824,Cardápio!$A$2:$C$16,3,0))*E4824)+IF(B4824="iFood",F4824*0.27,(VLOOKUP(VENDAS!C4824,Bairros!$A$2:$B$90,2,0))))</f>
        <v/>
      </c>
      <c r="J4824" s="7" t="str">
        <f t="shared" si="301"/>
        <v/>
      </c>
      <c r="K4824" s="9">
        <f t="shared" ca="1" si="302"/>
        <v>45404.878290162036</v>
      </c>
      <c r="L4824" s="10">
        <f t="shared" ca="1" si="303"/>
        <v>45404.878290046297</v>
      </c>
    </row>
    <row r="4825" spans="6:12" x14ac:dyDescent="0.25">
      <c r="F4825" s="11" t="str">
        <f>IF(ISBLANK(D4825),"",(VLOOKUP(D4825,Cardápio!$A$2:$B$16,2,0))*E4825)</f>
        <v/>
      </c>
      <c r="H4825" s="7" t="str">
        <f t="shared" si="300"/>
        <v/>
      </c>
      <c r="I4825" s="7" t="str">
        <f>IF(AND(ISBLANK(D4825),ISBLANK(C4825)),"",((VLOOKUP(D4825,Cardápio!$A$2:$C$16,3,0))*E4825)+IF(B4825="iFood",F4825*0.27,(VLOOKUP(VENDAS!C4825,Bairros!$A$2:$B$90,2,0))))</f>
        <v/>
      </c>
      <c r="J4825" s="7" t="str">
        <f t="shared" si="301"/>
        <v/>
      </c>
      <c r="K4825" s="9">
        <f t="shared" ca="1" si="302"/>
        <v>45404.878290277775</v>
      </c>
      <c r="L4825" s="10">
        <f t="shared" ca="1" si="303"/>
        <v>45404.878290046297</v>
      </c>
    </row>
    <row r="4826" spans="6:12" x14ac:dyDescent="0.25">
      <c r="F4826" s="11" t="str">
        <f>IF(ISBLANK(D4826),"",(VLOOKUP(D4826,Cardápio!$A$2:$B$16,2,0))*E4826)</f>
        <v/>
      </c>
      <c r="H4826" s="7" t="str">
        <f t="shared" si="300"/>
        <v/>
      </c>
      <c r="I4826" s="7" t="str">
        <f>IF(AND(ISBLANK(D4826),ISBLANK(C4826)),"",((VLOOKUP(D4826,Cardápio!$A$2:$C$16,3,0))*E4826)+IF(B4826="iFood",F4826*0.27,(VLOOKUP(VENDAS!C4826,Bairros!$A$2:$B$90,2,0))))</f>
        <v/>
      </c>
      <c r="J4826" s="7" t="str">
        <f t="shared" si="301"/>
        <v/>
      </c>
      <c r="K4826" s="9">
        <f t="shared" ca="1" si="302"/>
        <v>45404.878290162036</v>
      </c>
      <c r="L4826" s="10">
        <f t="shared" ca="1" si="303"/>
        <v>45404.878290046297</v>
      </c>
    </row>
    <row r="4827" spans="6:12" x14ac:dyDescent="0.25">
      <c r="F4827" s="11" t="str">
        <f>IF(ISBLANK(D4827),"",(VLOOKUP(D4827,Cardápio!$A$2:$B$16,2,0))*E4827)</f>
        <v/>
      </c>
      <c r="H4827" s="7" t="str">
        <f t="shared" si="300"/>
        <v/>
      </c>
      <c r="I4827" s="7" t="str">
        <f>IF(AND(ISBLANK(D4827),ISBLANK(C4827)),"",((VLOOKUP(D4827,Cardápio!$A$2:$C$16,3,0))*E4827)+IF(B4827="iFood",F4827*0.27,(VLOOKUP(VENDAS!C4827,Bairros!$A$2:$B$90,2,0))))</f>
        <v/>
      </c>
      <c r="J4827" s="7" t="str">
        <f t="shared" si="301"/>
        <v/>
      </c>
      <c r="K4827" s="9">
        <f t="shared" ca="1" si="302"/>
        <v>45404.878290162036</v>
      </c>
      <c r="L4827" s="10">
        <f t="shared" ca="1" si="303"/>
        <v>45404.878290162036</v>
      </c>
    </row>
    <row r="4828" spans="6:12" x14ac:dyDescent="0.25">
      <c r="F4828" s="11" t="str">
        <f>IF(ISBLANK(D4828),"",(VLOOKUP(D4828,Cardápio!$A$2:$B$16,2,0))*E4828)</f>
        <v/>
      </c>
      <c r="H4828" s="7" t="str">
        <f t="shared" si="300"/>
        <v/>
      </c>
      <c r="I4828" s="7" t="str">
        <f>IF(AND(ISBLANK(D4828),ISBLANK(C4828)),"",((VLOOKUP(D4828,Cardápio!$A$2:$C$16,3,0))*E4828)+IF(B4828="iFood",F4828*0.27,(VLOOKUP(VENDAS!C4828,Bairros!$A$2:$B$90,2,0))))</f>
        <v/>
      </c>
      <c r="J4828" s="7" t="str">
        <f t="shared" si="301"/>
        <v/>
      </c>
      <c r="K4828" s="9">
        <f t="shared" ca="1" si="302"/>
        <v>45404.878290162036</v>
      </c>
      <c r="L4828" s="10">
        <f t="shared" ca="1" si="303"/>
        <v>45404.878290046297</v>
      </c>
    </row>
    <row r="4829" spans="6:12" x14ac:dyDescent="0.25">
      <c r="F4829" s="11" t="str">
        <f>IF(ISBLANK(D4829),"",(VLOOKUP(D4829,Cardápio!$A$2:$B$16,2,0))*E4829)</f>
        <v/>
      </c>
      <c r="H4829" s="7" t="str">
        <f t="shared" si="300"/>
        <v/>
      </c>
      <c r="I4829" s="7" t="str">
        <f>IF(AND(ISBLANK(D4829),ISBLANK(C4829)),"",((VLOOKUP(D4829,Cardápio!$A$2:$C$16,3,0))*E4829)+IF(B4829="iFood",F4829*0.27,(VLOOKUP(VENDAS!C4829,Bairros!$A$2:$B$90,2,0))))</f>
        <v/>
      </c>
      <c r="J4829" s="7" t="str">
        <f t="shared" si="301"/>
        <v/>
      </c>
      <c r="K4829" s="9">
        <f t="shared" ca="1" si="302"/>
        <v>45404.878290277775</v>
      </c>
      <c r="L4829" s="10">
        <f t="shared" ca="1" si="303"/>
        <v>45404.878290046297</v>
      </c>
    </row>
    <row r="4830" spans="6:12" x14ac:dyDescent="0.25">
      <c r="F4830" s="11" t="str">
        <f>IF(ISBLANK(D4830),"",(VLOOKUP(D4830,Cardápio!$A$2:$B$16,2,0))*E4830)</f>
        <v/>
      </c>
      <c r="H4830" s="7" t="str">
        <f t="shared" si="300"/>
        <v/>
      </c>
      <c r="I4830" s="7" t="str">
        <f>IF(AND(ISBLANK(D4830),ISBLANK(C4830)),"",((VLOOKUP(D4830,Cardápio!$A$2:$C$16,3,0))*E4830)+IF(B4830="iFood",F4830*0.27,(VLOOKUP(VENDAS!C4830,Bairros!$A$2:$B$90,2,0))))</f>
        <v/>
      </c>
      <c r="J4830" s="7" t="str">
        <f t="shared" si="301"/>
        <v/>
      </c>
      <c r="K4830" s="9">
        <f t="shared" ca="1" si="302"/>
        <v>45404.878290162036</v>
      </c>
      <c r="L4830" s="10">
        <f t="shared" ca="1" si="303"/>
        <v>45404.878290046297</v>
      </c>
    </row>
    <row r="4831" spans="6:12" x14ac:dyDescent="0.25">
      <c r="F4831" s="11" t="str">
        <f>IF(ISBLANK(D4831),"",(VLOOKUP(D4831,Cardápio!$A$2:$B$16,2,0))*E4831)</f>
        <v/>
      </c>
      <c r="H4831" s="7" t="str">
        <f t="shared" si="300"/>
        <v/>
      </c>
      <c r="I4831" s="7" t="str">
        <f>IF(AND(ISBLANK(D4831),ISBLANK(C4831)),"",((VLOOKUP(D4831,Cardápio!$A$2:$C$16,3,0))*E4831)+IF(B4831="iFood",F4831*0.27,(VLOOKUP(VENDAS!C4831,Bairros!$A$2:$B$90,2,0))))</f>
        <v/>
      </c>
      <c r="J4831" s="7" t="str">
        <f t="shared" si="301"/>
        <v/>
      </c>
      <c r="K4831" s="9">
        <f t="shared" ca="1" si="302"/>
        <v>45404.878290162036</v>
      </c>
      <c r="L4831" s="10">
        <f t="shared" ca="1" si="303"/>
        <v>45404.878290162036</v>
      </c>
    </row>
    <row r="4832" spans="6:12" x14ac:dyDescent="0.25">
      <c r="F4832" s="11" t="str">
        <f>IF(ISBLANK(D4832),"",(VLOOKUP(D4832,Cardápio!$A$2:$B$16,2,0))*E4832)</f>
        <v/>
      </c>
      <c r="H4832" s="7" t="str">
        <f t="shared" si="300"/>
        <v/>
      </c>
      <c r="I4832" s="7" t="str">
        <f>IF(AND(ISBLANK(D4832),ISBLANK(C4832)),"",((VLOOKUP(D4832,Cardápio!$A$2:$C$16,3,0))*E4832)+IF(B4832="iFood",F4832*0.27,(VLOOKUP(VENDAS!C4832,Bairros!$A$2:$B$90,2,0))))</f>
        <v/>
      </c>
      <c r="J4832" s="7" t="str">
        <f t="shared" si="301"/>
        <v/>
      </c>
      <c r="K4832" s="9">
        <f t="shared" ca="1" si="302"/>
        <v>45404.878290162036</v>
      </c>
      <c r="L4832" s="10">
        <f t="shared" ca="1" si="303"/>
        <v>45404.878290046297</v>
      </c>
    </row>
    <row r="4833" spans="6:12" x14ac:dyDescent="0.25">
      <c r="F4833" s="11" t="str">
        <f>IF(ISBLANK(D4833),"",(VLOOKUP(D4833,Cardápio!$A$2:$B$16,2,0))*E4833)</f>
        <v/>
      </c>
      <c r="H4833" s="7" t="str">
        <f t="shared" si="300"/>
        <v/>
      </c>
      <c r="I4833" s="7" t="str">
        <f>IF(AND(ISBLANK(D4833),ISBLANK(C4833)),"",((VLOOKUP(D4833,Cardápio!$A$2:$C$16,3,0))*E4833)+IF(B4833="iFood",F4833*0.27,(VLOOKUP(VENDAS!C4833,Bairros!$A$2:$B$90,2,0))))</f>
        <v/>
      </c>
      <c r="J4833" s="7" t="str">
        <f t="shared" si="301"/>
        <v/>
      </c>
      <c r="K4833" s="9">
        <f t="shared" ca="1" si="302"/>
        <v>45404.878290277775</v>
      </c>
      <c r="L4833" s="10">
        <f t="shared" ca="1" si="303"/>
        <v>45404.878290046297</v>
      </c>
    </row>
    <row r="4834" spans="6:12" x14ac:dyDescent="0.25">
      <c r="F4834" s="11" t="str">
        <f>IF(ISBLANK(D4834),"",(VLOOKUP(D4834,Cardápio!$A$2:$B$16,2,0))*E4834)</f>
        <v/>
      </c>
      <c r="H4834" s="7" t="str">
        <f t="shared" si="300"/>
        <v/>
      </c>
      <c r="I4834" s="7" t="str">
        <f>IF(AND(ISBLANK(D4834),ISBLANK(C4834)),"",((VLOOKUP(D4834,Cardápio!$A$2:$C$16,3,0))*E4834)+IF(B4834="iFood",F4834*0.27,(VLOOKUP(VENDAS!C4834,Bairros!$A$2:$B$90,2,0))))</f>
        <v/>
      </c>
      <c r="J4834" s="7" t="str">
        <f t="shared" si="301"/>
        <v/>
      </c>
      <c r="K4834" s="9">
        <f t="shared" ca="1" si="302"/>
        <v>45404.878290162036</v>
      </c>
      <c r="L4834" s="10">
        <f t="shared" ca="1" si="303"/>
        <v>45404.878290046297</v>
      </c>
    </row>
    <row r="4835" spans="6:12" x14ac:dyDescent="0.25">
      <c r="F4835" s="11" t="str">
        <f>IF(ISBLANK(D4835),"",(VLOOKUP(D4835,Cardápio!$A$2:$B$16,2,0))*E4835)</f>
        <v/>
      </c>
      <c r="H4835" s="7" t="str">
        <f t="shared" si="300"/>
        <v/>
      </c>
      <c r="I4835" s="7" t="str">
        <f>IF(AND(ISBLANK(D4835),ISBLANK(C4835)),"",((VLOOKUP(D4835,Cardápio!$A$2:$C$16,3,0))*E4835)+IF(B4835="iFood",F4835*0.27,(VLOOKUP(VENDAS!C4835,Bairros!$A$2:$B$90,2,0))))</f>
        <v/>
      </c>
      <c r="J4835" s="7" t="str">
        <f t="shared" si="301"/>
        <v/>
      </c>
      <c r="K4835" s="9">
        <f t="shared" ca="1" si="302"/>
        <v>45404.878290162036</v>
      </c>
      <c r="L4835" s="10">
        <f t="shared" ca="1" si="303"/>
        <v>45404.878290162036</v>
      </c>
    </row>
    <row r="4836" spans="6:12" x14ac:dyDescent="0.25">
      <c r="F4836" s="11" t="str">
        <f>IF(ISBLANK(D4836),"",(VLOOKUP(D4836,Cardápio!$A$2:$B$16,2,0))*E4836)</f>
        <v/>
      </c>
      <c r="H4836" s="7" t="str">
        <f t="shared" si="300"/>
        <v/>
      </c>
      <c r="I4836" s="7" t="str">
        <f>IF(AND(ISBLANK(D4836),ISBLANK(C4836)),"",((VLOOKUP(D4836,Cardápio!$A$2:$C$16,3,0))*E4836)+IF(B4836="iFood",F4836*0.27,(VLOOKUP(VENDAS!C4836,Bairros!$A$2:$B$90,2,0))))</f>
        <v/>
      </c>
      <c r="J4836" s="7" t="str">
        <f t="shared" si="301"/>
        <v/>
      </c>
      <c r="K4836" s="9">
        <f t="shared" ca="1" si="302"/>
        <v>45404.878290162036</v>
      </c>
      <c r="L4836" s="10">
        <f t="shared" ca="1" si="303"/>
        <v>45404.878290046297</v>
      </c>
    </row>
    <row r="4837" spans="6:12" x14ac:dyDescent="0.25">
      <c r="F4837" s="11" t="str">
        <f>IF(ISBLANK(D4837),"",(VLOOKUP(D4837,Cardápio!$A$2:$B$16,2,0))*E4837)</f>
        <v/>
      </c>
      <c r="H4837" s="7" t="str">
        <f t="shared" si="300"/>
        <v/>
      </c>
      <c r="I4837" s="7" t="str">
        <f>IF(AND(ISBLANK(D4837),ISBLANK(C4837)),"",((VLOOKUP(D4837,Cardápio!$A$2:$C$16,3,0))*E4837)+IF(B4837="iFood",F4837*0.27,(VLOOKUP(VENDAS!C4837,Bairros!$A$2:$B$90,2,0))))</f>
        <v/>
      </c>
      <c r="J4837" s="7" t="str">
        <f t="shared" si="301"/>
        <v/>
      </c>
      <c r="K4837" s="9">
        <f t="shared" ca="1" si="302"/>
        <v>45404.878290277775</v>
      </c>
      <c r="L4837" s="10">
        <f t="shared" ca="1" si="303"/>
        <v>45404.878290046297</v>
      </c>
    </row>
    <row r="4838" spans="6:12" x14ac:dyDescent="0.25">
      <c r="F4838" s="11" t="str">
        <f>IF(ISBLANK(D4838),"",(VLOOKUP(D4838,Cardápio!$A$2:$B$16,2,0))*E4838)</f>
        <v/>
      </c>
      <c r="H4838" s="7" t="str">
        <f t="shared" si="300"/>
        <v/>
      </c>
      <c r="I4838" s="7" t="str">
        <f>IF(AND(ISBLANK(D4838),ISBLANK(C4838)),"",((VLOOKUP(D4838,Cardápio!$A$2:$C$16,3,0))*E4838)+IF(B4838="iFood",F4838*0.27,(VLOOKUP(VENDAS!C4838,Bairros!$A$2:$B$90,2,0))))</f>
        <v/>
      </c>
      <c r="J4838" s="7" t="str">
        <f t="shared" si="301"/>
        <v/>
      </c>
      <c r="K4838" s="9">
        <f t="shared" ca="1" si="302"/>
        <v>45404.878290162036</v>
      </c>
      <c r="L4838" s="10">
        <f t="shared" ca="1" si="303"/>
        <v>45404.878290046297</v>
      </c>
    </row>
    <row r="4839" spans="6:12" x14ac:dyDescent="0.25">
      <c r="F4839" s="11" t="str">
        <f>IF(ISBLANK(D4839),"",(VLOOKUP(D4839,Cardápio!$A$2:$B$16,2,0))*E4839)</f>
        <v/>
      </c>
      <c r="H4839" s="7" t="str">
        <f t="shared" si="300"/>
        <v/>
      </c>
      <c r="I4839" s="7" t="str">
        <f>IF(AND(ISBLANK(D4839),ISBLANK(C4839)),"",((VLOOKUP(D4839,Cardápio!$A$2:$C$16,3,0))*E4839)+IF(B4839="iFood",F4839*0.27,(VLOOKUP(VENDAS!C4839,Bairros!$A$2:$B$90,2,0))))</f>
        <v/>
      </c>
      <c r="J4839" s="7" t="str">
        <f t="shared" si="301"/>
        <v/>
      </c>
      <c r="K4839" s="9">
        <f t="shared" ca="1" si="302"/>
        <v>45404.878290162036</v>
      </c>
      <c r="L4839" s="10">
        <f t="shared" ca="1" si="303"/>
        <v>45404.878290162036</v>
      </c>
    </row>
    <row r="4840" spans="6:12" x14ac:dyDescent="0.25">
      <c r="F4840" s="11" t="str">
        <f>IF(ISBLANK(D4840),"",(VLOOKUP(D4840,Cardápio!$A$2:$B$16,2,0))*E4840)</f>
        <v/>
      </c>
      <c r="H4840" s="7" t="str">
        <f t="shared" si="300"/>
        <v/>
      </c>
      <c r="I4840" s="7" t="str">
        <f>IF(AND(ISBLANK(D4840),ISBLANK(C4840)),"",((VLOOKUP(D4840,Cardápio!$A$2:$C$16,3,0))*E4840)+IF(B4840="iFood",F4840*0.27,(VLOOKUP(VENDAS!C4840,Bairros!$A$2:$B$90,2,0))))</f>
        <v/>
      </c>
      <c r="J4840" s="7" t="str">
        <f t="shared" si="301"/>
        <v/>
      </c>
      <c r="K4840" s="9">
        <f t="shared" ca="1" si="302"/>
        <v>45404.878290162036</v>
      </c>
      <c r="L4840" s="10">
        <f t="shared" ca="1" si="303"/>
        <v>45404.878290046297</v>
      </c>
    </row>
    <row r="4841" spans="6:12" x14ac:dyDescent="0.25">
      <c r="F4841" s="11" t="str">
        <f>IF(ISBLANK(D4841),"",(VLOOKUP(D4841,Cardápio!$A$2:$B$16,2,0))*E4841)</f>
        <v/>
      </c>
      <c r="H4841" s="7" t="str">
        <f t="shared" si="300"/>
        <v/>
      </c>
      <c r="I4841" s="7" t="str">
        <f>IF(AND(ISBLANK(D4841),ISBLANK(C4841)),"",((VLOOKUP(D4841,Cardápio!$A$2:$C$16,3,0))*E4841)+IF(B4841="iFood",F4841*0.27,(VLOOKUP(VENDAS!C4841,Bairros!$A$2:$B$90,2,0))))</f>
        <v/>
      </c>
      <c r="J4841" s="7" t="str">
        <f t="shared" si="301"/>
        <v/>
      </c>
      <c r="K4841" s="9">
        <f t="shared" ca="1" si="302"/>
        <v>45404.878290277775</v>
      </c>
      <c r="L4841" s="10">
        <f t="shared" ca="1" si="303"/>
        <v>45404.878290046297</v>
      </c>
    </row>
    <row r="4842" spans="6:12" x14ac:dyDescent="0.25">
      <c r="F4842" s="11" t="str">
        <f>IF(ISBLANK(D4842),"",(VLOOKUP(D4842,Cardápio!$A$2:$B$16,2,0))*E4842)</f>
        <v/>
      </c>
      <c r="H4842" s="7" t="str">
        <f t="shared" si="300"/>
        <v/>
      </c>
      <c r="I4842" s="7" t="str">
        <f>IF(AND(ISBLANK(D4842),ISBLANK(C4842)),"",((VLOOKUP(D4842,Cardápio!$A$2:$C$16,3,0))*E4842)+IF(B4842="iFood",F4842*0.27,(VLOOKUP(VENDAS!C4842,Bairros!$A$2:$B$90,2,0))))</f>
        <v/>
      </c>
      <c r="J4842" s="7" t="str">
        <f t="shared" si="301"/>
        <v/>
      </c>
      <c r="K4842" s="9">
        <f t="shared" ca="1" si="302"/>
        <v>45404.878290162036</v>
      </c>
      <c r="L4842" s="10">
        <f t="shared" ca="1" si="303"/>
        <v>45404.878290046297</v>
      </c>
    </row>
    <row r="4843" spans="6:12" x14ac:dyDescent="0.25">
      <c r="F4843" s="11" t="str">
        <f>IF(ISBLANK(D4843),"",(VLOOKUP(D4843,Cardápio!$A$2:$B$16,2,0))*E4843)</f>
        <v/>
      </c>
      <c r="H4843" s="7" t="str">
        <f t="shared" si="300"/>
        <v/>
      </c>
      <c r="I4843" s="7" t="str">
        <f>IF(AND(ISBLANK(D4843),ISBLANK(C4843)),"",((VLOOKUP(D4843,Cardápio!$A$2:$C$16,3,0))*E4843)+IF(B4843="iFood",F4843*0.27,(VLOOKUP(VENDAS!C4843,Bairros!$A$2:$B$90,2,0))))</f>
        <v/>
      </c>
      <c r="J4843" s="7" t="str">
        <f t="shared" si="301"/>
        <v/>
      </c>
      <c r="K4843" s="9">
        <f t="shared" ca="1" si="302"/>
        <v>45404.878290162036</v>
      </c>
      <c r="L4843" s="10">
        <f t="shared" ca="1" si="303"/>
        <v>45404.878290162036</v>
      </c>
    </row>
    <row r="4844" spans="6:12" x14ac:dyDescent="0.25">
      <c r="F4844" s="11" t="str">
        <f>IF(ISBLANK(D4844),"",(VLOOKUP(D4844,Cardápio!$A$2:$B$16,2,0))*E4844)</f>
        <v/>
      </c>
      <c r="H4844" s="7" t="str">
        <f t="shared" si="300"/>
        <v/>
      </c>
      <c r="I4844" s="7" t="str">
        <f>IF(AND(ISBLANK(D4844),ISBLANK(C4844)),"",((VLOOKUP(D4844,Cardápio!$A$2:$C$16,3,0))*E4844)+IF(B4844="iFood",F4844*0.27,(VLOOKUP(VENDAS!C4844,Bairros!$A$2:$B$90,2,0))))</f>
        <v/>
      </c>
      <c r="J4844" s="7" t="str">
        <f t="shared" si="301"/>
        <v/>
      </c>
      <c r="K4844" s="9">
        <f t="shared" ca="1" si="302"/>
        <v>45404.878290162036</v>
      </c>
      <c r="L4844" s="10">
        <f t="shared" ca="1" si="303"/>
        <v>45404.878290046297</v>
      </c>
    </row>
    <row r="4845" spans="6:12" x14ac:dyDescent="0.25">
      <c r="F4845" s="11" t="str">
        <f>IF(ISBLANK(D4845),"",(VLOOKUP(D4845,Cardápio!$A$2:$B$16,2,0))*E4845)</f>
        <v/>
      </c>
      <c r="H4845" s="7" t="str">
        <f t="shared" si="300"/>
        <v/>
      </c>
      <c r="I4845" s="7" t="str">
        <f>IF(AND(ISBLANK(D4845),ISBLANK(C4845)),"",((VLOOKUP(D4845,Cardápio!$A$2:$C$16,3,0))*E4845)+IF(B4845="iFood",F4845*0.27,(VLOOKUP(VENDAS!C4845,Bairros!$A$2:$B$90,2,0))))</f>
        <v/>
      </c>
      <c r="J4845" s="7" t="str">
        <f t="shared" si="301"/>
        <v/>
      </c>
      <c r="K4845" s="9">
        <f t="shared" ca="1" si="302"/>
        <v>45404.878290277775</v>
      </c>
      <c r="L4845" s="10">
        <f t="shared" ca="1" si="303"/>
        <v>45404.878290046297</v>
      </c>
    </row>
    <row r="4846" spans="6:12" x14ac:dyDescent="0.25">
      <c r="F4846" s="11" t="str">
        <f>IF(ISBLANK(D4846),"",(VLOOKUP(D4846,Cardápio!$A$2:$B$16,2,0))*E4846)</f>
        <v/>
      </c>
      <c r="H4846" s="7" t="str">
        <f t="shared" si="300"/>
        <v/>
      </c>
      <c r="I4846" s="7" t="str">
        <f>IF(AND(ISBLANK(D4846),ISBLANK(C4846)),"",((VLOOKUP(D4846,Cardápio!$A$2:$C$16,3,0))*E4846)+IF(B4846="iFood",F4846*0.27,(VLOOKUP(VENDAS!C4846,Bairros!$A$2:$B$90,2,0))))</f>
        <v/>
      </c>
      <c r="J4846" s="7" t="str">
        <f t="shared" si="301"/>
        <v/>
      </c>
      <c r="K4846" s="9">
        <f t="shared" ca="1" si="302"/>
        <v>45404.878290162036</v>
      </c>
      <c r="L4846" s="10">
        <f t="shared" ca="1" si="303"/>
        <v>45404.878290046297</v>
      </c>
    </row>
    <row r="4847" spans="6:12" x14ac:dyDescent="0.25">
      <c r="F4847" s="11" t="str">
        <f>IF(ISBLANK(D4847),"",(VLOOKUP(D4847,Cardápio!$A$2:$B$16,2,0))*E4847)</f>
        <v/>
      </c>
      <c r="H4847" s="7" t="str">
        <f t="shared" si="300"/>
        <v/>
      </c>
      <c r="I4847" s="7" t="str">
        <f>IF(AND(ISBLANK(D4847),ISBLANK(C4847)),"",((VLOOKUP(D4847,Cardápio!$A$2:$C$16,3,0))*E4847)+IF(B4847="iFood",F4847*0.27,(VLOOKUP(VENDAS!C4847,Bairros!$A$2:$B$90,2,0))))</f>
        <v/>
      </c>
      <c r="J4847" s="7" t="str">
        <f t="shared" si="301"/>
        <v/>
      </c>
      <c r="K4847" s="9">
        <f t="shared" ca="1" si="302"/>
        <v>45404.878290162036</v>
      </c>
      <c r="L4847" s="10">
        <f t="shared" ca="1" si="303"/>
        <v>45404.878290162036</v>
      </c>
    </row>
    <row r="4848" spans="6:12" x14ac:dyDescent="0.25">
      <c r="F4848" s="11" t="str">
        <f>IF(ISBLANK(D4848),"",(VLOOKUP(D4848,Cardápio!$A$2:$B$16,2,0))*E4848)</f>
        <v/>
      </c>
      <c r="H4848" s="7" t="str">
        <f t="shared" si="300"/>
        <v/>
      </c>
      <c r="I4848" s="7" t="str">
        <f>IF(AND(ISBLANK(D4848),ISBLANK(C4848)),"",((VLOOKUP(D4848,Cardápio!$A$2:$C$16,3,0))*E4848)+IF(B4848="iFood",F4848*0.27,(VLOOKUP(VENDAS!C4848,Bairros!$A$2:$B$90,2,0))))</f>
        <v/>
      </c>
      <c r="J4848" s="7" t="str">
        <f t="shared" si="301"/>
        <v/>
      </c>
      <c r="K4848" s="9">
        <f t="shared" ca="1" si="302"/>
        <v>45404.878290162036</v>
      </c>
      <c r="L4848" s="10">
        <f t="shared" ca="1" si="303"/>
        <v>45404.878290046297</v>
      </c>
    </row>
    <row r="4849" spans="6:12" x14ac:dyDescent="0.25">
      <c r="F4849" s="11" t="str">
        <f>IF(ISBLANK(D4849),"",(VLOOKUP(D4849,Cardápio!$A$2:$B$16,2,0))*E4849)</f>
        <v/>
      </c>
      <c r="H4849" s="7" t="str">
        <f t="shared" si="300"/>
        <v/>
      </c>
      <c r="I4849" s="7" t="str">
        <f>IF(AND(ISBLANK(D4849),ISBLANK(C4849)),"",((VLOOKUP(D4849,Cardápio!$A$2:$C$16,3,0))*E4849)+IF(B4849="iFood",F4849*0.27,(VLOOKUP(VENDAS!C4849,Bairros!$A$2:$B$90,2,0))))</f>
        <v/>
      </c>
      <c r="J4849" s="7" t="str">
        <f t="shared" si="301"/>
        <v/>
      </c>
      <c r="K4849" s="9">
        <f t="shared" ca="1" si="302"/>
        <v>45404.878290277775</v>
      </c>
      <c r="L4849" s="10">
        <f t="shared" ca="1" si="303"/>
        <v>45404.878290046297</v>
      </c>
    </row>
    <row r="4850" spans="6:12" x14ac:dyDescent="0.25">
      <c r="F4850" s="11" t="str">
        <f>IF(ISBLANK(D4850),"",(VLOOKUP(D4850,Cardápio!$A$2:$B$16,2,0))*E4850)</f>
        <v/>
      </c>
      <c r="H4850" s="7" t="str">
        <f t="shared" si="300"/>
        <v/>
      </c>
      <c r="I4850" s="7" t="str">
        <f>IF(AND(ISBLANK(D4850),ISBLANK(C4850)),"",((VLOOKUP(D4850,Cardápio!$A$2:$C$16,3,0))*E4850)+IF(B4850="iFood",F4850*0.27,(VLOOKUP(VENDAS!C4850,Bairros!$A$2:$B$90,2,0))))</f>
        <v/>
      </c>
      <c r="J4850" s="7" t="str">
        <f t="shared" si="301"/>
        <v/>
      </c>
      <c r="K4850" s="9">
        <f t="shared" ca="1" si="302"/>
        <v>45404.878290162036</v>
      </c>
      <c r="L4850" s="10">
        <f t="shared" ca="1" si="303"/>
        <v>45404.878290046297</v>
      </c>
    </row>
    <row r="4851" spans="6:12" x14ac:dyDescent="0.25">
      <c r="F4851" s="11" t="str">
        <f>IF(ISBLANK(D4851),"",(VLOOKUP(D4851,Cardápio!$A$2:$B$16,2,0))*E4851)</f>
        <v/>
      </c>
      <c r="H4851" s="7" t="str">
        <f t="shared" si="300"/>
        <v/>
      </c>
      <c r="I4851" s="7" t="str">
        <f>IF(AND(ISBLANK(D4851),ISBLANK(C4851)),"",((VLOOKUP(D4851,Cardápio!$A$2:$C$16,3,0))*E4851)+IF(B4851="iFood",F4851*0.27,(VLOOKUP(VENDAS!C4851,Bairros!$A$2:$B$90,2,0))))</f>
        <v/>
      </c>
      <c r="J4851" s="7" t="str">
        <f t="shared" si="301"/>
        <v/>
      </c>
      <c r="K4851" s="9">
        <f t="shared" ca="1" si="302"/>
        <v>45404.878290162036</v>
      </c>
      <c r="L4851" s="10">
        <f t="shared" ca="1" si="303"/>
        <v>45404.878290162036</v>
      </c>
    </row>
    <row r="4852" spans="6:12" x14ac:dyDescent="0.25">
      <c r="F4852" s="11" t="str">
        <f>IF(ISBLANK(D4852),"",(VLOOKUP(D4852,Cardápio!$A$2:$B$16,2,0))*E4852)</f>
        <v/>
      </c>
      <c r="H4852" s="7" t="str">
        <f t="shared" si="300"/>
        <v/>
      </c>
      <c r="I4852" s="7" t="str">
        <f>IF(AND(ISBLANK(D4852),ISBLANK(C4852)),"",((VLOOKUP(D4852,Cardápio!$A$2:$C$16,3,0))*E4852)+IF(B4852="iFood",F4852*0.27,(VLOOKUP(VENDAS!C4852,Bairros!$A$2:$B$90,2,0))))</f>
        <v/>
      </c>
      <c r="J4852" s="7" t="str">
        <f t="shared" si="301"/>
        <v/>
      </c>
      <c r="K4852" s="9">
        <f t="shared" ca="1" si="302"/>
        <v>45404.878290162036</v>
      </c>
      <c r="L4852" s="10">
        <f t="shared" ca="1" si="303"/>
        <v>45404.878290046297</v>
      </c>
    </row>
    <row r="4853" spans="6:12" x14ac:dyDescent="0.25">
      <c r="F4853" s="11" t="str">
        <f>IF(ISBLANK(D4853),"",(VLOOKUP(D4853,Cardápio!$A$2:$B$16,2,0))*E4853)</f>
        <v/>
      </c>
      <c r="H4853" s="7" t="str">
        <f t="shared" ref="H4853:H4916" si="304">IF(ISBLANK(D4853),"",F4853-G4853)</f>
        <v/>
      </c>
      <c r="I4853" s="7" t="str">
        <f>IF(AND(ISBLANK(D4853),ISBLANK(C4853)),"",((VLOOKUP(D4853,Cardápio!$A$2:$C$16,3,0))*E4853)+IF(B4853="iFood",F4853*0.27,(VLOOKUP(VENDAS!C4853,Bairros!$A$2:$B$90,2,0))))</f>
        <v/>
      </c>
      <c r="J4853" s="7" t="str">
        <f t="shared" ref="J4853:J4916" si="305">IF(OR(AND(ISBLANK(H4853),ISBLANK(I4853)),(AND(H4853="",I4853=""))),"",H4853-I4853)</f>
        <v/>
      </c>
      <c r="K4853" s="9">
        <f t="shared" ref="K4853:K4916" ca="1" si="306">IF(D4853&lt;&gt;"",K4853,NOW())</f>
        <v>45404.878290277775</v>
      </c>
      <c r="L4853" s="10">
        <f t="shared" ref="L4853:L4916" ca="1" si="307">IF(D4853&lt;&gt;"",L4853,NOW())</f>
        <v>45404.878290046297</v>
      </c>
    </row>
    <row r="4854" spans="6:12" x14ac:dyDescent="0.25">
      <c r="F4854" s="11" t="str">
        <f>IF(ISBLANK(D4854),"",(VLOOKUP(D4854,Cardápio!$A$2:$B$16,2,0))*E4854)</f>
        <v/>
      </c>
      <c r="H4854" s="7" t="str">
        <f t="shared" si="304"/>
        <v/>
      </c>
      <c r="I4854" s="7" t="str">
        <f>IF(AND(ISBLANK(D4854),ISBLANK(C4854)),"",((VLOOKUP(D4854,Cardápio!$A$2:$C$16,3,0))*E4854)+IF(B4854="iFood",F4854*0.27,(VLOOKUP(VENDAS!C4854,Bairros!$A$2:$B$90,2,0))))</f>
        <v/>
      </c>
      <c r="J4854" s="7" t="str">
        <f t="shared" si="305"/>
        <v/>
      </c>
      <c r="K4854" s="9">
        <f t="shared" ca="1" si="306"/>
        <v>45404.878290162036</v>
      </c>
      <c r="L4854" s="10">
        <f t="shared" ca="1" si="307"/>
        <v>45404.878290046297</v>
      </c>
    </row>
    <row r="4855" spans="6:12" x14ac:dyDescent="0.25">
      <c r="F4855" s="11" t="str">
        <f>IF(ISBLANK(D4855),"",(VLOOKUP(D4855,Cardápio!$A$2:$B$16,2,0))*E4855)</f>
        <v/>
      </c>
      <c r="H4855" s="7" t="str">
        <f t="shared" si="304"/>
        <v/>
      </c>
      <c r="I4855" s="7" t="str">
        <f>IF(AND(ISBLANK(D4855),ISBLANK(C4855)),"",((VLOOKUP(D4855,Cardápio!$A$2:$C$16,3,0))*E4855)+IF(B4855="iFood",F4855*0.27,(VLOOKUP(VENDAS!C4855,Bairros!$A$2:$B$90,2,0))))</f>
        <v/>
      </c>
      <c r="J4855" s="7" t="str">
        <f t="shared" si="305"/>
        <v/>
      </c>
      <c r="K4855" s="9">
        <f t="shared" ca="1" si="306"/>
        <v>45404.878290162036</v>
      </c>
      <c r="L4855" s="10">
        <f t="shared" ca="1" si="307"/>
        <v>45404.878290162036</v>
      </c>
    </row>
    <row r="4856" spans="6:12" x14ac:dyDescent="0.25">
      <c r="F4856" s="11" t="str">
        <f>IF(ISBLANK(D4856),"",(VLOOKUP(D4856,Cardápio!$A$2:$B$16,2,0))*E4856)</f>
        <v/>
      </c>
      <c r="H4856" s="7" t="str">
        <f t="shared" si="304"/>
        <v/>
      </c>
      <c r="I4856" s="7" t="str">
        <f>IF(AND(ISBLANK(D4856),ISBLANK(C4856)),"",((VLOOKUP(D4856,Cardápio!$A$2:$C$16,3,0))*E4856)+IF(B4856="iFood",F4856*0.27,(VLOOKUP(VENDAS!C4856,Bairros!$A$2:$B$90,2,0))))</f>
        <v/>
      </c>
      <c r="J4856" s="7" t="str">
        <f t="shared" si="305"/>
        <v/>
      </c>
      <c r="K4856" s="9">
        <f t="shared" ca="1" si="306"/>
        <v>45404.878290162036</v>
      </c>
      <c r="L4856" s="10">
        <f t="shared" ca="1" si="307"/>
        <v>45404.878290046297</v>
      </c>
    </row>
    <row r="4857" spans="6:12" x14ac:dyDescent="0.25">
      <c r="F4857" s="11" t="str">
        <f>IF(ISBLANK(D4857),"",(VLOOKUP(D4857,Cardápio!$A$2:$B$16,2,0))*E4857)</f>
        <v/>
      </c>
      <c r="H4857" s="7" t="str">
        <f t="shared" si="304"/>
        <v/>
      </c>
      <c r="I4857" s="7" t="str">
        <f>IF(AND(ISBLANK(D4857),ISBLANK(C4857)),"",((VLOOKUP(D4857,Cardápio!$A$2:$C$16,3,0))*E4857)+IF(B4857="iFood",F4857*0.27,(VLOOKUP(VENDAS!C4857,Bairros!$A$2:$B$90,2,0))))</f>
        <v/>
      </c>
      <c r="J4857" s="7" t="str">
        <f t="shared" si="305"/>
        <v/>
      </c>
      <c r="K4857" s="9">
        <f t="shared" ca="1" si="306"/>
        <v>45404.878290277775</v>
      </c>
      <c r="L4857" s="10">
        <f t="shared" ca="1" si="307"/>
        <v>45404.878290046297</v>
      </c>
    </row>
    <row r="4858" spans="6:12" x14ac:dyDescent="0.25">
      <c r="F4858" s="11" t="str">
        <f>IF(ISBLANK(D4858),"",(VLOOKUP(D4858,Cardápio!$A$2:$B$16,2,0))*E4858)</f>
        <v/>
      </c>
      <c r="H4858" s="7" t="str">
        <f t="shared" si="304"/>
        <v/>
      </c>
      <c r="I4858" s="7" t="str">
        <f>IF(AND(ISBLANK(D4858),ISBLANK(C4858)),"",((VLOOKUP(D4858,Cardápio!$A$2:$C$16,3,0))*E4858)+IF(B4858="iFood",F4858*0.27,(VLOOKUP(VENDAS!C4858,Bairros!$A$2:$B$90,2,0))))</f>
        <v/>
      </c>
      <c r="J4858" s="7" t="str">
        <f t="shared" si="305"/>
        <v/>
      </c>
      <c r="K4858" s="9">
        <f t="shared" ca="1" si="306"/>
        <v>45404.878290162036</v>
      </c>
      <c r="L4858" s="10">
        <f t="shared" ca="1" si="307"/>
        <v>45404.878290046297</v>
      </c>
    </row>
    <row r="4859" spans="6:12" x14ac:dyDescent="0.25">
      <c r="F4859" s="11" t="str">
        <f>IF(ISBLANK(D4859),"",(VLOOKUP(D4859,Cardápio!$A$2:$B$16,2,0))*E4859)</f>
        <v/>
      </c>
      <c r="H4859" s="7" t="str">
        <f t="shared" si="304"/>
        <v/>
      </c>
      <c r="I4859" s="7" t="str">
        <f>IF(AND(ISBLANK(D4859),ISBLANK(C4859)),"",((VLOOKUP(D4859,Cardápio!$A$2:$C$16,3,0))*E4859)+IF(B4859="iFood",F4859*0.27,(VLOOKUP(VENDAS!C4859,Bairros!$A$2:$B$90,2,0))))</f>
        <v/>
      </c>
      <c r="J4859" s="7" t="str">
        <f t="shared" si="305"/>
        <v/>
      </c>
      <c r="K4859" s="9">
        <f t="shared" ca="1" si="306"/>
        <v>45404.878290162036</v>
      </c>
      <c r="L4859" s="10">
        <f t="shared" ca="1" si="307"/>
        <v>45404.878290162036</v>
      </c>
    </row>
    <row r="4860" spans="6:12" x14ac:dyDescent="0.25">
      <c r="F4860" s="11" t="str">
        <f>IF(ISBLANK(D4860),"",(VLOOKUP(D4860,Cardápio!$A$2:$B$16,2,0))*E4860)</f>
        <v/>
      </c>
      <c r="H4860" s="7" t="str">
        <f t="shared" si="304"/>
        <v/>
      </c>
      <c r="I4860" s="7" t="str">
        <f>IF(AND(ISBLANK(D4860),ISBLANK(C4860)),"",((VLOOKUP(D4860,Cardápio!$A$2:$C$16,3,0))*E4860)+IF(B4860="iFood",F4860*0.27,(VLOOKUP(VENDAS!C4860,Bairros!$A$2:$B$90,2,0))))</f>
        <v/>
      </c>
      <c r="J4860" s="7" t="str">
        <f t="shared" si="305"/>
        <v/>
      </c>
      <c r="K4860" s="9">
        <f t="shared" ca="1" si="306"/>
        <v>45404.878290162036</v>
      </c>
      <c r="L4860" s="10">
        <f t="shared" ca="1" si="307"/>
        <v>45404.878290046297</v>
      </c>
    </row>
    <row r="4861" spans="6:12" x14ac:dyDescent="0.25">
      <c r="F4861" s="11" t="str">
        <f>IF(ISBLANK(D4861),"",(VLOOKUP(D4861,Cardápio!$A$2:$B$16,2,0))*E4861)</f>
        <v/>
      </c>
      <c r="H4861" s="7" t="str">
        <f t="shared" si="304"/>
        <v/>
      </c>
      <c r="I4861" s="7" t="str">
        <f>IF(AND(ISBLANK(D4861),ISBLANK(C4861)),"",((VLOOKUP(D4861,Cardápio!$A$2:$C$16,3,0))*E4861)+IF(B4861="iFood",F4861*0.27,(VLOOKUP(VENDAS!C4861,Bairros!$A$2:$B$90,2,0))))</f>
        <v/>
      </c>
      <c r="J4861" s="7" t="str">
        <f t="shared" si="305"/>
        <v/>
      </c>
      <c r="K4861" s="9">
        <f t="shared" ca="1" si="306"/>
        <v>45404.878290277775</v>
      </c>
      <c r="L4861" s="10">
        <f t="shared" ca="1" si="307"/>
        <v>45404.878290046297</v>
      </c>
    </row>
    <row r="4862" spans="6:12" x14ac:dyDescent="0.25">
      <c r="F4862" s="11" t="str">
        <f>IF(ISBLANK(D4862),"",(VLOOKUP(D4862,Cardápio!$A$2:$B$16,2,0))*E4862)</f>
        <v/>
      </c>
      <c r="H4862" s="7" t="str">
        <f t="shared" si="304"/>
        <v/>
      </c>
      <c r="I4862" s="7" t="str">
        <f>IF(AND(ISBLANK(D4862),ISBLANK(C4862)),"",((VLOOKUP(D4862,Cardápio!$A$2:$C$16,3,0))*E4862)+IF(B4862="iFood",F4862*0.27,(VLOOKUP(VENDAS!C4862,Bairros!$A$2:$B$90,2,0))))</f>
        <v/>
      </c>
      <c r="J4862" s="7" t="str">
        <f t="shared" si="305"/>
        <v/>
      </c>
      <c r="K4862" s="9">
        <f t="shared" ca="1" si="306"/>
        <v>45404.878290162036</v>
      </c>
      <c r="L4862" s="10">
        <f t="shared" ca="1" si="307"/>
        <v>45404.878290046297</v>
      </c>
    </row>
    <row r="4863" spans="6:12" x14ac:dyDescent="0.25">
      <c r="F4863" s="11" t="str">
        <f>IF(ISBLANK(D4863),"",(VLOOKUP(D4863,Cardápio!$A$2:$B$16,2,0))*E4863)</f>
        <v/>
      </c>
      <c r="H4863" s="7" t="str">
        <f t="shared" si="304"/>
        <v/>
      </c>
      <c r="I4863" s="7" t="str">
        <f>IF(AND(ISBLANK(D4863),ISBLANK(C4863)),"",((VLOOKUP(D4863,Cardápio!$A$2:$C$16,3,0))*E4863)+IF(B4863="iFood",F4863*0.27,(VLOOKUP(VENDAS!C4863,Bairros!$A$2:$B$90,2,0))))</f>
        <v/>
      </c>
      <c r="J4863" s="7" t="str">
        <f t="shared" si="305"/>
        <v/>
      </c>
      <c r="K4863" s="9">
        <f t="shared" ca="1" si="306"/>
        <v>45404.878290162036</v>
      </c>
      <c r="L4863" s="10">
        <f t="shared" ca="1" si="307"/>
        <v>45404.878290162036</v>
      </c>
    </row>
    <row r="4864" spans="6:12" x14ac:dyDescent="0.25">
      <c r="F4864" s="11" t="str">
        <f>IF(ISBLANK(D4864),"",(VLOOKUP(D4864,Cardápio!$A$2:$B$16,2,0))*E4864)</f>
        <v/>
      </c>
      <c r="H4864" s="7" t="str">
        <f t="shared" si="304"/>
        <v/>
      </c>
      <c r="I4864" s="7" t="str">
        <f>IF(AND(ISBLANK(D4864),ISBLANK(C4864)),"",((VLOOKUP(D4864,Cardápio!$A$2:$C$16,3,0))*E4864)+IF(B4864="iFood",F4864*0.27,(VLOOKUP(VENDAS!C4864,Bairros!$A$2:$B$90,2,0))))</f>
        <v/>
      </c>
      <c r="J4864" s="7" t="str">
        <f t="shared" si="305"/>
        <v/>
      </c>
      <c r="K4864" s="9">
        <f t="shared" ca="1" si="306"/>
        <v>45404.878290162036</v>
      </c>
      <c r="L4864" s="10">
        <f t="shared" ca="1" si="307"/>
        <v>45404.878290046297</v>
      </c>
    </row>
    <row r="4865" spans="6:12" x14ac:dyDescent="0.25">
      <c r="F4865" s="11" t="str">
        <f>IF(ISBLANK(D4865),"",(VLOOKUP(D4865,Cardápio!$A$2:$B$16,2,0))*E4865)</f>
        <v/>
      </c>
      <c r="H4865" s="7" t="str">
        <f t="shared" si="304"/>
        <v/>
      </c>
      <c r="I4865" s="7" t="str">
        <f>IF(AND(ISBLANK(D4865),ISBLANK(C4865)),"",((VLOOKUP(D4865,Cardápio!$A$2:$C$16,3,0))*E4865)+IF(B4865="iFood",F4865*0.27,(VLOOKUP(VENDAS!C4865,Bairros!$A$2:$B$90,2,0))))</f>
        <v/>
      </c>
      <c r="J4865" s="7" t="str">
        <f t="shared" si="305"/>
        <v/>
      </c>
      <c r="K4865" s="9">
        <f t="shared" ca="1" si="306"/>
        <v>45404.878290277775</v>
      </c>
      <c r="L4865" s="10">
        <f t="shared" ca="1" si="307"/>
        <v>45404.878290046297</v>
      </c>
    </row>
    <row r="4866" spans="6:12" x14ac:dyDescent="0.25">
      <c r="F4866" s="11" t="str">
        <f>IF(ISBLANK(D4866),"",(VLOOKUP(D4866,Cardápio!$A$2:$B$16,2,0))*E4866)</f>
        <v/>
      </c>
      <c r="H4866" s="7" t="str">
        <f t="shared" si="304"/>
        <v/>
      </c>
      <c r="I4866" s="7" t="str">
        <f>IF(AND(ISBLANK(D4866),ISBLANK(C4866)),"",((VLOOKUP(D4866,Cardápio!$A$2:$C$16,3,0))*E4866)+IF(B4866="iFood",F4866*0.27,(VLOOKUP(VENDAS!C4866,Bairros!$A$2:$B$90,2,0))))</f>
        <v/>
      </c>
      <c r="J4866" s="7" t="str">
        <f t="shared" si="305"/>
        <v/>
      </c>
      <c r="K4866" s="9">
        <f t="shared" ca="1" si="306"/>
        <v>45404.878290162036</v>
      </c>
      <c r="L4866" s="10">
        <f t="shared" ca="1" si="307"/>
        <v>45404.878290046297</v>
      </c>
    </row>
    <row r="4867" spans="6:12" x14ac:dyDescent="0.25">
      <c r="F4867" s="11" t="str">
        <f>IF(ISBLANK(D4867),"",(VLOOKUP(D4867,Cardápio!$A$2:$B$16,2,0))*E4867)</f>
        <v/>
      </c>
      <c r="H4867" s="7" t="str">
        <f t="shared" si="304"/>
        <v/>
      </c>
      <c r="I4867" s="7" t="str">
        <f>IF(AND(ISBLANK(D4867),ISBLANK(C4867)),"",((VLOOKUP(D4867,Cardápio!$A$2:$C$16,3,0))*E4867)+IF(B4867="iFood",F4867*0.27,(VLOOKUP(VENDAS!C4867,Bairros!$A$2:$B$90,2,0))))</f>
        <v/>
      </c>
      <c r="J4867" s="7" t="str">
        <f t="shared" si="305"/>
        <v/>
      </c>
      <c r="K4867" s="9">
        <f t="shared" ca="1" si="306"/>
        <v>45404.878290162036</v>
      </c>
      <c r="L4867" s="10">
        <f t="shared" ca="1" si="307"/>
        <v>45404.878290162036</v>
      </c>
    </row>
    <row r="4868" spans="6:12" x14ac:dyDescent="0.25">
      <c r="F4868" s="11" t="str">
        <f>IF(ISBLANK(D4868),"",(VLOOKUP(D4868,Cardápio!$A$2:$B$16,2,0))*E4868)</f>
        <v/>
      </c>
      <c r="H4868" s="7" t="str">
        <f t="shared" si="304"/>
        <v/>
      </c>
      <c r="I4868" s="7" t="str">
        <f>IF(AND(ISBLANK(D4868),ISBLANK(C4868)),"",((VLOOKUP(D4868,Cardápio!$A$2:$C$16,3,0))*E4868)+IF(B4868="iFood",F4868*0.27,(VLOOKUP(VENDAS!C4868,Bairros!$A$2:$B$90,2,0))))</f>
        <v/>
      </c>
      <c r="J4868" s="7" t="str">
        <f t="shared" si="305"/>
        <v/>
      </c>
      <c r="K4868" s="9">
        <f t="shared" ca="1" si="306"/>
        <v>45404.878290162036</v>
      </c>
      <c r="L4868" s="10">
        <f t="shared" ca="1" si="307"/>
        <v>45404.878290046297</v>
      </c>
    </row>
    <row r="4869" spans="6:12" x14ac:dyDescent="0.25">
      <c r="F4869" s="11" t="str">
        <f>IF(ISBLANK(D4869),"",(VLOOKUP(D4869,Cardápio!$A$2:$B$16,2,0))*E4869)</f>
        <v/>
      </c>
      <c r="H4869" s="7" t="str">
        <f t="shared" si="304"/>
        <v/>
      </c>
      <c r="I4869" s="7" t="str">
        <f>IF(AND(ISBLANK(D4869),ISBLANK(C4869)),"",((VLOOKUP(D4869,Cardápio!$A$2:$C$16,3,0))*E4869)+IF(B4869="iFood",F4869*0.27,(VLOOKUP(VENDAS!C4869,Bairros!$A$2:$B$90,2,0))))</f>
        <v/>
      </c>
      <c r="J4869" s="7" t="str">
        <f t="shared" si="305"/>
        <v/>
      </c>
      <c r="K4869" s="9">
        <f t="shared" ca="1" si="306"/>
        <v>45404.878290277775</v>
      </c>
      <c r="L4869" s="10">
        <f t="shared" ca="1" si="307"/>
        <v>45404.878290046297</v>
      </c>
    </row>
    <row r="4870" spans="6:12" x14ac:dyDescent="0.25">
      <c r="F4870" s="11" t="str">
        <f>IF(ISBLANK(D4870),"",(VLOOKUP(D4870,Cardápio!$A$2:$B$16,2,0))*E4870)</f>
        <v/>
      </c>
      <c r="H4870" s="7" t="str">
        <f t="shared" si="304"/>
        <v/>
      </c>
      <c r="I4870" s="7" t="str">
        <f>IF(AND(ISBLANK(D4870),ISBLANK(C4870)),"",((VLOOKUP(D4870,Cardápio!$A$2:$C$16,3,0))*E4870)+IF(B4870="iFood",F4870*0.27,(VLOOKUP(VENDAS!C4870,Bairros!$A$2:$B$90,2,0))))</f>
        <v/>
      </c>
      <c r="J4870" s="7" t="str">
        <f t="shared" si="305"/>
        <v/>
      </c>
      <c r="K4870" s="9">
        <f t="shared" ca="1" si="306"/>
        <v>45404.878290162036</v>
      </c>
      <c r="L4870" s="10">
        <f t="shared" ca="1" si="307"/>
        <v>45404.878290046297</v>
      </c>
    </row>
    <row r="4871" spans="6:12" x14ac:dyDescent="0.25">
      <c r="F4871" s="11" t="str">
        <f>IF(ISBLANK(D4871),"",(VLOOKUP(D4871,Cardápio!$A$2:$B$16,2,0))*E4871)</f>
        <v/>
      </c>
      <c r="H4871" s="7" t="str">
        <f t="shared" si="304"/>
        <v/>
      </c>
      <c r="I4871" s="7" t="str">
        <f>IF(AND(ISBLANK(D4871),ISBLANK(C4871)),"",((VLOOKUP(D4871,Cardápio!$A$2:$C$16,3,0))*E4871)+IF(B4871="iFood",F4871*0.27,(VLOOKUP(VENDAS!C4871,Bairros!$A$2:$B$90,2,0))))</f>
        <v/>
      </c>
      <c r="J4871" s="7" t="str">
        <f t="shared" si="305"/>
        <v/>
      </c>
      <c r="K4871" s="9">
        <f t="shared" ca="1" si="306"/>
        <v>45404.878290162036</v>
      </c>
      <c r="L4871" s="10">
        <f t="shared" ca="1" si="307"/>
        <v>45404.878290162036</v>
      </c>
    </row>
    <row r="4872" spans="6:12" x14ac:dyDescent="0.25">
      <c r="F4872" s="11" t="str">
        <f>IF(ISBLANK(D4872),"",(VLOOKUP(D4872,Cardápio!$A$2:$B$16,2,0))*E4872)</f>
        <v/>
      </c>
      <c r="H4872" s="7" t="str">
        <f t="shared" si="304"/>
        <v/>
      </c>
      <c r="I4872" s="7" t="str">
        <f>IF(AND(ISBLANK(D4872),ISBLANK(C4872)),"",((VLOOKUP(D4872,Cardápio!$A$2:$C$16,3,0))*E4872)+IF(B4872="iFood",F4872*0.27,(VLOOKUP(VENDAS!C4872,Bairros!$A$2:$B$90,2,0))))</f>
        <v/>
      </c>
      <c r="J4872" s="7" t="str">
        <f t="shared" si="305"/>
        <v/>
      </c>
      <c r="K4872" s="9">
        <f t="shared" ca="1" si="306"/>
        <v>45404.878290162036</v>
      </c>
      <c r="L4872" s="10">
        <f t="shared" ca="1" si="307"/>
        <v>45404.878290046297</v>
      </c>
    </row>
    <row r="4873" spans="6:12" x14ac:dyDescent="0.25">
      <c r="F4873" s="11" t="str">
        <f>IF(ISBLANK(D4873),"",(VLOOKUP(D4873,Cardápio!$A$2:$B$16,2,0))*E4873)</f>
        <v/>
      </c>
      <c r="H4873" s="7" t="str">
        <f t="shared" si="304"/>
        <v/>
      </c>
      <c r="I4873" s="7" t="str">
        <f>IF(AND(ISBLANK(D4873),ISBLANK(C4873)),"",((VLOOKUP(D4873,Cardápio!$A$2:$C$16,3,0))*E4873)+IF(B4873="iFood",F4873*0.27,(VLOOKUP(VENDAS!C4873,Bairros!$A$2:$B$90,2,0))))</f>
        <v/>
      </c>
      <c r="J4873" s="7" t="str">
        <f t="shared" si="305"/>
        <v/>
      </c>
      <c r="K4873" s="9">
        <f t="shared" ca="1" si="306"/>
        <v>45404.878290277775</v>
      </c>
      <c r="L4873" s="10">
        <f t="shared" ca="1" si="307"/>
        <v>45404.878290046297</v>
      </c>
    </row>
    <row r="4874" spans="6:12" x14ac:dyDescent="0.25">
      <c r="F4874" s="11" t="str">
        <f>IF(ISBLANK(D4874),"",(VLOOKUP(D4874,Cardápio!$A$2:$B$16,2,0))*E4874)</f>
        <v/>
      </c>
      <c r="H4874" s="7" t="str">
        <f t="shared" si="304"/>
        <v/>
      </c>
      <c r="I4874" s="7" t="str">
        <f>IF(AND(ISBLANK(D4874),ISBLANK(C4874)),"",((VLOOKUP(D4874,Cardápio!$A$2:$C$16,3,0))*E4874)+IF(B4874="iFood",F4874*0.27,(VLOOKUP(VENDAS!C4874,Bairros!$A$2:$B$90,2,0))))</f>
        <v/>
      </c>
      <c r="J4874" s="7" t="str">
        <f t="shared" si="305"/>
        <v/>
      </c>
      <c r="K4874" s="9">
        <f t="shared" ca="1" si="306"/>
        <v>45404.878290162036</v>
      </c>
      <c r="L4874" s="10">
        <f t="shared" ca="1" si="307"/>
        <v>45404.878290046297</v>
      </c>
    </row>
    <row r="4875" spans="6:12" x14ac:dyDescent="0.25">
      <c r="F4875" s="11" t="str">
        <f>IF(ISBLANK(D4875),"",(VLOOKUP(D4875,Cardápio!$A$2:$B$16,2,0))*E4875)</f>
        <v/>
      </c>
      <c r="H4875" s="7" t="str">
        <f t="shared" si="304"/>
        <v/>
      </c>
      <c r="I4875" s="7" t="str">
        <f>IF(AND(ISBLANK(D4875),ISBLANK(C4875)),"",((VLOOKUP(D4875,Cardápio!$A$2:$C$16,3,0))*E4875)+IF(B4875="iFood",F4875*0.27,(VLOOKUP(VENDAS!C4875,Bairros!$A$2:$B$90,2,0))))</f>
        <v/>
      </c>
      <c r="J4875" s="7" t="str">
        <f t="shared" si="305"/>
        <v/>
      </c>
      <c r="K4875" s="9">
        <f t="shared" ca="1" si="306"/>
        <v>45404.878290162036</v>
      </c>
      <c r="L4875" s="10">
        <f t="shared" ca="1" si="307"/>
        <v>45404.878290162036</v>
      </c>
    </row>
    <row r="4876" spans="6:12" x14ac:dyDescent="0.25">
      <c r="F4876" s="11" t="str">
        <f>IF(ISBLANK(D4876),"",(VLOOKUP(D4876,Cardápio!$A$2:$B$16,2,0))*E4876)</f>
        <v/>
      </c>
      <c r="H4876" s="7" t="str">
        <f t="shared" si="304"/>
        <v/>
      </c>
      <c r="I4876" s="7" t="str">
        <f>IF(AND(ISBLANK(D4876),ISBLANK(C4876)),"",((VLOOKUP(D4876,Cardápio!$A$2:$C$16,3,0))*E4876)+IF(B4876="iFood",F4876*0.27,(VLOOKUP(VENDAS!C4876,Bairros!$A$2:$B$90,2,0))))</f>
        <v/>
      </c>
      <c r="J4876" s="7" t="str">
        <f t="shared" si="305"/>
        <v/>
      </c>
      <c r="K4876" s="9">
        <f t="shared" ca="1" si="306"/>
        <v>45404.878290162036</v>
      </c>
      <c r="L4876" s="10">
        <f t="shared" ca="1" si="307"/>
        <v>45404.878290046297</v>
      </c>
    </row>
    <row r="4877" spans="6:12" x14ac:dyDescent="0.25">
      <c r="F4877" s="11" t="str">
        <f>IF(ISBLANK(D4877),"",(VLOOKUP(D4877,Cardápio!$A$2:$B$16,2,0))*E4877)</f>
        <v/>
      </c>
      <c r="H4877" s="7" t="str">
        <f t="shared" si="304"/>
        <v/>
      </c>
      <c r="I4877" s="7" t="str">
        <f>IF(AND(ISBLANK(D4877),ISBLANK(C4877)),"",((VLOOKUP(D4877,Cardápio!$A$2:$C$16,3,0))*E4877)+IF(B4877="iFood",F4877*0.27,(VLOOKUP(VENDAS!C4877,Bairros!$A$2:$B$90,2,0))))</f>
        <v/>
      </c>
      <c r="J4877" s="7" t="str">
        <f t="shared" si="305"/>
        <v/>
      </c>
      <c r="K4877" s="9">
        <f t="shared" ca="1" si="306"/>
        <v>45404.878290277775</v>
      </c>
      <c r="L4877" s="10">
        <f t="shared" ca="1" si="307"/>
        <v>45404.878290046297</v>
      </c>
    </row>
    <row r="4878" spans="6:12" x14ac:dyDescent="0.25">
      <c r="F4878" s="11" t="str">
        <f>IF(ISBLANK(D4878),"",(VLOOKUP(D4878,Cardápio!$A$2:$B$16,2,0))*E4878)</f>
        <v/>
      </c>
      <c r="H4878" s="7" t="str">
        <f t="shared" si="304"/>
        <v/>
      </c>
      <c r="I4878" s="7" t="str">
        <f>IF(AND(ISBLANK(D4878),ISBLANK(C4878)),"",((VLOOKUP(D4878,Cardápio!$A$2:$C$16,3,0))*E4878)+IF(B4878="iFood",F4878*0.27,(VLOOKUP(VENDAS!C4878,Bairros!$A$2:$B$90,2,0))))</f>
        <v/>
      </c>
      <c r="J4878" s="7" t="str">
        <f t="shared" si="305"/>
        <v/>
      </c>
      <c r="K4878" s="9">
        <f t="shared" ca="1" si="306"/>
        <v>45404.878290162036</v>
      </c>
      <c r="L4878" s="10">
        <f t="shared" ca="1" si="307"/>
        <v>45404.878290046297</v>
      </c>
    </row>
    <row r="4879" spans="6:12" x14ac:dyDescent="0.25">
      <c r="F4879" s="11" t="str">
        <f>IF(ISBLANK(D4879),"",(VLOOKUP(D4879,Cardápio!$A$2:$B$16,2,0))*E4879)</f>
        <v/>
      </c>
      <c r="H4879" s="7" t="str">
        <f t="shared" si="304"/>
        <v/>
      </c>
      <c r="I4879" s="7" t="str">
        <f>IF(AND(ISBLANK(D4879),ISBLANK(C4879)),"",((VLOOKUP(D4879,Cardápio!$A$2:$C$16,3,0))*E4879)+IF(B4879="iFood",F4879*0.27,(VLOOKUP(VENDAS!C4879,Bairros!$A$2:$B$90,2,0))))</f>
        <v/>
      </c>
      <c r="J4879" s="7" t="str">
        <f t="shared" si="305"/>
        <v/>
      </c>
      <c r="K4879" s="9">
        <f t="shared" ca="1" si="306"/>
        <v>45404.878290162036</v>
      </c>
      <c r="L4879" s="10">
        <f t="shared" ca="1" si="307"/>
        <v>45404.878290162036</v>
      </c>
    </row>
    <row r="4880" spans="6:12" x14ac:dyDescent="0.25">
      <c r="F4880" s="11" t="str">
        <f>IF(ISBLANK(D4880),"",(VLOOKUP(D4880,Cardápio!$A$2:$B$16,2,0))*E4880)</f>
        <v/>
      </c>
      <c r="H4880" s="7" t="str">
        <f t="shared" si="304"/>
        <v/>
      </c>
      <c r="I4880" s="7" t="str">
        <f>IF(AND(ISBLANK(D4880),ISBLANK(C4880)),"",((VLOOKUP(D4880,Cardápio!$A$2:$C$16,3,0))*E4880)+IF(B4880="iFood",F4880*0.27,(VLOOKUP(VENDAS!C4880,Bairros!$A$2:$B$90,2,0))))</f>
        <v/>
      </c>
      <c r="J4880" s="7" t="str">
        <f t="shared" si="305"/>
        <v/>
      </c>
      <c r="K4880" s="9">
        <f t="shared" ca="1" si="306"/>
        <v>45404.878290162036</v>
      </c>
      <c r="L4880" s="10">
        <f t="shared" ca="1" si="307"/>
        <v>45404.878290046297</v>
      </c>
    </row>
    <row r="4881" spans="6:12" x14ac:dyDescent="0.25">
      <c r="F4881" s="11" t="str">
        <f>IF(ISBLANK(D4881),"",(VLOOKUP(D4881,Cardápio!$A$2:$B$16,2,0))*E4881)</f>
        <v/>
      </c>
      <c r="H4881" s="7" t="str">
        <f t="shared" si="304"/>
        <v/>
      </c>
      <c r="I4881" s="7" t="str">
        <f>IF(AND(ISBLANK(D4881),ISBLANK(C4881)),"",((VLOOKUP(D4881,Cardápio!$A$2:$C$16,3,0))*E4881)+IF(B4881="iFood",F4881*0.27,(VLOOKUP(VENDAS!C4881,Bairros!$A$2:$B$90,2,0))))</f>
        <v/>
      </c>
      <c r="J4881" s="7" t="str">
        <f t="shared" si="305"/>
        <v/>
      </c>
      <c r="K4881" s="9">
        <f t="shared" ca="1" si="306"/>
        <v>45404.878290277775</v>
      </c>
      <c r="L4881" s="10">
        <f t="shared" ca="1" si="307"/>
        <v>45404.878290046297</v>
      </c>
    </row>
    <row r="4882" spans="6:12" x14ac:dyDescent="0.25">
      <c r="F4882" s="11" t="str">
        <f>IF(ISBLANK(D4882),"",(VLOOKUP(D4882,Cardápio!$A$2:$B$16,2,0))*E4882)</f>
        <v/>
      </c>
      <c r="H4882" s="7" t="str">
        <f t="shared" si="304"/>
        <v/>
      </c>
      <c r="I4882" s="7" t="str">
        <f>IF(AND(ISBLANK(D4882),ISBLANK(C4882)),"",((VLOOKUP(D4882,Cardápio!$A$2:$C$16,3,0))*E4882)+IF(B4882="iFood",F4882*0.27,(VLOOKUP(VENDAS!C4882,Bairros!$A$2:$B$90,2,0))))</f>
        <v/>
      </c>
      <c r="J4882" s="7" t="str">
        <f t="shared" si="305"/>
        <v/>
      </c>
      <c r="K4882" s="9">
        <f t="shared" ca="1" si="306"/>
        <v>45404.878290162036</v>
      </c>
      <c r="L4882" s="10">
        <f t="shared" ca="1" si="307"/>
        <v>45404.878290046297</v>
      </c>
    </row>
    <row r="4883" spans="6:12" x14ac:dyDescent="0.25">
      <c r="F4883" s="11" t="str">
        <f>IF(ISBLANK(D4883),"",(VLOOKUP(D4883,Cardápio!$A$2:$B$16,2,0))*E4883)</f>
        <v/>
      </c>
      <c r="H4883" s="7" t="str">
        <f t="shared" si="304"/>
        <v/>
      </c>
      <c r="I4883" s="7" t="str">
        <f>IF(AND(ISBLANK(D4883),ISBLANK(C4883)),"",((VLOOKUP(D4883,Cardápio!$A$2:$C$16,3,0))*E4883)+IF(B4883="iFood",F4883*0.27,(VLOOKUP(VENDAS!C4883,Bairros!$A$2:$B$90,2,0))))</f>
        <v/>
      </c>
      <c r="J4883" s="7" t="str">
        <f t="shared" si="305"/>
        <v/>
      </c>
      <c r="K4883" s="9">
        <f t="shared" ca="1" si="306"/>
        <v>45404.878290162036</v>
      </c>
      <c r="L4883" s="10">
        <f t="shared" ca="1" si="307"/>
        <v>45404.878290162036</v>
      </c>
    </row>
    <row r="4884" spans="6:12" x14ac:dyDescent="0.25">
      <c r="F4884" s="11" t="str">
        <f>IF(ISBLANK(D4884),"",(VLOOKUP(D4884,Cardápio!$A$2:$B$16,2,0))*E4884)</f>
        <v/>
      </c>
      <c r="H4884" s="7" t="str">
        <f t="shared" si="304"/>
        <v/>
      </c>
      <c r="I4884" s="7" t="str">
        <f>IF(AND(ISBLANK(D4884),ISBLANK(C4884)),"",((VLOOKUP(D4884,Cardápio!$A$2:$C$16,3,0))*E4884)+IF(B4884="iFood",F4884*0.27,(VLOOKUP(VENDAS!C4884,Bairros!$A$2:$B$90,2,0))))</f>
        <v/>
      </c>
      <c r="J4884" s="7" t="str">
        <f t="shared" si="305"/>
        <v/>
      </c>
      <c r="K4884" s="9">
        <f t="shared" ca="1" si="306"/>
        <v>45404.878290162036</v>
      </c>
      <c r="L4884" s="10">
        <f t="shared" ca="1" si="307"/>
        <v>45404.878290046297</v>
      </c>
    </row>
    <row r="4885" spans="6:12" x14ac:dyDescent="0.25">
      <c r="F4885" s="11" t="str">
        <f>IF(ISBLANK(D4885),"",(VLOOKUP(D4885,Cardápio!$A$2:$B$16,2,0))*E4885)</f>
        <v/>
      </c>
      <c r="H4885" s="7" t="str">
        <f t="shared" si="304"/>
        <v/>
      </c>
      <c r="I4885" s="7" t="str">
        <f>IF(AND(ISBLANK(D4885),ISBLANK(C4885)),"",((VLOOKUP(D4885,Cardápio!$A$2:$C$16,3,0))*E4885)+IF(B4885="iFood",F4885*0.27,(VLOOKUP(VENDAS!C4885,Bairros!$A$2:$B$90,2,0))))</f>
        <v/>
      </c>
      <c r="J4885" s="7" t="str">
        <f t="shared" si="305"/>
        <v/>
      </c>
      <c r="K4885" s="9">
        <f t="shared" ca="1" si="306"/>
        <v>45404.878290277775</v>
      </c>
      <c r="L4885" s="10">
        <f t="shared" ca="1" si="307"/>
        <v>45404.878290046297</v>
      </c>
    </row>
    <row r="4886" spans="6:12" x14ac:dyDescent="0.25">
      <c r="F4886" s="11" t="str">
        <f>IF(ISBLANK(D4886),"",(VLOOKUP(D4886,Cardápio!$A$2:$B$16,2,0))*E4886)</f>
        <v/>
      </c>
      <c r="H4886" s="7" t="str">
        <f t="shared" si="304"/>
        <v/>
      </c>
      <c r="I4886" s="7" t="str">
        <f>IF(AND(ISBLANK(D4886),ISBLANK(C4886)),"",((VLOOKUP(D4886,Cardápio!$A$2:$C$16,3,0))*E4886)+IF(B4886="iFood",F4886*0.27,(VLOOKUP(VENDAS!C4886,Bairros!$A$2:$B$90,2,0))))</f>
        <v/>
      </c>
      <c r="J4886" s="7" t="str">
        <f t="shared" si="305"/>
        <v/>
      </c>
      <c r="K4886" s="9">
        <f t="shared" ca="1" si="306"/>
        <v>45404.878290162036</v>
      </c>
      <c r="L4886" s="10">
        <f t="shared" ca="1" si="307"/>
        <v>45404.878290046297</v>
      </c>
    </row>
    <row r="4887" spans="6:12" x14ac:dyDescent="0.25">
      <c r="F4887" s="11" t="str">
        <f>IF(ISBLANK(D4887),"",(VLOOKUP(D4887,Cardápio!$A$2:$B$16,2,0))*E4887)</f>
        <v/>
      </c>
      <c r="H4887" s="7" t="str">
        <f t="shared" si="304"/>
        <v/>
      </c>
      <c r="I4887" s="7" t="str">
        <f>IF(AND(ISBLANK(D4887),ISBLANK(C4887)),"",((VLOOKUP(D4887,Cardápio!$A$2:$C$16,3,0))*E4887)+IF(B4887="iFood",F4887*0.27,(VLOOKUP(VENDAS!C4887,Bairros!$A$2:$B$90,2,0))))</f>
        <v/>
      </c>
      <c r="J4887" s="7" t="str">
        <f t="shared" si="305"/>
        <v/>
      </c>
      <c r="K4887" s="9">
        <f t="shared" ca="1" si="306"/>
        <v>45404.878290162036</v>
      </c>
      <c r="L4887" s="10">
        <f t="shared" ca="1" si="307"/>
        <v>45404.878290162036</v>
      </c>
    </row>
    <row r="4888" spans="6:12" x14ac:dyDescent="0.25">
      <c r="F4888" s="11" t="str">
        <f>IF(ISBLANK(D4888),"",(VLOOKUP(D4888,Cardápio!$A$2:$B$16,2,0))*E4888)</f>
        <v/>
      </c>
      <c r="H4888" s="7" t="str">
        <f t="shared" si="304"/>
        <v/>
      </c>
      <c r="I4888" s="7" t="str">
        <f>IF(AND(ISBLANK(D4888),ISBLANK(C4888)),"",((VLOOKUP(D4888,Cardápio!$A$2:$C$16,3,0))*E4888)+IF(B4888="iFood",F4888*0.27,(VLOOKUP(VENDAS!C4888,Bairros!$A$2:$B$90,2,0))))</f>
        <v/>
      </c>
      <c r="J4888" s="7" t="str">
        <f t="shared" si="305"/>
        <v/>
      </c>
      <c r="K4888" s="9">
        <f t="shared" ca="1" si="306"/>
        <v>45404.878290162036</v>
      </c>
      <c r="L4888" s="10">
        <f t="shared" ca="1" si="307"/>
        <v>45404.878290046297</v>
      </c>
    </row>
    <row r="4889" spans="6:12" x14ac:dyDescent="0.25">
      <c r="F4889" s="11" t="str">
        <f>IF(ISBLANK(D4889),"",(VLOOKUP(D4889,Cardápio!$A$2:$B$16,2,0))*E4889)</f>
        <v/>
      </c>
      <c r="H4889" s="7" t="str">
        <f t="shared" si="304"/>
        <v/>
      </c>
      <c r="I4889" s="7" t="str">
        <f>IF(AND(ISBLANK(D4889),ISBLANK(C4889)),"",((VLOOKUP(D4889,Cardápio!$A$2:$C$16,3,0))*E4889)+IF(B4889="iFood",F4889*0.27,(VLOOKUP(VENDAS!C4889,Bairros!$A$2:$B$90,2,0))))</f>
        <v/>
      </c>
      <c r="J4889" s="7" t="str">
        <f t="shared" si="305"/>
        <v/>
      </c>
      <c r="K4889" s="9">
        <f t="shared" ca="1" si="306"/>
        <v>45404.878290277775</v>
      </c>
      <c r="L4889" s="10">
        <f t="shared" ca="1" si="307"/>
        <v>45404.878290046297</v>
      </c>
    </row>
    <row r="4890" spans="6:12" x14ac:dyDescent="0.25">
      <c r="F4890" s="11" t="str">
        <f>IF(ISBLANK(D4890),"",(VLOOKUP(D4890,Cardápio!$A$2:$B$16,2,0))*E4890)</f>
        <v/>
      </c>
      <c r="H4890" s="7" t="str">
        <f t="shared" si="304"/>
        <v/>
      </c>
      <c r="I4890" s="7" t="str">
        <f>IF(AND(ISBLANK(D4890),ISBLANK(C4890)),"",((VLOOKUP(D4890,Cardápio!$A$2:$C$16,3,0))*E4890)+IF(B4890="iFood",F4890*0.27,(VLOOKUP(VENDAS!C4890,Bairros!$A$2:$B$90,2,0))))</f>
        <v/>
      </c>
      <c r="J4890" s="7" t="str">
        <f t="shared" si="305"/>
        <v/>
      </c>
      <c r="K4890" s="9">
        <f t="shared" ca="1" si="306"/>
        <v>45404.878290162036</v>
      </c>
      <c r="L4890" s="10">
        <f t="shared" ca="1" si="307"/>
        <v>45404.878290046297</v>
      </c>
    </row>
    <row r="4891" spans="6:12" x14ac:dyDescent="0.25">
      <c r="F4891" s="11" t="str">
        <f>IF(ISBLANK(D4891),"",(VLOOKUP(D4891,Cardápio!$A$2:$B$16,2,0))*E4891)</f>
        <v/>
      </c>
      <c r="H4891" s="7" t="str">
        <f t="shared" si="304"/>
        <v/>
      </c>
      <c r="I4891" s="7" t="str">
        <f>IF(AND(ISBLANK(D4891),ISBLANK(C4891)),"",((VLOOKUP(D4891,Cardápio!$A$2:$C$16,3,0))*E4891)+IF(B4891="iFood",F4891*0.27,(VLOOKUP(VENDAS!C4891,Bairros!$A$2:$B$90,2,0))))</f>
        <v/>
      </c>
      <c r="J4891" s="7" t="str">
        <f t="shared" si="305"/>
        <v/>
      </c>
      <c r="K4891" s="9">
        <f t="shared" ca="1" si="306"/>
        <v>45404.878290162036</v>
      </c>
      <c r="L4891" s="10">
        <f t="shared" ca="1" si="307"/>
        <v>45404.878290162036</v>
      </c>
    </row>
    <row r="4892" spans="6:12" x14ac:dyDescent="0.25">
      <c r="F4892" s="11" t="str">
        <f>IF(ISBLANK(D4892),"",(VLOOKUP(D4892,Cardápio!$A$2:$B$16,2,0))*E4892)</f>
        <v/>
      </c>
      <c r="H4892" s="7" t="str">
        <f t="shared" si="304"/>
        <v/>
      </c>
      <c r="I4892" s="7" t="str">
        <f>IF(AND(ISBLANK(D4892),ISBLANK(C4892)),"",((VLOOKUP(D4892,Cardápio!$A$2:$C$16,3,0))*E4892)+IF(B4892="iFood",F4892*0.27,(VLOOKUP(VENDAS!C4892,Bairros!$A$2:$B$90,2,0))))</f>
        <v/>
      </c>
      <c r="J4892" s="7" t="str">
        <f t="shared" si="305"/>
        <v/>
      </c>
      <c r="K4892" s="9">
        <f t="shared" ca="1" si="306"/>
        <v>45404.878290162036</v>
      </c>
      <c r="L4892" s="10">
        <f t="shared" ca="1" si="307"/>
        <v>45404.878290046297</v>
      </c>
    </row>
    <row r="4893" spans="6:12" x14ac:dyDescent="0.25">
      <c r="F4893" s="11" t="str">
        <f>IF(ISBLANK(D4893),"",(VLOOKUP(D4893,Cardápio!$A$2:$B$16,2,0))*E4893)</f>
        <v/>
      </c>
      <c r="H4893" s="7" t="str">
        <f t="shared" si="304"/>
        <v/>
      </c>
      <c r="I4893" s="7" t="str">
        <f>IF(AND(ISBLANK(D4893),ISBLANK(C4893)),"",((VLOOKUP(D4893,Cardápio!$A$2:$C$16,3,0))*E4893)+IF(B4893="iFood",F4893*0.27,(VLOOKUP(VENDAS!C4893,Bairros!$A$2:$B$90,2,0))))</f>
        <v/>
      </c>
      <c r="J4893" s="7" t="str">
        <f t="shared" si="305"/>
        <v/>
      </c>
      <c r="K4893" s="9">
        <f t="shared" ca="1" si="306"/>
        <v>45404.878290277775</v>
      </c>
      <c r="L4893" s="10">
        <f t="shared" ca="1" si="307"/>
        <v>45404.878290046297</v>
      </c>
    </row>
    <row r="4894" spans="6:12" x14ac:dyDescent="0.25">
      <c r="F4894" s="11" t="str">
        <f>IF(ISBLANK(D4894),"",(VLOOKUP(D4894,Cardápio!$A$2:$B$16,2,0))*E4894)</f>
        <v/>
      </c>
      <c r="H4894" s="7" t="str">
        <f t="shared" si="304"/>
        <v/>
      </c>
      <c r="I4894" s="7" t="str">
        <f>IF(AND(ISBLANK(D4894),ISBLANK(C4894)),"",((VLOOKUP(D4894,Cardápio!$A$2:$C$16,3,0))*E4894)+IF(B4894="iFood",F4894*0.27,(VLOOKUP(VENDAS!C4894,Bairros!$A$2:$B$90,2,0))))</f>
        <v/>
      </c>
      <c r="J4894" s="7" t="str">
        <f t="shared" si="305"/>
        <v/>
      </c>
      <c r="K4894" s="9">
        <f t="shared" ca="1" si="306"/>
        <v>45404.878290162036</v>
      </c>
      <c r="L4894" s="10">
        <f t="shared" ca="1" si="307"/>
        <v>45404.878290046297</v>
      </c>
    </row>
    <row r="4895" spans="6:12" x14ac:dyDescent="0.25">
      <c r="F4895" s="11" t="str">
        <f>IF(ISBLANK(D4895),"",(VLOOKUP(D4895,Cardápio!$A$2:$B$16,2,0))*E4895)</f>
        <v/>
      </c>
      <c r="H4895" s="7" t="str">
        <f t="shared" si="304"/>
        <v/>
      </c>
      <c r="I4895" s="7" t="str">
        <f>IF(AND(ISBLANK(D4895),ISBLANK(C4895)),"",((VLOOKUP(D4895,Cardápio!$A$2:$C$16,3,0))*E4895)+IF(B4895="iFood",F4895*0.27,(VLOOKUP(VENDAS!C4895,Bairros!$A$2:$B$90,2,0))))</f>
        <v/>
      </c>
      <c r="J4895" s="7" t="str">
        <f t="shared" si="305"/>
        <v/>
      </c>
      <c r="K4895" s="9">
        <f t="shared" ca="1" si="306"/>
        <v>45404.878290162036</v>
      </c>
      <c r="L4895" s="10">
        <f t="shared" ca="1" si="307"/>
        <v>45404.878290162036</v>
      </c>
    </row>
    <row r="4896" spans="6:12" x14ac:dyDescent="0.25">
      <c r="F4896" s="11" t="str">
        <f>IF(ISBLANK(D4896),"",(VLOOKUP(D4896,Cardápio!$A$2:$B$16,2,0))*E4896)</f>
        <v/>
      </c>
      <c r="H4896" s="7" t="str">
        <f t="shared" si="304"/>
        <v/>
      </c>
      <c r="I4896" s="7" t="str">
        <f>IF(AND(ISBLANK(D4896),ISBLANK(C4896)),"",((VLOOKUP(D4896,Cardápio!$A$2:$C$16,3,0))*E4896)+IF(B4896="iFood",F4896*0.27,(VLOOKUP(VENDAS!C4896,Bairros!$A$2:$B$90,2,0))))</f>
        <v/>
      </c>
      <c r="J4896" s="7" t="str">
        <f t="shared" si="305"/>
        <v/>
      </c>
      <c r="K4896" s="9">
        <f t="shared" ca="1" si="306"/>
        <v>45404.878290162036</v>
      </c>
      <c r="L4896" s="10">
        <f t="shared" ca="1" si="307"/>
        <v>45404.878290046297</v>
      </c>
    </row>
    <row r="4897" spans="6:12" x14ac:dyDescent="0.25">
      <c r="F4897" s="11" t="str">
        <f>IF(ISBLANK(D4897),"",(VLOOKUP(D4897,Cardápio!$A$2:$B$16,2,0))*E4897)</f>
        <v/>
      </c>
      <c r="H4897" s="7" t="str">
        <f t="shared" si="304"/>
        <v/>
      </c>
      <c r="I4897" s="7" t="str">
        <f>IF(AND(ISBLANK(D4897),ISBLANK(C4897)),"",((VLOOKUP(D4897,Cardápio!$A$2:$C$16,3,0))*E4897)+IF(B4897="iFood",F4897*0.27,(VLOOKUP(VENDAS!C4897,Bairros!$A$2:$B$90,2,0))))</f>
        <v/>
      </c>
      <c r="J4897" s="7" t="str">
        <f t="shared" si="305"/>
        <v/>
      </c>
      <c r="K4897" s="9">
        <f t="shared" ca="1" si="306"/>
        <v>45404.878290277775</v>
      </c>
      <c r="L4897" s="10">
        <f t="shared" ca="1" si="307"/>
        <v>45404.878290046297</v>
      </c>
    </row>
    <row r="4898" spans="6:12" x14ac:dyDescent="0.25">
      <c r="F4898" s="11" t="str">
        <f>IF(ISBLANK(D4898),"",(VLOOKUP(D4898,Cardápio!$A$2:$B$16,2,0))*E4898)</f>
        <v/>
      </c>
      <c r="H4898" s="7" t="str">
        <f t="shared" si="304"/>
        <v/>
      </c>
      <c r="I4898" s="7" t="str">
        <f>IF(AND(ISBLANK(D4898),ISBLANK(C4898)),"",((VLOOKUP(D4898,Cardápio!$A$2:$C$16,3,0))*E4898)+IF(B4898="iFood",F4898*0.27,(VLOOKUP(VENDAS!C4898,Bairros!$A$2:$B$90,2,0))))</f>
        <v/>
      </c>
      <c r="J4898" s="7" t="str">
        <f t="shared" si="305"/>
        <v/>
      </c>
      <c r="K4898" s="9">
        <f t="shared" ca="1" si="306"/>
        <v>45404.878290162036</v>
      </c>
      <c r="L4898" s="10">
        <f t="shared" ca="1" si="307"/>
        <v>45404.878290046297</v>
      </c>
    </row>
    <row r="4899" spans="6:12" x14ac:dyDescent="0.25">
      <c r="F4899" s="11" t="str">
        <f>IF(ISBLANK(D4899),"",(VLOOKUP(D4899,Cardápio!$A$2:$B$16,2,0))*E4899)</f>
        <v/>
      </c>
      <c r="H4899" s="7" t="str">
        <f t="shared" si="304"/>
        <v/>
      </c>
      <c r="I4899" s="7" t="str">
        <f>IF(AND(ISBLANK(D4899),ISBLANK(C4899)),"",((VLOOKUP(D4899,Cardápio!$A$2:$C$16,3,0))*E4899)+IF(B4899="iFood",F4899*0.27,(VLOOKUP(VENDAS!C4899,Bairros!$A$2:$B$90,2,0))))</f>
        <v/>
      </c>
      <c r="J4899" s="7" t="str">
        <f t="shared" si="305"/>
        <v/>
      </c>
      <c r="K4899" s="9">
        <f t="shared" ca="1" si="306"/>
        <v>45404.878290162036</v>
      </c>
      <c r="L4899" s="10">
        <f t="shared" ca="1" si="307"/>
        <v>45404.878290162036</v>
      </c>
    </row>
    <row r="4900" spans="6:12" x14ac:dyDescent="0.25">
      <c r="F4900" s="11" t="str">
        <f>IF(ISBLANK(D4900),"",(VLOOKUP(D4900,Cardápio!$A$2:$B$16,2,0))*E4900)</f>
        <v/>
      </c>
      <c r="H4900" s="7" t="str">
        <f t="shared" si="304"/>
        <v/>
      </c>
      <c r="I4900" s="7" t="str">
        <f>IF(AND(ISBLANK(D4900),ISBLANK(C4900)),"",((VLOOKUP(D4900,Cardápio!$A$2:$C$16,3,0))*E4900)+IF(B4900="iFood",F4900*0.27,(VLOOKUP(VENDAS!C4900,Bairros!$A$2:$B$90,2,0))))</f>
        <v/>
      </c>
      <c r="J4900" s="7" t="str">
        <f t="shared" si="305"/>
        <v/>
      </c>
      <c r="K4900" s="9">
        <f t="shared" ca="1" si="306"/>
        <v>45404.878290162036</v>
      </c>
      <c r="L4900" s="10">
        <f t="shared" ca="1" si="307"/>
        <v>45404.878290046297</v>
      </c>
    </row>
    <row r="4901" spans="6:12" x14ac:dyDescent="0.25">
      <c r="F4901" s="11" t="str">
        <f>IF(ISBLANK(D4901),"",(VLOOKUP(D4901,Cardápio!$A$2:$B$16,2,0))*E4901)</f>
        <v/>
      </c>
      <c r="H4901" s="7" t="str">
        <f t="shared" si="304"/>
        <v/>
      </c>
      <c r="I4901" s="7" t="str">
        <f>IF(AND(ISBLANK(D4901),ISBLANK(C4901)),"",((VLOOKUP(D4901,Cardápio!$A$2:$C$16,3,0))*E4901)+IF(B4901="iFood",F4901*0.27,(VLOOKUP(VENDAS!C4901,Bairros!$A$2:$B$90,2,0))))</f>
        <v/>
      </c>
      <c r="J4901" s="7" t="str">
        <f t="shared" si="305"/>
        <v/>
      </c>
      <c r="K4901" s="9">
        <f t="shared" ca="1" si="306"/>
        <v>45404.878290277775</v>
      </c>
      <c r="L4901" s="10">
        <f t="shared" ca="1" si="307"/>
        <v>45404.878290046297</v>
      </c>
    </row>
    <row r="4902" spans="6:12" x14ac:dyDescent="0.25">
      <c r="F4902" s="11" t="str">
        <f>IF(ISBLANK(D4902),"",(VLOOKUP(D4902,Cardápio!$A$2:$B$16,2,0))*E4902)</f>
        <v/>
      </c>
      <c r="H4902" s="7" t="str">
        <f t="shared" si="304"/>
        <v/>
      </c>
      <c r="I4902" s="7" t="str">
        <f>IF(AND(ISBLANK(D4902),ISBLANK(C4902)),"",((VLOOKUP(D4902,Cardápio!$A$2:$C$16,3,0))*E4902)+IF(B4902="iFood",F4902*0.27,(VLOOKUP(VENDAS!C4902,Bairros!$A$2:$B$90,2,0))))</f>
        <v/>
      </c>
      <c r="J4902" s="7" t="str">
        <f t="shared" si="305"/>
        <v/>
      </c>
      <c r="K4902" s="9">
        <f t="shared" ca="1" si="306"/>
        <v>45404.878290162036</v>
      </c>
      <c r="L4902" s="10">
        <f t="shared" ca="1" si="307"/>
        <v>45404.878290046297</v>
      </c>
    </row>
    <row r="4903" spans="6:12" x14ac:dyDescent="0.25">
      <c r="F4903" s="11" t="str">
        <f>IF(ISBLANK(D4903),"",(VLOOKUP(D4903,Cardápio!$A$2:$B$16,2,0))*E4903)</f>
        <v/>
      </c>
      <c r="H4903" s="7" t="str">
        <f t="shared" si="304"/>
        <v/>
      </c>
      <c r="I4903" s="7" t="str">
        <f>IF(AND(ISBLANK(D4903),ISBLANK(C4903)),"",((VLOOKUP(D4903,Cardápio!$A$2:$C$16,3,0))*E4903)+IF(B4903="iFood",F4903*0.27,(VLOOKUP(VENDAS!C4903,Bairros!$A$2:$B$90,2,0))))</f>
        <v/>
      </c>
      <c r="J4903" s="7" t="str">
        <f t="shared" si="305"/>
        <v/>
      </c>
      <c r="K4903" s="9">
        <f t="shared" ca="1" si="306"/>
        <v>45404.878290162036</v>
      </c>
      <c r="L4903" s="10">
        <f t="shared" ca="1" si="307"/>
        <v>45404.878290162036</v>
      </c>
    </row>
    <row r="4904" spans="6:12" x14ac:dyDescent="0.25">
      <c r="F4904" s="11" t="str">
        <f>IF(ISBLANK(D4904),"",(VLOOKUP(D4904,Cardápio!$A$2:$B$16,2,0))*E4904)</f>
        <v/>
      </c>
      <c r="H4904" s="7" t="str">
        <f t="shared" si="304"/>
        <v/>
      </c>
      <c r="I4904" s="7" t="str">
        <f>IF(AND(ISBLANK(D4904),ISBLANK(C4904)),"",((VLOOKUP(D4904,Cardápio!$A$2:$C$16,3,0))*E4904)+IF(B4904="iFood",F4904*0.27,(VLOOKUP(VENDAS!C4904,Bairros!$A$2:$B$90,2,0))))</f>
        <v/>
      </c>
      <c r="J4904" s="7" t="str">
        <f t="shared" si="305"/>
        <v/>
      </c>
      <c r="K4904" s="9">
        <f t="shared" ca="1" si="306"/>
        <v>45404.878290162036</v>
      </c>
      <c r="L4904" s="10">
        <f t="shared" ca="1" si="307"/>
        <v>45404.878290046297</v>
      </c>
    </row>
    <row r="4905" spans="6:12" x14ac:dyDescent="0.25">
      <c r="F4905" s="11" t="str">
        <f>IF(ISBLANK(D4905),"",(VLOOKUP(D4905,Cardápio!$A$2:$B$16,2,0))*E4905)</f>
        <v/>
      </c>
      <c r="H4905" s="7" t="str">
        <f t="shared" si="304"/>
        <v/>
      </c>
      <c r="I4905" s="7" t="str">
        <f>IF(AND(ISBLANK(D4905),ISBLANK(C4905)),"",((VLOOKUP(D4905,Cardápio!$A$2:$C$16,3,0))*E4905)+IF(B4905="iFood",F4905*0.27,(VLOOKUP(VENDAS!C4905,Bairros!$A$2:$B$90,2,0))))</f>
        <v/>
      </c>
      <c r="J4905" s="7" t="str">
        <f t="shared" si="305"/>
        <v/>
      </c>
      <c r="K4905" s="9">
        <f t="shared" ca="1" si="306"/>
        <v>45404.878290277775</v>
      </c>
      <c r="L4905" s="10">
        <f t="shared" ca="1" si="307"/>
        <v>45404.878290046297</v>
      </c>
    </row>
    <row r="4906" spans="6:12" x14ac:dyDescent="0.25">
      <c r="F4906" s="11" t="str">
        <f>IF(ISBLANK(D4906),"",(VLOOKUP(D4906,Cardápio!$A$2:$B$16,2,0))*E4906)</f>
        <v/>
      </c>
      <c r="H4906" s="7" t="str">
        <f t="shared" si="304"/>
        <v/>
      </c>
      <c r="I4906" s="7" t="str">
        <f>IF(AND(ISBLANK(D4906),ISBLANK(C4906)),"",((VLOOKUP(D4906,Cardápio!$A$2:$C$16,3,0))*E4906)+IF(B4906="iFood",F4906*0.27,(VLOOKUP(VENDAS!C4906,Bairros!$A$2:$B$90,2,0))))</f>
        <v/>
      </c>
      <c r="J4906" s="7" t="str">
        <f t="shared" si="305"/>
        <v/>
      </c>
      <c r="K4906" s="9">
        <f t="shared" ca="1" si="306"/>
        <v>45404.878290162036</v>
      </c>
      <c r="L4906" s="10">
        <f t="shared" ca="1" si="307"/>
        <v>45404.878290046297</v>
      </c>
    </row>
    <row r="4907" spans="6:12" x14ac:dyDescent="0.25">
      <c r="F4907" s="11" t="str">
        <f>IF(ISBLANK(D4907),"",(VLOOKUP(D4907,Cardápio!$A$2:$B$16,2,0))*E4907)</f>
        <v/>
      </c>
      <c r="H4907" s="7" t="str">
        <f t="shared" si="304"/>
        <v/>
      </c>
      <c r="I4907" s="7" t="str">
        <f>IF(AND(ISBLANK(D4907),ISBLANK(C4907)),"",((VLOOKUP(D4907,Cardápio!$A$2:$C$16,3,0))*E4907)+IF(B4907="iFood",F4907*0.27,(VLOOKUP(VENDAS!C4907,Bairros!$A$2:$B$90,2,0))))</f>
        <v/>
      </c>
      <c r="J4907" s="7" t="str">
        <f t="shared" si="305"/>
        <v/>
      </c>
      <c r="K4907" s="9">
        <f t="shared" ca="1" si="306"/>
        <v>45404.878290162036</v>
      </c>
      <c r="L4907" s="10">
        <f t="shared" ca="1" si="307"/>
        <v>45404.878290162036</v>
      </c>
    </row>
    <row r="4908" spans="6:12" x14ac:dyDescent="0.25">
      <c r="F4908" s="11" t="str">
        <f>IF(ISBLANK(D4908),"",(VLOOKUP(D4908,Cardápio!$A$2:$B$16,2,0))*E4908)</f>
        <v/>
      </c>
      <c r="H4908" s="7" t="str">
        <f t="shared" si="304"/>
        <v/>
      </c>
      <c r="I4908" s="7" t="str">
        <f>IF(AND(ISBLANK(D4908),ISBLANK(C4908)),"",((VLOOKUP(D4908,Cardápio!$A$2:$C$16,3,0))*E4908)+IF(B4908="iFood",F4908*0.27,(VLOOKUP(VENDAS!C4908,Bairros!$A$2:$B$90,2,0))))</f>
        <v/>
      </c>
      <c r="J4908" s="7" t="str">
        <f t="shared" si="305"/>
        <v/>
      </c>
      <c r="K4908" s="9">
        <f t="shared" ca="1" si="306"/>
        <v>45404.878290162036</v>
      </c>
      <c r="L4908" s="10">
        <f t="shared" ca="1" si="307"/>
        <v>45404.878290046297</v>
      </c>
    </row>
    <row r="4909" spans="6:12" x14ac:dyDescent="0.25">
      <c r="F4909" s="11" t="str">
        <f>IF(ISBLANK(D4909),"",(VLOOKUP(D4909,Cardápio!$A$2:$B$16,2,0))*E4909)</f>
        <v/>
      </c>
      <c r="H4909" s="7" t="str">
        <f t="shared" si="304"/>
        <v/>
      </c>
      <c r="I4909" s="7" t="str">
        <f>IF(AND(ISBLANK(D4909),ISBLANK(C4909)),"",((VLOOKUP(D4909,Cardápio!$A$2:$C$16,3,0))*E4909)+IF(B4909="iFood",F4909*0.27,(VLOOKUP(VENDAS!C4909,Bairros!$A$2:$B$90,2,0))))</f>
        <v/>
      </c>
      <c r="J4909" s="7" t="str">
        <f t="shared" si="305"/>
        <v/>
      </c>
      <c r="K4909" s="9">
        <f t="shared" ca="1" si="306"/>
        <v>45404.878290277775</v>
      </c>
      <c r="L4909" s="10">
        <f t="shared" ca="1" si="307"/>
        <v>45404.878290046297</v>
      </c>
    </row>
    <row r="4910" spans="6:12" x14ac:dyDescent="0.25">
      <c r="F4910" s="11" t="str">
        <f>IF(ISBLANK(D4910),"",(VLOOKUP(D4910,Cardápio!$A$2:$B$16,2,0))*E4910)</f>
        <v/>
      </c>
      <c r="H4910" s="7" t="str">
        <f t="shared" si="304"/>
        <v/>
      </c>
      <c r="I4910" s="7" t="str">
        <f>IF(AND(ISBLANK(D4910),ISBLANK(C4910)),"",((VLOOKUP(D4910,Cardápio!$A$2:$C$16,3,0))*E4910)+IF(B4910="iFood",F4910*0.27,(VLOOKUP(VENDAS!C4910,Bairros!$A$2:$B$90,2,0))))</f>
        <v/>
      </c>
      <c r="J4910" s="7" t="str">
        <f t="shared" si="305"/>
        <v/>
      </c>
      <c r="K4910" s="9">
        <f t="shared" ca="1" si="306"/>
        <v>45404.878290162036</v>
      </c>
      <c r="L4910" s="10">
        <f t="shared" ca="1" si="307"/>
        <v>45404.878290046297</v>
      </c>
    </row>
    <row r="4911" spans="6:12" x14ac:dyDescent="0.25">
      <c r="F4911" s="11" t="str">
        <f>IF(ISBLANK(D4911),"",(VLOOKUP(D4911,Cardápio!$A$2:$B$16,2,0))*E4911)</f>
        <v/>
      </c>
      <c r="H4911" s="7" t="str">
        <f t="shared" si="304"/>
        <v/>
      </c>
      <c r="I4911" s="7" t="str">
        <f>IF(AND(ISBLANK(D4911),ISBLANK(C4911)),"",((VLOOKUP(D4911,Cardápio!$A$2:$C$16,3,0))*E4911)+IF(B4911="iFood",F4911*0.27,(VLOOKUP(VENDAS!C4911,Bairros!$A$2:$B$90,2,0))))</f>
        <v/>
      </c>
      <c r="J4911" s="7" t="str">
        <f t="shared" si="305"/>
        <v/>
      </c>
      <c r="K4911" s="9">
        <f t="shared" ca="1" si="306"/>
        <v>45404.878290162036</v>
      </c>
      <c r="L4911" s="10">
        <f t="shared" ca="1" si="307"/>
        <v>45404.878290162036</v>
      </c>
    </row>
    <row r="4912" spans="6:12" x14ac:dyDescent="0.25">
      <c r="F4912" s="11" t="str">
        <f>IF(ISBLANK(D4912),"",(VLOOKUP(D4912,Cardápio!$A$2:$B$16,2,0))*E4912)</f>
        <v/>
      </c>
      <c r="H4912" s="7" t="str">
        <f t="shared" si="304"/>
        <v/>
      </c>
      <c r="I4912" s="7" t="str">
        <f>IF(AND(ISBLANK(D4912),ISBLANK(C4912)),"",((VLOOKUP(D4912,Cardápio!$A$2:$C$16,3,0))*E4912)+IF(B4912="iFood",F4912*0.27,(VLOOKUP(VENDAS!C4912,Bairros!$A$2:$B$90,2,0))))</f>
        <v/>
      </c>
      <c r="J4912" s="7" t="str">
        <f t="shared" si="305"/>
        <v/>
      </c>
      <c r="K4912" s="9">
        <f t="shared" ca="1" si="306"/>
        <v>45404.878290162036</v>
      </c>
      <c r="L4912" s="10">
        <f t="shared" ca="1" si="307"/>
        <v>45404.878290046297</v>
      </c>
    </row>
    <row r="4913" spans="6:12" x14ac:dyDescent="0.25">
      <c r="F4913" s="11" t="str">
        <f>IF(ISBLANK(D4913),"",(VLOOKUP(D4913,Cardápio!$A$2:$B$16,2,0))*E4913)</f>
        <v/>
      </c>
      <c r="H4913" s="7" t="str">
        <f t="shared" si="304"/>
        <v/>
      </c>
      <c r="I4913" s="7" t="str">
        <f>IF(AND(ISBLANK(D4913),ISBLANK(C4913)),"",((VLOOKUP(D4913,Cardápio!$A$2:$C$16,3,0))*E4913)+IF(B4913="iFood",F4913*0.27,(VLOOKUP(VENDAS!C4913,Bairros!$A$2:$B$90,2,0))))</f>
        <v/>
      </c>
      <c r="J4913" s="7" t="str">
        <f t="shared" si="305"/>
        <v/>
      </c>
      <c r="K4913" s="9">
        <f t="shared" ca="1" si="306"/>
        <v>45404.878290277775</v>
      </c>
      <c r="L4913" s="10">
        <f t="shared" ca="1" si="307"/>
        <v>45404.878290046297</v>
      </c>
    </row>
    <row r="4914" spans="6:12" x14ac:dyDescent="0.25">
      <c r="F4914" s="11" t="str">
        <f>IF(ISBLANK(D4914),"",(VLOOKUP(D4914,Cardápio!$A$2:$B$16,2,0))*E4914)</f>
        <v/>
      </c>
      <c r="H4914" s="7" t="str">
        <f t="shared" si="304"/>
        <v/>
      </c>
      <c r="I4914" s="7" t="str">
        <f>IF(AND(ISBLANK(D4914),ISBLANK(C4914)),"",((VLOOKUP(D4914,Cardápio!$A$2:$C$16,3,0))*E4914)+IF(B4914="iFood",F4914*0.27,(VLOOKUP(VENDAS!C4914,Bairros!$A$2:$B$90,2,0))))</f>
        <v/>
      </c>
      <c r="J4914" s="7" t="str">
        <f t="shared" si="305"/>
        <v/>
      </c>
      <c r="K4914" s="9">
        <f t="shared" ca="1" si="306"/>
        <v>45404.878290162036</v>
      </c>
      <c r="L4914" s="10">
        <f t="shared" ca="1" si="307"/>
        <v>45404.878290046297</v>
      </c>
    </row>
    <row r="4915" spans="6:12" x14ac:dyDescent="0.25">
      <c r="F4915" s="11" t="str">
        <f>IF(ISBLANK(D4915),"",(VLOOKUP(D4915,Cardápio!$A$2:$B$16,2,0))*E4915)</f>
        <v/>
      </c>
      <c r="H4915" s="7" t="str">
        <f t="shared" si="304"/>
        <v/>
      </c>
      <c r="I4915" s="7" t="str">
        <f>IF(AND(ISBLANK(D4915),ISBLANK(C4915)),"",((VLOOKUP(D4915,Cardápio!$A$2:$C$16,3,0))*E4915)+IF(B4915="iFood",F4915*0.27,(VLOOKUP(VENDAS!C4915,Bairros!$A$2:$B$90,2,0))))</f>
        <v/>
      </c>
      <c r="J4915" s="7" t="str">
        <f t="shared" si="305"/>
        <v/>
      </c>
      <c r="K4915" s="9">
        <f t="shared" ca="1" si="306"/>
        <v>45404.878290162036</v>
      </c>
      <c r="L4915" s="10">
        <f t="shared" ca="1" si="307"/>
        <v>45404.878290162036</v>
      </c>
    </row>
    <row r="4916" spans="6:12" x14ac:dyDescent="0.25">
      <c r="F4916" s="11" t="str">
        <f>IF(ISBLANK(D4916),"",(VLOOKUP(D4916,Cardápio!$A$2:$B$16,2,0))*E4916)</f>
        <v/>
      </c>
      <c r="H4916" s="7" t="str">
        <f t="shared" si="304"/>
        <v/>
      </c>
      <c r="I4916" s="7" t="str">
        <f>IF(AND(ISBLANK(D4916),ISBLANK(C4916)),"",((VLOOKUP(D4916,Cardápio!$A$2:$C$16,3,0))*E4916)+IF(B4916="iFood",F4916*0.27,(VLOOKUP(VENDAS!C4916,Bairros!$A$2:$B$90,2,0))))</f>
        <v/>
      </c>
      <c r="J4916" s="7" t="str">
        <f t="shared" si="305"/>
        <v/>
      </c>
      <c r="K4916" s="9">
        <f t="shared" ca="1" si="306"/>
        <v>45404.878290162036</v>
      </c>
      <c r="L4916" s="10">
        <f t="shared" ca="1" si="307"/>
        <v>45404.878290046297</v>
      </c>
    </row>
    <row r="4917" spans="6:12" x14ac:dyDescent="0.25">
      <c r="F4917" s="11" t="str">
        <f>IF(ISBLANK(D4917),"",(VLOOKUP(D4917,Cardápio!$A$2:$B$16,2,0))*E4917)</f>
        <v/>
      </c>
      <c r="H4917" s="7" t="str">
        <f t="shared" ref="H4917:H4980" si="308">IF(ISBLANK(D4917),"",F4917-G4917)</f>
        <v/>
      </c>
      <c r="I4917" s="7" t="str">
        <f>IF(AND(ISBLANK(D4917),ISBLANK(C4917)),"",((VLOOKUP(D4917,Cardápio!$A$2:$C$16,3,0))*E4917)+IF(B4917="iFood",F4917*0.27,(VLOOKUP(VENDAS!C4917,Bairros!$A$2:$B$90,2,0))))</f>
        <v/>
      </c>
      <c r="J4917" s="7" t="str">
        <f t="shared" ref="J4917:J4980" si="309">IF(OR(AND(ISBLANK(H4917),ISBLANK(I4917)),(AND(H4917="",I4917=""))),"",H4917-I4917)</f>
        <v/>
      </c>
      <c r="K4917" s="9">
        <f t="shared" ref="K4917:K4980" ca="1" si="310">IF(D4917&lt;&gt;"",K4917,NOW())</f>
        <v>45404.878290277775</v>
      </c>
      <c r="L4917" s="10">
        <f t="shared" ref="L4917:L4980" ca="1" si="311">IF(D4917&lt;&gt;"",L4917,NOW())</f>
        <v>45404.878290046297</v>
      </c>
    </row>
    <row r="4918" spans="6:12" x14ac:dyDescent="0.25">
      <c r="F4918" s="11" t="str">
        <f>IF(ISBLANK(D4918),"",(VLOOKUP(D4918,Cardápio!$A$2:$B$16,2,0))*E4918)</f>
        <v/>
      </c>
      <c r="H4918" s="7" t="str">
        <f t="shared" si="308"/>
        <v/>
      </c>
      <c r="I4918" s="7" t="str">
        <f>IF(AND(ISBLANK(D4918),ISBLANK(C4918)),"",((VLOOKUP(D4918,Cardápio!$A$2:$C$16,3,0))*E4918)+IF(B4918="iFood",F4918*0.27,(VLOOKUP(VENDAS!C4918,Bairros!$A$2:$B$90,2,0))))</f>
        <v/>
      </c>
      <c r="J4918" s="7" t="str">
        <f t="shared" si="309"/>
        <v/>
      </c>
      <c r="K4918" s="9">
        <f t="shared" ca="1" si="310"/>
        <v>45404.878290162036</v>
      </c>
      <c r="L4918" s="10">
        <f t="shared" ca="1" si="311"/>
        <v>45404.878290046297</v>
      </c>
    </row>
    <row r="4919" spans="6:12" x14ac:dyDescent="0.25">
      <c r="F4919" s="11" t="str">
        <f>IF(ISBLANK(D4919),"",(VLOOKUP(D4919,Cardápio!$A$2:$B$16,2,0))*E4919)</f>
        <v/>
      </c>
      <c r="H4919" s="7" t="str">
        <f t="shared" si="308"/>
        <v/>
      </c>
      <c r="I4919" s="7" t="str">
        <f>IF(AND(ISBLANK(D4919),ISBLANK(C4919)),"",((VLOOKUP(D4919,Cardápio!$A$2:$C$16,3,0))*E4919)+IF(B4919="iFood",F4919*0.27,(VLOOKUP(VENDAS!C4919,Bairros!$A$2:$B$90,2,0))))</f>
        <v/>
      </c>
      <c r="J4919" s="7" t="str">
        <f t="shared" si="309"/>
        <v/>
      </c>
      <c r="K4919" s="9">
        <f t="shared" ca="1" si="310"/>
        <v>45404.878290162036</v>
      </c>
      <c r="L4919" s="10">
        <f t="shared" ca="1" si="311"/>
        <v>45404.878290162036</v>
      </c>
    </row>
    <row r="4920" spans="6:12" x14ac:dyDescent="0.25">
      <c r="F4920" s="11" t="str">
        <f>IF(ISBLANK(D4920),"",(VLOOKUP(D4920,Cardápio!$A$2:$B$16,2,0))*E4920)</f>
        <v/>
      </c>
      <c r="H4920" s="7" t="str">
        <f t="shared" si="308"/>
        <v/>
      </c>
      <c r="I4920" s="7" t="str">
        <f>IF(AND(ISBLANK(D4920),ISBLANK(C4920)),"",((VLOOKUP(D4920,Cardápio!$A$2:$C$16,3,0))*E4920)+IF(B4920="iFood",F4920*0.27,(VLOOKUP(VENDAS!C4920,Bairros!$A$2:$B$90,2,0))))</f>
        <v/>
      </c>
      <c r="J4920" s="7" t="str">
        <f t="shared" si="309"/>
        <v/>
      </c>
      <c r="K4920" s="9">
        <f t="shared" ca="1" si="310"/>
        <v>45404.878290162036</v>
      </c>
      <c r="L4920" s="10">
        <f t="shared" ca="1" si="311"/>
        <v>45404.878290046297</v>
      </c>
    </row>
    <row r="4921" spans="6:12" x14ac:dyDescent="0.25">
      <c r="F4921" s="11" t="str">
        <f>IF(ISBLANK(D4921),"",(VLOOKUP(D4921,Cardápio!$A$2:$B$16,2,0))*E4921)</f>
        <v/>
      </c>
      <c r="H4921" s="7" t="str">
        <f t="shared" si="308"/>
        <v/>
      </c>
      <c r="I4921" s="7" t="str">
        <f>IF(AND(ISBLANK(D4921),ISBLANK(C4921)),"",((VLOOKUP(D4921,Cardápio!$A$2:$C$16,3,0))*E4921)+IF(B4921="iFood",F4921*0.27,(VLOOKUP(VENDAS!C4921,Bairros!$A$2:$B$90,2,0))))</f>
        <v/>
      </c>
      <c r="J4921" s="7" t="str">
        <f t="shared" si="309"/>
        <v/>
      </c>
      <c r="K4921" s="9">
        <f t="shared" ca="1" si="310"/>
        <v>45404.878290277775</v>
      </c>
      <c r="L4921" s="10">
        <f t="shared" ca="1" si="311"/>
        <v>45404.878290046297</v>
      </c>
    </row>
    <row r="4922" spans="6:12" x14ac:dyDescent="0.25">
      <c r="F4922" s="11" t="str">
        <f>IF(ISBLANK(D4922),"",(VLOOKUP(D4922,Cardápio!$A$2:$B$16,2,0))*E4922)</f>
        <v/>
      </c>
      <c r="H4922" s="7" t="str">
        <f t="shared" si="308"/>
        <v/>
      </c>
      <c r="I4922" s="7" t="str">
        <f>IF(AND(ISBLANK(D4922),ISBLANK(C4922)),"",((VLOOKUP(D4922,Cardápio!$A$2:$C$16,3,0))*E4922)+IF(B4922="iFood",F4922*0.27,(VLOOKUP(VENDAS!C4922,Bairros!$A$2:$B$90,2,0))))</f>
        <v/>
      </c>
      <c r="J4922" s="7" t="str">
        <f t="shared" si="309"/>
        <v/>
      </c>
      <c r="K4922" s="9">
        <f t="shared" ca="1" si="310"/>
        <v>45404.878290162036</v>
      </c>
      <c r="L4922" s="10">
        <f t="shared" ca="1" si="311"/>
        <v>45404.878290046297</v>
      </c>
    </row>
    <row r="4923" spans="6:12" x14ac:dyDescent="0.25">
      <c r="F4923" s="11" t="str">
        <f>IF(ISBLANK(D4923),"",(VLOOKUP(D4923,Cardápio!$A$2:$B$16,2,0))*E4923)</f>
        <v/>
      </c>
      <c r="H4923" s="7" t="str">
        <f t="shared" si="308"/>
        <v/>
      </c>
      <c r="I4923" s="7" t="str">
        <f>IF(AND(ISBLANK(D4923),ISBLANK(C4923)),"",((VLOOKUP(D4923,Cardápio!$A$2:$C$16,3,0))*E4923)+IF(B4923="iFood",F4923*0.27,(VLOOKUP(VENDAS!C4923,Bairros!$A$2:$B$90,2,0))))</f>
        <v/>
      </c>
      <c r="J4923" s="7" t="str">
        <f t="shared" si="309"/>
        <v/>
      </c>
      <c r="K4923" s="9">
        <f t="shared" ca="1" si="310"/>
        <v>45404.878290162036</v>
      </c>
      <c r="L4923" s="10">
        <f t="shared" ca="1" si="311"/>
        <v>45404.878290162036</v>
      </c>
    </row>
    <row r="4924" spans="6:12" x14ac:dyDescent="0.25">
      <c r="F4924" s="11" t="str">
        <f>IF(ISBLANK(D4924),"",(VLOOKUP(D4924,Cardápio!$A$2:$B$16,2,0))*E4924)</f>
        <v/>
      </c>
      <c r="H4924" s="7" t="str">
        <f t="shared" si="308"/>
        <v/>
      </c>
      <c r="I4924" s="7" t="str">
        <f>IF(AND(ISBLANK(D4924),ISBLANK(C4924)),"",((VLOOKUP(D4924,Cardápio!$A$2:$C$16,3,0))*E4924)+IF(B4924="iFood",F4924*0.27,(VLOOKUP(VENDAS!C4924,Bairros!$A$2:$B$90,2,0))))</f>
        <v/>
      </c>
      <c r="J4924" s="7" t="str">
        <f t="shared" si="309"/>
        <v/>
      </c>
      <c r="K4924" s="9">
        <f t="shared" ca="1" si="310"/>
        <v>45404.878290162036</v>
      </c>
      <c r="L4924" s="10">
        <f t="shared" ca="1" si="311"/>
        <v>45404.878290046297</v>
      </c>
    </row>
    <row r="4925" spans="6:12" x14ac:dyDescent="0.25">
      <c r="F4925" s="11" t="str">
        <f>IF(ISBLANK(D4925),"",(VLOOKUP(D4925,Cardápio!$A$2:$B$16,2,0))*E4925)</f>
        <v/>
      </c>
      <c r="H4925" s="7" t="str">
        <f t="shared" si="308"/>
        <v/>
      </c>
      <c r="I4925" s="7" t="str">
        <f>IF(AND(ISBLANK(D4925),ISBLANK(C4925)),"",((VLOOKUP(D4925,Cardápio!$A$2:$C$16,3,0))*E4925)+IF(B4925="iFood",F4925*0.27,(VLOOKUP(VENDAS!C4925,Bairros!$A$2:$B$90,2,0))))</f>
        <v/>
      </c>
      <c r="J4925" s="7" t="str">
        <f t="shared" si="309"/>
        <v/>
      </c>
      <c r="K4925" s="9">
        <f t="shared" ca="1" si="310"/>
        <v>45404.878290277775</v>
      </c>
      <c r="L4925" s="10">
        <f t="shared" ca="1" si="311"/>
        <v>45404.878290046297</v>
      </c>
    </row>
    <row r="4926" spans="6:12" x14ac:dyDescent="0.25">
      <c r="F4926" s="11" t="str">
        <f>IF(ISBLANK(D4926),"",(VLOOKUP(D4926,Cardápio!$A$2:$B$16,2,0))*E4926)</f>
        <v/>
      </c>
      <c r="H4926" s="7" t="str">
        <f t="shared" si="308"/>
        <v/>
      </c>
      <c r="I4926" s="7" t="str">
        <f>IF(AND(ISBLANK(D4926),ISBLANK(C4926)),"",((VLOOKUP(D4926,Cardápio!$A$2:$C$16,3,0))*E4926)+IF(B4926="iFood",F4926*0.27,(VLOOKUP(VENDAS!C4926,Bairros!$A$2:$B$90,2,0))))</f>
        <v/>
      </c>
      <c r="J4926" s="7" t="str">
        <f t="shared" si="309"/>
        <v/>
      </c>
      <c r="K4926" s="9">
        <f t="shared" ca="1" si="310"/>
        <v>45404.878290162036</v>
      </c>
      <c r="L4926" s="10">
        <f t="shared" ca="1" si="311"/>
        <v>45404.878290046297</v>
      </c>
    </row>
    <row r="4927" spans="6:12" x14ac:dyDescent="0.25">
      <c r="F4927" s="11" t="str">
        <f>IF(ISBLANK(D4927),"",(VLOOKUP(D4927,Cardápio!$A$2:$B$16,2,0))*E4927)</f>
        <v/>
      </c>
      <c r="H4927" s="7" t="str">
        <f t="shared" si="308"/>
        <v/>
      </c>
      <c r="I4927" s="7" t="str">
        <f>IF(AND(ISBLANK(D4927),ISBLANK(C4927)),"",((VLOOKUP(D4927,Cardápio!$A$2:$C$16,3,0))*E4927)+IF(B4927="iFood",F4927*0.27,(VLOOKUP(VENDAS!C4927,Bairros!$A$2:$B$90,2,0))))</f>
        <v/>
      </c>
      <c r="J4927" s="7" t="str">
        <f t="shared" si="309"/>
        <v/>
      </c>
      <c r="K4927" s="9">
        <f t="shared" ca="1" si="310"/>
        <v>45404.878290162036</v>
      </c>
      <c r="L4927" s="10">
        <f t="shared" ca="1" si="311"/>
        <v>45404.878290162036</v>
      </c>
    </row>
    <row r="4928" spans="6:12" x14ac:dyDescent="0.25">
      <c r="F4928" s="11" t="str">
        <f>IF(ISBLANK(D4928),"",(VLOOKUP(D4928,Cardápio!$A$2:$B$16,2,0))*E4928)</f>
        <v/>
      </c>
      <c r="H4928" s="7" t="str">
        <f t="shared" si="308"/>
        <v/>
      </c>
      <c r="I4928" s="7" t="str">
        <f>IF(AND(ISBLANK(D4928),ISBLANK(C4928)),"",((VLOOKUP(D4928,Cardápio!$A$2:$C$16,3,0))*E4928)+IF(B4928="iFood",F4928*0.27,(VLOOKUP(VENDAS!C4928,Bairros!$A$2:$B$90,2,0))))</f>
        <v/>
      </c>
      <c r="J4928" s="7" t="str">
        <f t="shared" si="309"/>
        <v/>
      </c>
      <c r="K4928" s="9">
        <f t="shared" ca="1" si="310"/>
        <v>45404.878290162036</v>
      </c>
      <c r="L4928" s="10">
        <f t="shared" ca="1" si="311"/>
        <v>45404.878290046297</v>
      </c>
    </row>
    <row r="4929" spans="6:12" x14ac:dyDescent="0.25">
      <c r="F4929" s="11" t="str">
        <f>IF(ISBLANK(D4929),"",(VLOOKUP(D4929,Cardápio!$A$2:$B$16,2,0))*E4929)</f>
        <v/>
      </c>
      <c r="H4929" s="7" t="str">
        <f t="shared" si="308"/>
        <v/>
      </c>
      <c r="I4929" s="7" t="str">
        <f>IF(AND(ISBLANK(D4929),ISBLANK(C4929)),"",((VLOOKUP(D4929,Cardápio!$A$2:$C$16,3,0))*E4929)+IF(B4929="iFood",F4929*0.27,(VLOOKUP(VENDAS!C4929,Bairros!$A$2:$B$90,2,0))))</f>
        <v/>
      </c>
      <c r="J4929" s="7" t="str">
        <f t="shared" si="309"/>
        <v/>
      </c>
      <c r="K4929" s="9">
        <f t="shared" ca="1" si="310"/>
        <v>45404.878290277775</v>
      </c>
      <c r="L4929" s="10">
        <f t="shared" ca="1" si="311"/>
        <v>45404.878290046297</v>
      </c>
    </row>
    <row r="4930" spans="6:12" x14ac:dyDescent="0.25">
      <c r="F4930" s="11" t="str">
        <f>IF(ISBLANK(D4930),"",(VLOOKUP(D4930,Cardápio!$A$2:$B$16,2,0))*E4930)</f>
        <v/>
      </c>
      <c r="H4930" s="7" t="str">
        <f t="shared" si="308"/>
        <v/>
      </c>
      <c r="I4930" s="7" t="str">
        <f>IF(AND(ISBLANK(D4930),ISBLANK(C4930)),"",((VLOOKUP(D4930,Cardápio!$A$2:$C$16,3,0))*E4930)+IF(B4930="iFood",F4930*0.27,(VLOOKUP(VENDAS!C4930,Bairros!$A$2:$B$90,2,0))))</f>
        <v/>
      </c>
      <c r="J4930" s="7" t="str">
        <f t="shared" si="309"/>
        <v/>
      </c>
      <c r="K4930" s="9">
        <f t="shared" ca="1" si="310"/>
        <v>45404.878290162036</v>
      </c>
      <c r="L4930" s="10">
        <f t="shared" ca="1" si="311"/>
        <v>45404.878290046297</v>
      </c>
    </row>
    <row r="4931" spans="6:12" x14ac:dyDescent="0.25">
      <c r="F4931" s="11" t="str">
        <f>IF(ISBLANK(D4931),"",(VLOOKUP(D4931,Cardápio!$A$2:$B$16,2,0))*E4931)</f>
        <v/>
      </c>
      <c r="H4931" s="7" t="str">
        <f t="shared" si="308"/>
        <v/>
      </c>
      <c r="I4931" s="7" t="str">
        <f>IF(AND(ISBLANK(D4931),ISBLANK(C4931)),"",((VLOOKUP(D4931,Cardápio!$A$2:$C$16,3,0))*E4931)+IF(B4931="iFood",F4931*0.27,(VLOOKUP(VENDAS!C4931,Bairros!$A$2:$B$90,2,0))))</f>
        <v/>
      </c>
      <c r="J4931" s="7" t="str">
        <f t="shared" si="309"/>
        <v/>
      </c>
      <c r="K4931" s="9">
        <f t="shared" ca="1" si="310"/>
        <v>45404.878290162036</v>
      </c>
      <c r="L4931" s="10">
        <f t="shared" ca="1" si="311"/>
        <v>45404.878290162036</v>
      </c>
    </row>
    <row r="4932" spans="6:12" x14ac:dyDescent="0.25">
      <c r="F4932" s="11" t="str">
        <f>IF(ISBLANK(D4932),"",(VLOOKUP(D4932,Cardápio!$A$2:$B$16,2,0))*E4932)</f>
        <v/>
      </c>
      <c r="H4932" s="7" t="str">
        <f t="shared" si="308"/>
        <v/>
      </c>
      <c r="I4932" s="7" t="str">
        <f>IF(AND(ISBLANK(D4932),ISBLANK(C4932)),"",((VLOOKUP(D4932,Cardápio!$A$2:$C$16,3,0))*E4932)+IF(B4932="iFood",F4932*0.27,(VLOOKUP(VENDAS!C4932,Bairros!$A$2:$B$90,2,0))))</f>
        <v/>
      </c>
      <c r="J4932" s="7" t="str">
        <f t="shared" si="309"/>
        <v/>
      </c>
      <c r="K4932" s="9">
        <f t="shared" ca="1" si="310"/>
        <v>45404.878290162036</v>
      </c>
      <c r="L4932" s="10">
        <f t="shared" ca="1" si="311"/>
        <v>45404.878290046297</v>
      </c>
    </row>
    <row r="4933" spans="6:12" x14ac:dyDescent="0.25">
      <c r="F4933" s="11" t="str">
        <f>IF(ISBLANK(D4933),"",(VLOOKUP(D4933,Cardápio!$A$2:$B$16,2,0))*E4933)</f>
        <v/>
      </c>
      <c r="H4933" s="7" t="str">
        <f t="shared" si="308"/>
        <v/>
      </c>
      <c r="I4933" s="7" t="str">
        <f>IF(AND(ISBLANK(D4933),ISBLANK(C4933)),"",((VLOOKUP(D4933,Cardápio!$A$2:$C$16,3,0))*E4933)+IF(B4933="iFood",F4933*0.27,(VLOOKUP(VENDAS!C4933,Bairros!$A$2:$B$90,2,0))))</f>
        <v/>
      </c>
      <c r="J4933" s="7" t="str">
        <f t="shared" si="309"/>
        <v/>
      </c>
      <c r="K4933" s="9">
        <f t="shared" ca="1" si="310"/>
        <v>45404.878290277775</v>
      </c>
      <c r="L4933" s="10">
        <f t="shared" ca="1" si="311"/>
        <v>45404.878290046297</v>
      </c>
    </row>
    <row r="4934" spans="6:12" x14ac:dyDescent="0.25">
      <c r="F4934" s="11" t="str">
        <f>IF(ISBLANK(D4934),"",(VLOOKUP(D4934,Cardápio!$A$2:$B$16,2,0))*E4934)</f>
        <v/>
      </c>
      <c r="H4934" s="7" t="str">
        <f t="shared" si="308"/>
        <v/>
      </c>
      <c r="I4934" s="7" t="str">
        <f>IF(AND(ISBLANK(D4934),ISBLANK(C4934)),"",((VLOOKUP(D4934,Cardápio!$A$2:$C$16,3,0))*E4934)+IF(B4934="iFood",F4934*0.27,(VLOOKUP(VENDAS!C4934,Bairros!$A$2:$B$90,2,0))))</f>
        <v/>
      </c>
      <c r="J4934" s="7" t="str">
        <f t="shared" si="309"/>
        <v/>
      </c>
      <c r="K4934" s="9">
        <f t="shared" ca="1" si="310"/>
        <v>45404.878290162036</v>
      </c>
      <c r="L4934" s="10">
        <f t="shared" ca="1" si="311"/>
        <v>45404.878290046297</v>
      </c>
    </row>
    <row r="4935" spans="6:12" x14ac:dyDescent="0.25">
      <c r="F4935" s="11" t="str">
        <f>IF(ISBLANK(D4935),"",(VLOOKUP(D4935,Cardápio!$A$2:$B$16,2,0))*E4935)</f>
        <v/>
      </c>
      <c r="H4935" s="7" t="str">
        <f t="shared" si="308"/>
        <v/>
      </c>
      <c r="I4935" s="7" t="str">
        <f>IF(AND(ISBLANK(D4935),ISBLANK(C4935)),"",((VLOOKUP(D4935,Cardápio!$A$2:$C$16,3,0))*E4935)+IF(B4935="iFood",F4935*0.27,(VLOOKUP(VENDAS!C4935,Bairros!$A$2:$B$90,2,0))))</f>
        <v/>
      </c>
      <c r="J4935" s="7" t="str">
        <f t="shared" si="309"/>
        <v/>
      </c>
      <c r="K4935" s="9">
        <f t="shared" ca="1" si="310"/>
        <v>45404.878290162036</v>
      </c>
      <c r="L4935" s="10">
        <f t="shared" ca="1" si="311"/>
        <v>45404.878290162036</v>
      </c>
    </row>
    <row r="4936" spans="6:12" x14ac:dyDescent="0.25">
      <c r="F4936" s="11" t="str">
        <f>IF(ISBLANK(D4936),"",(VLOOKUP(D4936,Cardápio!$A$2:$B$16,2,0))*E4936)</f>
        <v/>
      </c>
      <c r="H4936" s="7" t="str">
        <f t="shared" si="308"/>
        <v/>
      </c>
      <c r="I4936" s="7" t="str">
        <f>IF(AND(ISBLANK(D4936),ISBLANK(C4936)),"",((VLOOKUP(D4936,Cardápio!$A$2:$C$16,3,0))*E4936)+IF(B4936="iFood",F4936*0.27,(VLOOKUP(VENDAS!C4936,Bairros!$A$2:$B$90,2,0))))</f>
        <v/>
      </c>
      <c r="J4936" s="7" t="str">
        <f t="shared" si="309"/>
        <v/>
      </c>
      <c r="K4936" s="9">
        <f t="shared" ca="1" si="310"/>
        <v>45404.878290162036</v>
      </c>
      <c r="L4936" s="10">
        <f t="shared" ca="1" si="311"/>
        <v>45404.878290046297</v>
      </c>
    </row>
    <row r="4937" spans="6:12" x14ac:dyDescent="0.25">
      <c r="F4937" s="11" t="str">
        <f>IF(ISBLANK(D4937),"",(VLOOKUP(D4937,Cardápio!$A$2:$B$16,2,0))*E4937)</f>
        <v/>
      </c>
      <c r="H4937" s="7" t="str">
        <f t="shared" si="308"/>
        <v/>
      </c>
      <c r="I4937" s="7" t="str">
        <f>IF(AND(ISBLANK(D4937),ISBLANK(C4937)),"",((VLOOKUP(D4937,Cardápio!$A$2:$C$16,3,0))*E4937)+IF(B4937="iFood",F4937*0.27,(VLOOKUP(VENDAS!C4937,Bairros!$A$2:$B$90,2,0))))</f>
        <v/>
      </c>
      <c r="J4937" s="7" t="str">
        <f t="shared" si="309"/>
        <v/>
      </c>
      <c r="K4937" s="9">
        <f t="shared" ca="1" si="310"/>
        <v>45404.878290277775</v>
      </c>
      <c r="L4937" s="10">
        <f t="shared" ca="1" si="311"/>
        <v>45404.878290277775</v>
      </c>
    </row>
    <row r="4938" spans="6:12" x14ac:dyDescent="0.25">
      <c r="F4938" s="11" t="str">
        <f>IF(ISBLANK(D4938),"",(VLOOKUP(D4938,Cardápio!$A$2:$B$16,2,0))*E4938)</f>
        <v/>
      </c>
      <c r="H4938" s="7" t="str">
        <f t="shared" si="308"/>
        <v/>
      </c>
      <c r="I4938" s="7" t="str">
        <f>IF(AND(ISBLANK(D4938),ISBLANK(C4938)),"",((VLOOKUP(D4938,Cardápio!$A$2:$C$16,3,0))*E4938)+IF(B4938="iFood",F4938*0.27,(VLOOKUP(VENDAS!C4938,Bairros!$A$2:$B$90,2,0))))</f>
        <v/>
      </c>
      <c r="J4938" s="7" t="str">
        <f t="shared" si="309"/>
        <v/>
      </c>
      <c r="K4938" s="9">
        <f t="shared" ca="1" si="310"/>
        <v>45404.878290277775</v>
      </c>
      <c r="L4938" s="10">
        <f t="shared" ca="1" si="311"/>
        <v>45404.878290046297</v>
      </c>
    </row>
    <row r="4939" spans="6:12" x14ac:dyDescent="0.25">
      <c r="F4939" s="11" t="str">
        <f>IF(ISBLANK(D4939),"",(VLOOKUP(D4939,Cardápio!$A$2:$B$16,2,0))*E4939)</f>
        <v/>
      </c>
      <c r="H4939" s="7" t="str">
        <f t="shared" si="308"/>
        <v/>
      </c>
      <c r="I4939" s="7" t="str">
        <f>IF(AND(ISBLANK(D4939),ISBLANK(C4939)),"",((VLOOKUP(D4939,Cardápio!$A$2:$C$16,3,0))*E4939)+IF(B4939="iFood",F4939*0.27,(VLOOKUP(VENDAS!C4939,Bairros!$A$2:$B$90,2,0))))</f>
        <v/>
      </c>
      <c r="J4939" s="7" t="str">
        <f t="shared" si="309"/>
        <v/>
      </c>
      <c r="K4939" s="9">
        <f t="shared" ca="1" si="310"/>
        <v>45404.878290162036</v>
      </c>
      <c r="L4939" s="10">
        <f t="shared" ca="1" si="311"/>
        <v>45404.878290046297</v>
      </c>
    </row>
    <row r="4940" spans="6:12" x14ac:dyDescent="0.25">
      <c r="F4940" s="11" t="str">
        <f>IF(ISBLANK(D4940),"",(VLOOKUP(D4940,Cardápio!$A$2:$B$16,2,0))*E4940)</f>
        <v/>
      </c>
      <c r="H4940" s="7" t="str">
        <f t="shared" si="308"/>
        <v/>
      </c>
      <c r="I4940" s="7" t="str">
        <f>IF(AND(ISBLANK(D4940),ISBLANK(C4940)),"",((VLOOKUP(D4940,Cardápio!$A$2:$C$16,3,0))*E4940)+IF(B4940="iFood",F4940*0.27,(VLOOKUP(VENDAS!C4940,Bairros!$A$2:$B$90,2,0))))</f>
        <v/>
      </c>
      <c r="J4940" s="7" t="str">
        <f t="shared" si="309"/>
        <v/>
      </c>
      <c r="K4940" s="9">
        <f t="shared" ca="1" si="310"/>
        <v>45404.878290162036</v>
      </c>
      <c r="L4940" s="10">
        <f t="shared" ca="1" si="311"/>
        <v>45404.878290162036</v>
      </c>
    </row>
    <row r="4941" spans="6:12" x14ac:dyDescent="0.25">
      <c r="F4941" s="11" t="str">
        <f>IF(ISBLANK(D4941),"",(VLOOKUP(D4941,Cardápio!$A$2:$B$16,2,0))*E4941)</f>
        <v/>
      </c>
      <c r="H4941" s="7" t="str">
        <f t="shared" si="308"/>
        <v/>
      </c>
      <c r="I4941" s="7" t="str">
        <f>IF(AND(ISBLANK(D4941),ISBLANK(C4941)),"",((VLOOKUP(D4941,Cardápio!$A$2:$C$16,3,0))*E4941)+IF(B4941="iFood",F4941*0.27,(VLOOKUP(VENDAS!C4941,Bairros!$A$2:$B$90,2,0))))</f>
        <v/>
      </c>
      <c r="J4941" s="7" t="str">
        <f t="shared" si="309"/>
        <v/>
      </c>
      <c r="K4941" s="9">
        <f t="shared" ca="1" si="310"/>
        <v>45404.878290162036</v>
      </c>
      <c r="L4941" s="10">
        <f t="shared" ca="1" si="311"/>
        <v>45404.878290046297</v>
      </c>
    </row>
    <row r="4942" spans="6:12" x14ac:dyDescent="0.25">
      <c r="F4942" s="11" t="str">
        <f>IF(ISBLANK(D4942),"",(VLOOKUP(D4942,Cardápio!$A$2:$B$16,2,0))*E4942)</f>
        <v/>
      </c>
      <c r="H4942" s="7" t="str">
        <f t="shared" si="308"/>
        <v/>
      </c>
      <c r="I4942" s="7" t="str">
        <f>IF(AND(ISBLANK(D4942),ISBLANK(C4942)),"",((VLOOKUP(D4942,Cardápio!$A$2:$C$16,3,0))*E4942)+IF(B4942="iFood",F4942*0.27,(VLOOKUP(VENDAS!C4942,Bairros!$A$2:$B$90,2,0))))</f>
        <v/>
      </c>
      <c r="J4942" s="7" t="str">
        <f t="shared" si="309"/>
        <v/>
      </c>
      <c r="K4942" s="9">
        <f t="shared" ca="1" si="310"/>
        <v>45404.878290277775</v>
      </c>
      <c r="L4942" s="10">
        <f t="shared" ca="1" si="311"/>
        <v>45404.878290046297</v>
      </c>
    </row>
    <row r="4943" spans="6:12" x14ac:dyDescent="0.25">
      <c r="F4943" s="11" t="str">
        <f>IF(ISBLANK(D4943),"",(VLOOKUP(D4943,Cardápio!$A$2:$B$16,2,0))*E4943)</f>
        <v/>
      </c>
      <c r="H4943" s="7" t="str">
        <f t="shared" si="308"/>
        <v/>
      </c>
      <c r="I4943" s="7" t="str">
        <f>IF(AND(ISBLANK(D4943),ISBLANK(C4943)),"",((VLOOKUP(D4943,Cardápio!$A$2:$C$16,3,0))*E4943)+IF(B4943="iFood",F4943*0.27,(VLOOKUP(VENDAS!C4943,Bairros!$A$2:$B$90,2,0))))</f>
        <v/>
      </c>
      <c r="J4943" s="7" t="str">
        <f t="shared" si="309"/>
        <v/>
      </c>
      <c r="K4943" s="9">
        <f t="shared" ca="1" si="310"/>
        <v>45404.878290162036</v>
      </c>
      <c r="L4943" s="10">
        <f t="shared" ca="1" si="311"/>
        <v>45404.878290046297</v>
      </c>
    </row>
    <row r="4944" spans="6:12" x14ac:dyDescent="0.25">
      <c r="F4944" s="11" t="str">
        <f>IF(ISBLANK(D4944),"",(VLOOKUP(D4944,Cardápio!$A$2:$B$16,2,0))*E4944)</f>
        <v/>
      </c>
      <c r="H4944" s="7" t="str">
        <f t="shared" si="308"/>
        <v/>
      </c>
      <c r="I4944" s="7" t="str">
        <f>IF(AND(ISBLANK(D4944),ISBLANK(C4944)),"",((VLOOKUP(D4944,Cardápio!$A$2:$C$16,3,0))*E4944)+IF(B4944="iFood",F4944*0.27,(VLOOKUP(VENDAS!C4944,Bairros!$A$2:$B$90,2,0))))</f>
        <v/>
      </c>
      <c r="J4944" s="7" t="str">
        <f t="shared" si="309"/>
        <v/>
      </c>
      <c r="K4944" s="9">
        <f t="shared" ca="1" si="310"/>
        <v>45404.878290162036</v>
      </c>
      <c r="L4944" s="10">
        <f t="shared" ca="1" si="311"/>
        <v>45404.878290162036</v>
      </c>
    </row>
    <row r="4945" spans="6:12" x14ac:dyDescent="0.25">
      <c r="F4945" s="11" t="str">
        <f>IF(ISBLANK(D4945),"",(VLOOKUP(D4945,Cardápio!$A$2:$B$16,2,0))*E4945)</f>
        <v/>
      </c>
      <c r="H4945" s="7" t="str">
        <f t="shared" si="308"/>
        <v/>
      </c>
      <c r="I4945" s="7" t="str">
        <f>IF(AND(ISBLANK(D4945),ISBLANK(C4945)),"",((VLOOKUP(D4945,Cardápio!$A$2:$C$16,3,0))*E4945)+IF(B4945="iFood",F4945*0.27,(VLOOKUP(VENDAS!C4945,Bairros!$A$2:$B$90,2,0))))</f>
        <v/>
      </c>
      <c r="J4945" s="7" t="str">
        <f t="shared" si="309"/>
        <v/>
      </c>
      <c r="K4945" s="9">
        <f t="shared" ca="1" si="310"/>
        <v>45404.878290162036</v>
      </c>
      <c r="L4945" s="10">
        <f t="shared" ca="1" si="311"/>
        <v>45404.878290046297</v>
      </c>
    </row>
    <row r="4946" spans="6:12" x14ac:dyDescent="0.25">
      <c r="F4946" s="11" t="str">
        <f>IF(ISBLANK(D4946),"",(VLOOKUP(D4946,Cardápio!$A$2:$B$16,2,0))*E4946)</f>
        <v/>
      </c>
      <c r="H4946" s="7" t="str">
        <f t="shared" si="308"/>
        <v/>
      </c>
      <c r="I4946" s="7" t="str">
        <f>IF(AND(ISBLANK(D4946),ISBLANK(C4946)),"",((VLOOKUP(D4946,Cardápio!$A$2:$C$16,3,0))*E4946)+IF(B4946="iFood",F4946*0.27,(VLOOKUP(VENDAS!C4946,Bairros!$A$2:$B$90,2,0))))</f>
        <v/>
      </c>
      <c r="J4946" s="7" t="str">
        <f t="shared" si="309"/>
        <v/>
      </c>
      <c r="K4946" s="9">
        <f t="shared" ca="1" si="310"/>
        <v>45404.878290277775</v>
      </c>
      <c r="L4946" s="10">
        <f t="shared" ca="1" si="311"/>
        <v>45404.878290046297</v>
      </c>
    </row>
    <row r="4947" spans="6:12" x14ac:dyDescent="0.25">
      <c r="F4947" s="11" t="str">
        <f>IF(ISBLANK(D4947),"",(VLOOKUP(D4947,Cardápio!$A$2:$B$16,2,0))*E4947)</f>
        <v/>
      </c>
      <c r="H4947" s="7" t="str">
        <f t="shared" si="308"/>
        <v/>
      </c>
      <c r="I4947" s="7" t="str">
        <f>IF(AND(ISBLANK(D4947),ISBLANK(C4947)),"",((VLOOKUP(D4947,Cardápio!$A$2:$C$16,3,0))*E4947)+IF(B4947="iFood",F4947*0.27,(VLOOKUP(VENDAS!C4947,Bairros!$A$2:$B$90,2,0))))</f>
        <v/>
      </c>
      <c r="J4947" s="7" t="str">
        <f t="shared" si="309"/>
        <v/>
      </c>
      <c r="K4947" s="9">
        <f t="shared" ca="1" si="310"/>
        <v>45404.878290162036</v>
      </c>
      <c r="L4947" s="10">
        <f t="shared" ca="1" si="311"/>
        <v>45404.878290046297</v>
      </c>
    </row>
    <row r="4948" spans="6:12" x14ac:dyDescent="0.25">
      <c r="F4948" s="11" t="str">
        <f>IF(ISBLANK(D4948),"",(VLOOKUP(D4948,Cardápio!$A$2:$B$16,2,0))*E4948)</f>
        <v/>
      </c>
      <c r="H4948" s="7" t="str">
        <f t="shared" si="308"/>
        <v/>
      </c>
      <c r="I4948" s="7" t="str">
        <f>IF(AND(ISBLANK(D4948),ISBLANK(C4948)),"",((VLOOKUP(D4948,Cardápio!$A$2:$C$16,3,0))*E4948)+IF(B4948="iFood",F4948*0.27,(VLOOKUP(VENDAS!C4948,Bairros!$A$2:$B$90,2,0))))</f>
        <v/>
      </c>
      <c r="J4948" s="7" t="str">
        <f t="shared" si="309"/>
        <v/>
      </c>
      <c r="K4948" s="9">
        <f t="shared" ca="1" si="310"/>
        <v>45404.878290162036</v>
      </c>
      <c r="L4948" s="10">
        <f t="shared" ca="1" si="311"/>
        <v>45404.878290162036</v>
      </c>
    </row>
    <row r="4949" spans="6:12" x14ac:dyDescent="0.25">
      <c r="F4949" s="11" t="str">
        <f>IF(ISBLANK(D4949),"",(VLOOKUP(D4949,Cardápio!$A$2:$B$16,2,0))*E4949)</f>
        <v/>
      </c>
      <c r="H4949" s="7" t="str">
        <f t="shared" si="308"/>
        <v/>
      </c>
      <c r="I4949" s="7" t="str">
        <f>IF(AND(ISBLANK(D4949),ISBLANK(C4949)),"",((VLOOKUP(D4949,Cardápio!$A$2:$C$16,3,0))*E4949)+IF(B4949="iFood",F4949*0.27,(VLOOKUP(VENDAS!C4949,Bairros!$A$2:$B$90,2,0))))</f>
        <v/>
      </c>
      <c r="J4949" s="7" t="str">
        <f t="shared" si="309"/>
        <v/>
      </c>
      <c r="K4949" s="9">
        <f t="shared" ca="1" si="310"/>
        <v>45404.878290162036</v>
      </c>
      <c r="L4949" s="10">
        <f t="shared" ca="1" si="311"/>
        <v>45404.878290046297</v>
      </c>
    </row>
    <row r="4950" spans="6:12" x14ac:dyDescent="0.25">
      <c r="F4950" s="11" t="str">
        <f>IF(ISBLANK(D4950),"",(VLOOKUP(D4950,Cardápio!$A$2:$B$16,2,0))*E4950)</f>
        <v/>
      </c>
      <c r="H4950" s="7" t="str">
        <f t="shared" si="308"/>
        <v/>
      </c>
      <c r="I4950" s="7" t="str">
        <f>IF(AND(ISBLANK(D4950),ISBLANK(C4950)),"",((VLOOKUP(D4950,Cardápio!$A$2:$C$16,3,0))*E4950)+IF(B4950="iFood",F4950*0.27,(VLOOKUP(VENDAS!C4950,Bairros!$A$2:$B$90,2,0))))</f>
        <v/>
      </c>
      <c r="J4950" s="7" t="str">
        <f t="shared" si="309"/>
        <v/>
      </c>
      <c r="K4950" s="9">
        <f t="shared" ca="1" si="310"/>
        <v>45404.878290277775</v>
      </c>
      <c r="L4950" s="10">
        <f t="shared" ca="1" si="311"/>
        <v>45404.878290046297</v>
      </c>
    </row>
    <row r="4951" spans="6:12" x14ac:dyDescent="0.25">
      <c r="F4951" s="11" t="str">
        <f>IF(ISBLANK(D4951),"",(VLOOKUP(D4951,Cardápio!$A$2:$B$16,2,0))*E4951)</f>
        <v/>
      </c>
      <c r="H4951" s="7" t="str">
        <f t="shared" si="308"/>
        <v/>
      </c>
      <c r="I4951" s="7" t="str">
        <f>IF(AND(ISBLANK(D4951),ISBLANK(C4951)),"",((VLOOKUP(D4951,Cardápio!$A$2:$C$16,3,0))*E4951)+IF(B4951="iFood",F4951*0.27,(VLOOKUP(VENDAS!C4951,Bairros!$A$2:$B$90,2,0))))</f>
        <v/>
      </c>
      <c r="J4951" s="7" t="str">
        <f t="shared" si="309"/>
        <v/>
      </c>
      <c r="K4951" s="9">
        <f t="shared" ca="1" si="310"/>
        <v>45404.878290162036</v>
      </c>
      <c r="L4951" s="10">
        <f t="shared" ca="1" si="311"/>
        <v>45404.878290046297</v>
      </c>
    </row>
    <row r="4952" spans="6:12" x14ac:dyDescent="0.25">
      <c r="F4952" s="11" t="str">
        <f>IF(ISBLANK(D4952),"",(VLOOKUP(D4952,Cardápio!$A$2:$B$16,2,0))*E4952)</f>
        <v/>
      </c>
      <c r="H4952" s="7" t="str">
        <f t="shared" si="308"/>
        <v/>
      </c>
      <c r="I4952" s="7" t="str">
        <f>IF(AND(ISBLANK(D4952),ISBLANK(C4952)),"",((VLOOKUP(D4952,Cardápio!$A$2:$C$16,3,0))*E4952)+IF(B4952="iFood",F4952*0.27,(VLOOKUP(VENDAS!C4952,Bairros!$A$2:$B$90,2,0))))</f>
        <v/>
      </c>
      <c r="J4952" s="7" t="str">
        <f t="shared" si="309"/>
        <v/>
      </c>
      <c r="K4952" s="9">
        <f t="shared" ca="1" si="310"/>
        <v>45404.878290162036</v>
      </c>
      <c r="L4952" s="10">
        <f t="shared" ca="1" si="311"/>
        <v>45404.878290162036</v>
      </c>
    </row>
    <row r="4953" spans="6:12" x14ac:dyDescent="0.25">
      <c r="F4953" s="11" t="str">
        <f>IF(ISBLANK(D4953),"",(VLOOKUP(D4953,Cardápio!$A$2:$B$16,2,0))*E4953)</f>
        <v/>
      </c>
      <c r="H4953" s="7" t="str">
        <f t="shared" si="308"/>
        <v/>
      </c>
      <c r="I4953" s="7" t="str">
        <f>IF(AND(ISBLANK(D4953),ISBLANK(C4953)),"",((VLOOKUP(D4953,Cardápio!$A$2:$C$16,3,0))*E4953)+IF(B4953="iFood",F4953*0.27,(VLOOKUP(VENDAS!C4953,Bairros!$A$2:$B$90,2,0))))</f>
        <v/>
      </c>
      <c r="J4953" s="7" t="str">
        <f t="shared" si="309"/>
        <v/>
      </c>
      <c r="K4953" s="9">
        <f t="shared" ca="1" si="310"/>
        <v>45404.878290162036</v>
      </c>
      <c r="L4953" s="10">
        <f t="shared" ca="1" si="311"/>
        <v>45404.878290046297</v>
      </c>
    </row>
    <row r="4954" spans="6:12" x14ac:dyDescent="0.25">
      <c r="F4954" s="11" t="str">
        <f>IF(ISBLANK(D4954),"",(VLOOKUP(D4954,Cardápio!$A$2:$B$16,2,0))*E4954)</f>
        <v/>
      </c>
      <c r="H4954" s="7" t="str">
        <f t="shared" si="308"/>
        <v/>
      </c>
      <c r="I4954" s="7" t="str">
        <f>IF(AND(ISBLANK(D4954),ISBLANK(C4954)),"",((VLOOKUP(D4954,Cardápio!$A$2:$C$16,3,0))*E4954)+IF(B4954="iFood",F4954*0.27,(VLOOKUP(VENDAS!C4954,Bairros!$A$2:$B$90,2,0))))</f>
        <v/>
      </c>
      <c r="J4954" s="7" t="str">
        <f t="shared" si="309"/>
        <v/>
      </c>
      <c r="K4954" s="9">
        <f t="shared" ca="1" si="310"/>
        <v>45404.878290277775</v>
      </c>
      <c r="L4954" s="10">
        <f t="shared" ca="1" si="311"/>
        <v>45404.878290046297</v>
      </c>
    </row>
    <row r="4955" spans="6:12" x14ac:dyDescent="0.25">
      <c r="F4955" s="11" t="str">
        <f>IF(ISBLANK(D4955),"",(VLOOKUP(D4955,Cardápio!$A$2:$B$16,2,0))*E4955)</f>
        <v/>
      </c>
      <c r="H4955" s="7" t="str">
        <f t="shared" si="308"/>
        <v/>
      </c>
      <c r="I4955" s="7" t="str">
        <f>IF(AND(ISBLANK(D4955),ISBLANK(C4955)),"",((VLOOKUP(D4955,Cardápio!$A$2:$C$16,3,0))*E4955)+IF(B4955="iFood",F4955*0.27,(VLOOKUP(VENDAS!C4955,Bairros!$A$2:$B$90,2,0))))</f>
        <v/>
      </c>
      <c r="J4955" s="7" t="str">
        <f t="shared" si="309"/>
        <v/>
      </c>
      <c r="K4955" s="9">
        <f t="shared" ca="1" si="310"/>
        <v>45404.878290162036</v>
      </c>
      <c r="L4955" s="10">
        <f t="shared" ca="1" si="311"/>
        <v>45404.878290046297</v>
      </c>
    </row>
    <row r="4956" spans="6:12" x14ac:dyDescent="0.25">
      <c r="F4956" s="11" t="str">
        <f>IF(ISBLANK(D4956),"",(VLOOKUP(D4956,Cardápio!$A$2:$B$16,2,0))*E4956)</f>
        <v/>
      </c>
      <c r="H4956" s="7" t="str">
        <f t="shared" si="308"/>
        <v/>
      </c>
      <c r="I4956" s="7" t="str">
        <f>IF(AND(ISBLANK(D4956),ISBLANK(C4956)),"",((VLOOKUP(D4956,Cardápio!$A$2:$C$16,3,0))*E4956)+IF(B4956="iFood",F4956*0.27,(VLOOKUP(VENDAS!C4956,Bairros!$A$2:$B$90,2,0))))</f>
        <v/>
      </c>
      <c r="J4956" s="7" t="str">
        <f t="shared" si="309"/>
        <v/>
      </c>
      <c r="K4956" s="9">
        <f t="shared" ca="1" si="310"/>
        <v>45404.878290162036</v>
      </c>
      <c r="L4956" s="10">
        <f t="shared" ca="1" si="311"/>
        <v>45404.878290162036</v>
      </c>
    </row>
    <row r="4957" spans="6:12" x14ac:dyDescent="0.25">
      <c r="F4957" s="11" t="str">
        <f>IF(ISBLANK(D4957),"",(VLOOKUP(D4957,Cardápio!$A$2:$B$16,2,0))*E4957)</f>
        <v/>
      </c>
      <c r="H4957" s="7" t="str">
        <f t="shared" si="308"/>
        <v/>
      </c>
      <c r="I4957" s="7" t="str">
        <f>IF(AND(ISBLANK(D4957),ISBLANK(C4957)),"",((VLOOKUP(D4957,Cardápio!$A$2:$C$16,3,0))*E4957)+IF(B4957="iFood",F4957*0.27,(VLOOKUP(VENDAS!C4957,Bairros!$A$2:$B$90,2,0))))</f>
        <v/>
      </c>
      <c r="J4957" s="7" t="str">
        <f t="shared" si="309"/>
        <v/>
      </c>
      <c r="K4957" s="9">
        <f t="shared" ca="1" si="310"/>
        <v>45404.878290162036</v>
      </c>
      <c r="L4957" s="10">
        <f t="shared" ca="1" si="311"/>
        <v>45404.878290046297</v>
      </c>
    </row>
    <row r="4958" spans="6:12" x14ac:dyDescent="0.25">
      <c r="F4958" s="11" t="str">
        <f>IF(ISBLANK(D4958),"",(VLOOKUP(D4958,Cardápio!$A$2:$B$16,2,0))*E4958)</f>
        <v/>
      </c>
      <c r="H4958" s="7" t="str">
        <f t="shared" si="308"/>
        <v/>
      </c>
      <c r="I4958" s="7" t="str">
        <f>IF(AND(ISBLANK(D4958),ISBLANK(C4958)),"",((VLOOKUP(D4958,Cardápio!$A$2:$C$16,3,0))*E4958)+IF(B4958="iFood",F4958*0.27,(VLOOKUP(VENDAS!C4958,Bairros!$A$2:$B$90,2,0))))</f>
        <v/>
      </c>
      <c r="J4958" s="7" t="str">
        <f t="shared" si="309"/>
        <v/>
      </c>
      <c r="K4958" s="9">
        <f t="shared" ca="1" si="310"/>
        <v>45404.878290277775</v>
      </c>
      <c r="L4958" s="10">
        <f t="shared" ca="1" si="311"/>
        <v>45404.878290046297</v>
      </c>
    </row>
    <row r="4959" spans="6:12" x14ac:dyDescent="0.25">
      <c r="F4959" s="11" t="str">
        <f>IF(ISBLANK(D4959),"",(VLOOKUP(D4959,Cardápio!$A$2:$B$16,2,0))*E4959)</f>
        <v/>
      </c>
      <c r="H4959" s="7" t="str">
        <f t="shared" si="308"/>
        <v/>
      </c>
      <c r="I4959" s="7" t="str">
        <f>IF(AND(ISBLANK(D4959),ISBLANK(C4959)),"",((VLOOKUP(D4959,Cardápio!$A$2:$C$16,3,0))*E4959)+IF(B4959="iFood",F4959*0.27,(VLOOKUP(VENDAS!C4959,Bairros!$A$2:$B$90,2,0))))</f>
        <v/>
      </c>
      <c r="J4959" s="7" t="str">
        <f t="shared" si="309"/>
        <v/>
      </c>
      <c r="K4959" s="9">
        <f t="shared" ca="1" si="310"/>
        <v>45404.878290162036</v>
      </c>
      <c r="L4959" s="10">
        <f t="shared" ca="1" si="311"/>
        <v>45404.878290046297</v>
      </c>
    </row>
    <row r="4960" spans="6:12" x14ac:dyDescent="0.25">
      <c r="F4960" s="11" t="str">
        <f>IF(ISBLANK(D4960),"",(VLOOKUP(D4960,Cardápio!$A$2:$B$16,2,0))*E4960)</f>
        <v/>
      </c>
      <c r="H4960" s="7" t="str">
        <f t="shared" si="308"/>
        <v/>
      </c>
      <c r="I4960" s="7" t="str">
        <f>IF(AND(ISBLANK(D4960),ISBLANK(C4960)),"",((VLOOKUP(D4960,Cardápio!$A$2:$C$16,3,0))*E4960)+IF(B4960="iFood",F4960*0.27,(VLOOKUP(VENDAS!C4960,Bairros!$A$2:$B$90,2,0))))</f>
        <v/>
      </c>
      <c r="J4960" s="7" t="str">
        <f t="shared" si="309"/>
        <v/>
      </c>
      <c r="K4960" s="9">
        <f t="shared" ca="1" si="310"/>
        <v>45404.878290162036</v>
      </c>
      <c r="L4960" s="10">
        <f t="shared" ca="1" si="311"/>
        <v>45404.878290162036</v>
      </c>
    </row>
    <row r="4961" spans="6:12" x14ac:dyDescent="0.25">
      <c r="F4961" s="11" t="str">
        <f>IF(ISBLANK(D4961),"",(VLOOKUP(D4961,Cardápio!$A$2:$B$16,2,0))*E4961)</f>
        <v/>
      </c>
      <c r="H4961" s="7" t="str">
        <f t="shared" si="308"/>
        <v/>
      </c>
      <c r="I4961" s="7" t="str">
        <f>IF(AND(ISBLANK(D4961),ISBLANK(C4961)),"",((VLOOKUP(D4961,Cardápio!$A$2:$C$16,3,0))*E4961)+IF(B4961="iFood",F4961*0.27,(VLOOKUP(VENDAS!C4961,Bairros!$A$2:$B$90,2,0))))</f>
        <v/>
      </c>
      <c r="J4961" s="7" t="str">
        <f t="shared" si="309"/>
        <v/>
      </c>
      <c r="K4961" s="9">
        <f t="shared" ca="1" si="310"/>
        <v>45404.878290162036</v>
      </c>
      <c r="L4961" s="10">
        <f t="shared" ca="1" si="311"/>
        <v>45404.878290046297</v>
      </c>
    </row>
    <row r="4962" spans="6:12" x14ac:dyDescent="0.25">
      <c r="F4962" s="11" t="str">
        <f>IF(ISBLANK(D4962),"",(VLOOKUP(D4962,Cardápio!$A$2:$B$16,2,0))*E4962)</f>
        <v/>
      </c>
      <c r="H4962" s="7" t="str">
        <f t="shared" si="308"/>
        <v/>
      </c>
      <c r="I4962" s="7" t="str">
        <f>IF(AND(ISBLANK(D4962),ISBLANK(C4962)),"",((VLOOKUP(D4962,Cardápio!$A$2:$C$16,3,0))*E4962)+IF(B4962="iFood",F4962*0.27,(VLOOKUP(VENDAS!C4962,Bairros!$A$2:$B$90,2,0))))</f>
        <v/>
      </c>
      <c r="J4962" s="7" t="str">
        <f t="shared" si="309"/>
        <v/>
      </c>
      <c r="K4962" s="9">
        <f t="shared" ca="1" si="310"/>
        <v>45404.878290277775</v>
      </c>
      <c r="L4962" s="10">
        <f t="shared" ca="1" si="311"/>
        <v>45404.878290046297</v>
      </c>
    </row>
    <row r="4963" spans="6:12" x14ac:dyDescent="0.25">
      <c r="F4963" s="11" t="str">
        <f>IF(ISBLANK(D4963),"",(VLOOKUP(D4963,Cardápio!$A$2:$B$16,2,0))*E4963)</f>
        <v/>
      </c>
      <c r="H4963" s="7" t="str">
        <f t="shared" si="308"/>
        <v/>
      </c>
      <c r="I4963" s="7" t="str">
        <f>IF(AND(ISBLANK(D4963),ISBLANK(C4963)),"",((VLOOKUP(D4963,Cardápio!$A$2:$C$16,3,0))*E4963)+IF(B4963="iFood",F4963*0.27,(VLOOKUP(VENDAS!C4963,Bairros!$A$2:$B$90,2,0))))</f>
        <v/>
      </c>
      <c r="J4963" s="7" t="str">
        <f t="shared" si="309"/>
        <v/>
      </c>
      <c r="K4963" s="9">
        <f t="shared" ca="1" si="310"/>
        <v>45404.878290162036</v>
      </c>
      <c r="L4963" s="10">
        <f t="shared" ca="1" si="311"/>
        <v>45404.878290046297</v>
      </c>
    </row>
    <row r="4964" spans="6:12" x14ac:dyDescent="0.25">
      <c r="F4964" s="11" t="str">
        <f>IF(ISBLANK(D4964),"",(VLOOKUP(D4964,Cardápio!$A$2:$B$16,2,0))*E4964)</f>
        <v/>
      </c>
      <c r="H4964" s="7" t="str">
        <f t="shared" si="308"/>
        <v/>
      </c>
      <c r="I4964" s="7" t="str">
        <f>IF(AND(ISBLANK(D4964),ISBLANK(C4964)),"",((VLOOKUP(D4964,Cardápio!$A$2:$C$16,3,0))*E4964)+IF(B4964="iFood",F4964*0.27,(VLOOKUP(VENDAS!C4964,Bairros!$A$2:$B$90,2,0))))</f>
        <v/>
      </c>
      <c r="J4964" s="7" t="str">
        <f t="shared" si="309"/>
        <v/>
      </c>
      <c r="K4964" s="9">
        <f t="shared" ca="1" si="310"/>
        <v>45404.878290162036</v>
      </c>
      <c r="L4964" s="10">
        <f t="shared" ca="1" si="311"/>
        <v>45404.878290162036</v>
      </c>
    </row>
    <row r="4965" spans="6:12" x14ac:dyDescent="0.25">
      <c r="F4965" s="11" t="str">
        <f>IF(ISBLANK(D4965),"",(VLOOKUP(D4965,Cardápio!$A$2:$B$16,2,0))*E4965)</f>
        <v/>
      </c>
      <c r="H4965" s="7" t="str">
        <f t="shared" si="308"/>
        <v/>
      </c>
      <c r="I4965" s="7" t="str">
        <f>IF(AND(ISBLANK(D4965),ISBLANK(C4965)),"",((VLOOKUP(D4965,Cardápio!$A$2:$C$16,3,0))*E4965)+IF(B4965="iFood",F4965*0.27,(VLOOKUP(VENDAS!C4965,Bairros!$A$2:$B$90,2,0))))</f>
        <v/>
      </c>
      <c r="J4965" s="7" t="str">
        <f t="shared" si="309"/>
        <v/>
      </c>
      <c r="K4965" s="9">
        <f t="shared" ca="1" si="310"/>
        <v>45404.878290162036</v>
      </c>
      <c r="L4965" s="10">
        <f t="shared" ca="1" si="311"/>
        <v>45404.878290046297</v>
      </c>
    </row>
    <row r="4966" spans="6:12" x14ac:dyDescent="0.25">
      <c r="F4966" s="11" t="str">
        <f>IF(ISBLANK(D4966),"",(VLOOKUP(D4966,Cardápio!$A$2:$B$16,2,0))*E4966)</f>
        <v/>
      </c>
      <c r="H4966" s="7" t="str">
        <f t="shared" si="308"/>
        <v/>
      </c>
      <c r="I4966" s="7" t="str">
        <f>IF(AND(ISBLANK(D4966),ISBLANK(C4966)),"",((VLOOKUP(D4966,Cardápio!$A$2:$C$16,3,0))*E4966)+IF(B4966="iFood",F4966*0.27,(VLOOKUP(VENDAS!C4966,Bairros!$A$2:$B$90,2,0))))</f>
        <v/>
      </c>
      <c r="J4966" s="7" t="str">
        <f t="shared" si="309"/>
        <v/>
      </c>
      <c r="K4966" s="9">
        <f t="shared" ca="1" si="310"/>
        <v>45404.878290277775</v>
      </c>
      <c r="L4966" s="10">
        <f t="shared" ca="1" si="311"/>
        <v>45404.878290046297</v>
      </c>
    </row>
    <row r="4967" spans="6:12" x14ac:dyDescent="0.25">
      <c r="F4967" s="11" t="str">
        <f>IF(ISBLANK(D4967),"",(VLOOKUP(D4967,Cardápio!$A$2:$B$16,2,0))*E4967)</f>
        <v/>
      </c>
      <c r="H4967" s="7" t="str">
        <f t="shared" si="308"/>
        <v/>
      </c>
      <c r="I4967" s="7" t="str">
        <f>IF(AND(ISBLANK(D4967),ISBLANK(C4967)),"",((VLOOKUP(D4967,Cardápio!$A$2:$C$16,3,0))*E4967)+IF(B4967="iFood",F4967*0.27,(VLOOKUP(VENDAS!C4967,Bairros!$A$2:$B$90,2,0))))</f>
        <v/>
      </c>
      <c r="J4967" s="7" t="str">
        <f t="shared" si="309"/>
        <v/>
      </c>
      <c r="K4967" s="9">
        <f t="shared" ca="1" si="310"/>
        <v>45404.878290162036</v>
      </c>
      <c r="L4967" s="10">
        <f t="shared" ca="1" si="311"/>
        <v>45404.878290046297</v>
      </c>
    </row>
    <row r="4968" spans="6:12" x14ac:dyDescent="0.25">
      <c r="F4968" s="11" t="str">
        <f>IF(ISBLANK(D4968),"",(VLOOKUP(D4968,Cardápio!$A$2:$B$16,2,0))*E4968)</f>
        <v/>
      </c>
      <c r="H4968" s="7" t="str">
        <f t="shared" si="308"/>
        <v/>
      </c>
      <c r="I4968" s="7" t="str">
        <f>IF(AND(ISBLANK(D4968),ISBLANK(C4968)),"",((VLOOKUP(D4968,Cardápio!$A$2:$C$16,3,0))*E4968)+IF(B4968="iFood",F4968*0.27,(VLOOKUP(VENDAS!C4968,Bairros!$A$2:$B$90,2,0))))</f>
        <v/>
      </c>
      <c r="J4968" s="7" t="str">
        <f t="shared" si="309"/>
        <v/>
      </c>
      <c r="K4968" s="9">
        <f t="shared" ca="1" si="310"/>
        <v>45404.878290162036</v>
      </c>
      <c r="L4968" s="10">
        <f t="shared" ca="1" si="311"/>
        <v>45404.878290162036</v>
      </c>
    </row>
    <row r="4969" spans="6:12" x14ac:dyDescent="0.25">
      <c r="F4969" s="11" t="str">
        <f>IF(ISBLANK(D4969),"",(VLOOKUP(D4969,Cardápio!$A$2:$B$16,2,0))*E4969)</f>
        <v/>
      </c>
      <c r="H4969" s="7" t="str">
        <f t="shared" si="308"/>
        <v/>
      </c>
      <c r="I4969" s="7" t="str">
        <f>IF(AND(ISBLANK(D4969),ISBLANK(C4969)),"",((VLOOKUP(D4969,Cardápio!$A$2:$C$16,3,0))*E4969)+IF(B4969="iFood",F4969*0.27,(VLOOKUP(VENDAS!C4969,Bairros!$A$2:$B$90,2,0))))</f>
        <v/>
      </c>
      <c r="J4969" s="7" t="str">
        <f t="shared" si="309"/>
        <v/>
      </c>
      <c r="K4969" s="9">
        <f t="shared" ca="1" si="310"/>
        <v>45404.878290162036</v>
      </c>
      <c r="L4969" s="10">
        <f t="shared" ca="1" si="311"/>
        <v>45404.878290046297</v>
      </c>
    </row>
    <row r="4970" spans="6:12" x14ac:dyDescent="0.25">
      <c r="F4970" s="11" t="str">
        <f>IF(ISBLANK(D4970),"",(VLOOKUP(D4970,Cardápio!$A$2:$B$16,2,0))*E4970)</f>
        <v/>
      </c>
      <c r="H4970" s="7" t="str">
        <f t="shared" si="308"/>
        <v/>
      </c>
      <c r="I4970" s="7" t="str">
        <f>IF(AND(ISBLANK(D4970),ISBLANK(C4970)),"",((VLOOKUP(D4970,Cardápio!$A$2:$C$16,3,0))*E4970)+IF(B4970="iFood",F4970*0.27,(VLOOKUP(VENDAS!C4970,Bairros!$A$2:$B$90,2,0))))</f>
        <v/>
      </c>
      <c r="J4970" s="7" t="str">
        <f t="shared" si="309"/>
        <v/>
      </c>
      <c r="K4970" s="9">
        <f t="shared" ca="1" si="310"/>
        <v>45404.878290277775</v>
      </c>
      <c r="L4970" s="10">
        <f t="shared" ca="1" si="311"/>
        <v>45404.878290046297</v>
      </c>
    </row>
    <row r="4971" spans="6:12" x14ac:dyDescent="0.25">
      <c r="F4971" s="11" t="str">
        <f>IF(ISBLANK(D4971),"",(VLOOKUP(D4971,Cardápio!$A$2:$B$16,2,0))*E4971)</f>
        <v/>
      </c>
      <c r="H4971" s="7" t="str">
        <f t="shared" si="308"/>
        <v/>
      </c>
      <c r="I4971" s="7" t="str">
        <f>IF(AND(ISBLANK(D4971),ISBLANK(C4971)),"",((VLOOKUP(D4971,Cardápio!$A$2:$C$16,3,0))*E4971)+IF(B4971="iFood",F4971*0.27,(VLOOKUP(VENDAS!C4971,Bairros!$A$2:$B$90,2,0))))</f>
        <v/>
      </c>
      <c r="J4971" s="7" t="str">
        <f t="shared" si="309"/>
        <v/>
      </c>
      <c r="K4971" s="9">
        <f t="shared" ca="1" si="310"/>
        <v>45404.878290162036</v>
      </c>
      <c r="L4971" s="10">
        <f t="shared" ca="1" si="311"/>
        <v>45404.878290046297</v>
      </c>
    </row>
    <row r="4972" spans="6:12" x14ac:dyDescent="0.25">
      <c r="F4972" s="11" t="str">
        <f>IF(ISBLANK(D4972),"",(VLOOKUP(D4972,Cardápio!$A$2:$B$16,2,0))*E4972)</f>
        <v/>
      </c>
      <c r="H4972" s="7" t="str">
        <f t="shared" si="308"/>
        <v/>
      </c>
      <c r="I4972" s="7" t="str">
        <f>IF(AND(ISBLANK(D4972),ISBLANK(C4972)),"",((VLOOKUP(D4972,Cardápio!$A$2:$C$16,3,0))*E4972)+IF(B4972="iFood",F4972*0.27,(VLOOKUP(VENDAS!C4972,Bairros!$A$2:$B$90,2,0))))</f>
        <v/>
      </c>
      <c r="J4972" s="7" t="str">
        <f t="shared" si="309"/>
        <v/>
      </c>
      <c r="K4972" s="9">
        <f t="shared" ca="1" si="310"/>
        <v>45404.878290162036</v>
      </c>
      <c r="L4972" s="10">
        <f t="shared" ca="1" si="311"/>
        <v>45404.878290162036</v>
      </c>
    </row>
    <row r="4973" spans="6:12" x14ac:dyDescent="0.25">
      <c r="F4973" s="11" t="str">
        <f>IF(ISBLANK(D4973),"",(VLOOKUP(D4973,Cardápio!$A$2:$B$16,2,0))*E4973)</f>
        <v/>
      </c>
      <c r="H4973" s="7" t="str">
        <f t="shared" si="308"/>
        <v/>
      </c>
      <c r="I4973" s="7" t="str">
        <f>IF(AND(ISBLANK(D4973),ISBLANK(C4973)),"",((VLOOKUP(D4973,Cardápio!$A$2:$C$16,3,0))*E4973)+IF(B4973="iFood",F4973*0.27,(VLOOKUP(VENDAS!C4973,Bairros!$A$2:$B$90,2,0))))</f>
        <v/>
      </c>
      <c r="J4973" s="7" t="str">
        <f t="shared" si="309"/>
        <v/>
      </c>
      <c r="K4973" s="9">
        <f t="shared" ca="1" si="310"/>
        <v>45404.878290162036</v>
      </c>
      <c r="L4973" s="10">
        <f t="shared" ca="1" si="311"/>
        <v>45404.878290046297</v>
      </c>
    </row>
    <row r="4974" spans="6:12" x14ac:dyDescent="0.25">
      <c r="F4974" s="11" t="str">
        <f>IF(ISBLANK(D4974),"",(VLOOKUP(D4974,Cardápio!$A$2:$B$16,2,0))*E4974)</f>
        <v/>
      </c>
      <c r="H4974" s="7" t="str">
        <f t="shared" si="308"/>
        <v/>
      </c>
      <c r="I4974" s="7" t="str">
        <f>IF(AND(ISBLANK(D4974),ISBLANK(C4974)),"",((VLOOKUP(D4974,Cardápio!$A$2:$C$16,3,0))*E4974)+IF(B4974="iFood",F4974*0.27,(VLOOKUP(VENDAS!C4974,Bairros!$A$2:$B$90,2,0))))</f>
        <v/>
      </c>
      <c r="J4974" s="7" t="str">
        <f t="shared" si="309"/>
        <v/>
      </c>
      <c r="K4974" s="9">
        <f t="shared" ca="1" si="310"/>
        <v>45404.878290277775</v>
      </c>
      <c r="L4974" s="10">
        <f t="shared" ca="1" si="311"/>
        <v>45404.878290046297</v>
      </c>
    </row>
    <row r="4975" spans="6:12" x14ac:dyDescent="0.25">
      <c r="F4975" s="11" t="str">
        <f>IF(ISBLANK(D4975),"",(VLOOKUP(D4975,Cardápio!$A$2:$B$16,2,0))*E4975)</f>
        <v/>
      </c>
      <c r="H4975" s="7" t="str">
        <f t="shared" si="308"/>
        <v/>
      </c>
      <c r="I4975" s="7" t="str">
        <f>IF(AND(ISBLANK(D4975),ISBLANK(C4975)),"",((VLOOKUP(D4975,Cardápio!$A$2:$C$16,3,0))*E4975)+IF(B4975="iFood",F4975*0.27,(VLOOKUP(VENDAS!C4975,Bairros!$A$2:$B$90,2,0))))</f>
        <v/>
      </c>
      <c r="J4975" s="7" t="str">
        <f t="shared" si="309"/>
        <v/>
      </c>
      <c r="K4975" s="9">
        <f t="shared" ca="1" si="310"/>
        <v>45404.878290162036</v>
      </c>
      <c r="L4975" s="10">
        <f t="shared" ca="1" si="311"/>
        <v>45404.878290046297</v>
      </c>
    </row>
    <row r="4976" spans="6:12" x14ac:dyDescent="0.25">
      <c r="F4976" s="11" t="str">
        <f>IF(ISBLANK(D4976),"",(VLOOKUP(D4976,Cardápio!$A$2:$B$16,2,0))*E4976)</f>
        <v/>
      </c>
      <c r="H4976" s="7" t="str">
        <f t="shared" si="308"/>
        <v/>
      </c>
      <c r="I4976" s="7" t="str">
        <f>IF(AND(ISBLANK(D4976),ISBLANK(C4976)),"",((VLOOKUP(D4976,Cardápio!$A$2:$C$16,3,0))*E4976)+IF(B4976="iFood",F4976*0.27,(VLOOKUP(VENDAS!C4976,Bairros!$A$2:$B$90,2,0))))</f>
        <v/>
      </c>
      <c r="J4976" s="7" t="str">
        <f t="shared" si="309"/>
        <v/>
      </c>
      <c r="K4976" s="9">
        <f t="shared" ca="1" si="310"/>
        <v>45404.878290162036</v>
      </c>
      <c r="L4976" s="10">
        <f t="shared" ca="1" si="311"/>
        <v>45404.878290162036</v>
      </c>
    </row>
    <row r="4977" spans="6:12" x14ac:dyDescent="0.25">
      <c r="F4977" s="11" t="str">
        <f>IF(ISBLANK(D4977),"",(VLOOKUP(D4977,Cardápio!$A$2:$B$16,2,0))*E4977)</f>
        <v/>
      </c>
      <c r="H4977" s="7" t="str">
        <f t="shared" si="308"/>
        <v/>
      </c>
      <c r="I4977" s="7" t="str">
        <f>IF(AND(ISBLANK(D4977),ISBLANK(C4977)),"",((VLOOKUP(D4977,Cardápio!$A$2:$C$16,3,0))*E4977)+IF(B4977="iFood",F4977*0.27,(VLOOKUP(VENDAS!C4977,Bairros!$A$2:$B$90,2,0))))</f>
        <v/>
      </c>
      <c r="J4977" s="7" t="str">
        <f t="shared" si="309"/>
        <v/>
      </c>
      <c r="K4977" s="9">
        <f t="shared" ca="1" si="310"/>
        <v>45404.878290162036</v>
      </c>
      <c r="L4977" s="10">
        <f t="shared" ca="1" si="311"/>
        <v>45404.878290046297</v>
      </c>
    </row>
    <row r="4978" spans="6:12" x14ac:dyDescent="0.25">
      <c r="F4978" s="11" t="str">
        <f>IF(ISBLANK(D4978),"",(VLOOKUP(D4978,Cardápio!$A$2:$B$16,2,0))*E4978)</f>
        <v/>
      </c>
      <c r="H4978" s="7" t="str">
        <f t="shared" si="308"/>
        <v/>
      </c>
      <c r="I4978" s="7" t="str">
        <f>IF(AND(ISBLANK(D4978),ISBLANK(C4978)),"",((VLOOKUP(D4978,Cardápio!$A$2:$C$16,3,0))*E4978)+IF(B4978="iFood",F4978*0.27,(VLOOKUP(VENDAS!C4978,Bairros!$A$2:$B$90,2,0))))</f>
        <v/>
      </c>
      <c r="J4978" s="7" t="str">
        <f t="shared" si="309"/>
        <v/>
      </c>
      <c r="K4978" s="9">
        <f t="shared" ca="1" si="310"/>
        <v>45404.878290277775</v>
      </c>
      <c r="L4978" s="10">
        <f t="shared" ca="1" si="311"/>
        <v>45404.878290046297</v>
      </c>
    </row>
    <row r="4979" spans="6:12" x14ac:dyDescent="0.25">
      <c r="F4979" s="11" t="str">
        <f>IF(ISBLANK(D4979),"",(VLOOKUP(D4979,Cardápio!$A$2:$B$16,2,0))*E4979)</f>
        <v/>
      </c>
      <c r="H4979" s="7" t="str">
        <f t="shared" si="308"/>
        <v/>
      </c>
      <c r="I4979" s="7" t="str">
        <f>IF(AND(ISBLANK(D4979),ISBLANK(C4979)),"",((VLOOKUP(D4979,Cardápio!$A$2:$C$16,3,0))*E4979)+IF(B4979="iFood",F4979*0.27,(VLOOKUP(VENDAS!C4979,Bairros!$A$2:$B$90,2,0))))</f>
        <v/>
      </c>
      <c r="J4979" s="7" t="str">
        <f t="shared" si="309"/>
        <v/>
      </c>
      <c r="K4979" s="9">
        <f t="shared" ca="1" si="310"/>
        <v>45404.878290162036</v>
      </c>
      <c r="L4979" s="10">
        <f t="shared" ca="1" si="311"/>
        <v>45404.878290046297</v>
      </c>
    </row>
    <row r="4980" spans="6:12" x14ac:dyDescent="0.25">
      <c r="F4980" s="11" t="str">
        <f>IF(ISBLANK(D4980),"",(VLOOKUP(D4980,Cardápio!$A$2:$B$16,2,0))*E4980)</f>
        <v/>
      </c>
      <c r="H4980" s="7" t="str">
        <f t="shared" si="308"/>
        <v/>
      </c>
      <c r="I4980" s="7" t="str">
        <f>IF(AND(ISBLANK(D4980),ISBLANK(C4980)),"",((VLOOKUP(D4980,Cardápio!$A$2:$C$16,3,0))*E4980)+IF(B4980="iFood",F4980*0.27,(VLOOKUP(VENDAS!C4980,Bairros!$A$2:$B$90,2,0))))</f>
        <v/>
      </c>
      <c r="J4980" s="7" t="str">
        <f t="shared" si="309"/>
        <v/>
      </c>
      <c r="K4980" s="9">
        <f t="shared" ca="1" si="310"/>
        <v>45404.878290162036</v>
      </c>
      <c r="L4980" s="10">
        <f t="shared" ca="1" si="311"/>
        <v>45404.878290162036</v>
      </c>
    </row>
    <row r="4981" spans="6:12" x14ac:dyDescent="0.25">
      <c r="F4981" s="11" t="str">
        <f>IF(ISBLANK(D4981),"",(VLOOKUP(D4981,Cardápio!$A$2:$B$16,2,0))*E4981)</f>
        <v/>
      </c>
      <c r="H4981" s="7" t="str">
        <f t="shared" ref="H4981:H4986" si="312">IF(ISBLANK(D4981),"",F4981-G4981)</f>
        <v/>
      </c>
      <c r="I4981" s="7" t="str">
        <f>IF(AND(ISBLANK(D4981),ISBLANK(C4981)),"",((VLOOKUP(D4981,Cardápio!$A$2:$C$16,3,0))*E4981)+IF(B4981="iFood",F4981*0.27,(VLOOKUP(VENDAS!C4981,Bairros!$A$2:$B$90,2,0))))</f>
        <v/>
      </c>
      <c r="J4981" s="7" t="str">
        <f t="shared" ref="J4981:J4986" si="313">IF(OR(AND(ISBLANK(H4981),ISBLANK(I4981)),(AND(H4981="",I4981=""))),"",H4981-I4981)</f>
        <v/>
      </c>
      <c r="K4981" s="9">
        <f t="shared" ref="K4981:K4986" ca="1" si="314">IF(D4981&lt;&gt;"",K4981,NOW())</f>
        <v>45404.878290162036</v>
      </c>
      <c r="L4981" s="10">
        <f t="shared" ref="L4981:L4986" ca="1" si="315">IF(D4981&lt;&gt;"",L4981,NOW())</f>
        <v>45404.878290046297</v>
      </c>
    </row>
    <row r="4982" spans="6:12" x14ac:dyDescent="0.25">
      <c r="F4982" s="11" t="str">
        <f>IF(ISBLANK(D4982),"",(VLOOKUP(D4982,Cardápio!$A$2:$B$16,2,0))*E4982)</f>
        <v/>
      </c>
      <c r="H4982" s="7" t="str">
        <f t="shared" si="312"/>
        <v/>
      </c>
      <c r="I4982" s="7" t="str">
        <f>IF(AND(ISBLANK(D4982),ISBLANK(C4982)),"",((VLOOKUP(D4982,Cardápio!$A$2:$C$16,3,0))*E4982)+IF(B4982="iFood",F4982*0.27,(VLOOKUP(VENDAS!C4982,Bairros!$A$2:$B$90,2,0))))</f>
        <v/>
      </c>
      <c r="J4982" s="7" t="str">
        <f t="shared" si="313"/>
        <v/>
      </c>
      <c r="K4982" s="9">
        <f t="shared" ca="1" si="314"/>
        <v>45404.878290277775</v>
      </c>
      <c r="L4982" s="10">
        <f t="shared" ca="1" si="315"/>
        <v>45404.878290046297</v>
      </c>
    </row>
    <row r="4983" spans="6:12" x14ac:dyDescent="0.25">
      <c r="F4983" s="11" t="str">
        <f>IF(ISBLANK(D4983),"",(VLOOKUP(D4983,Cardápio!$A$2:$B$16,2,0))*E4983)</f>
        <v/>
      </c>
      <c r="H4983" s="7" t="str">
        <f t="shared" si="312"/>
        <v/>
      </c>
      <c r="I4983" s="7" t="str">
        <f>IF(AND(ISBLANK(D4983),ISBLANK(C4983)),"",((VLOOKUP(D4983,Cardápio!$A$2:$C$16,3,0))*E4983)+IF(B4983="iFood",F4983*0.27,(VLOOKUP(VENDAS!C4983,Bairros!$A$2:$B$90,2,0))))</f>
        <v/>
      </c>
      <c r="J4983" s="7" t="str">
        <f t="shared" si="313"/>
        <v/>
      </c>
      <c r="K4983" s="9">
        <f t="shared" ca="1" si="314"/>
        <v>45404.878290162036</v>
      </c>
      <c r="L4983" s="10">
        <f t="shared" ca="1" si="315"/>
        <v>45404.878290046297</v>
      </c>
    </row>
    <row r="4984" spans="6:12" x14ac:dyDescent="0.25">
      <c r="F4984" s="11" t="str">
        <f>IF(ISBLANK(D4984),"",(VLOOKUP(D4984,Cardápio!$A$2:$B$16,2,0))*E4984)</f>
        <v/>
      </c>
      <c r="H4984" s="7" t="str">
        <f t="shared" si="312"/>
        <v/>
      </c>
      <c r="I4984" s="7" t="str">
        <f>IF(AND(ISBLANK(D4984),ISBLANK(C4984)),"",((VLOOKUP(D4984,Cardápio!$A$2:$C$16,3,0))*E4984)+IF(B4984="iFood",F4984*0.27,(VLOOKUP(VENDAS!C4984,Bairros!$A$2:$B$90,2,0))))</f>
        <v/>
      </c>
      <c r="J4984" s="7" t="str">
        <f t="shared" si="313"/>
        <v/>
      </c>
      <c r="K4984" s="9">
        <f t="shared" ca="1" si="314"/>
        <v>45404.878290162036</v>
      </c>
      <c r="L4984" s="10">
        <f t="shared" ca="1" si="315"/>
        <v>45404.878290162036</v>
      </c>
    </row>
    <row r="4985" spans="6:12" x14ac:dyDescent="0.25">
      <c r="F4985" s="11" t="str">
        <f>IF(ISBLANK(D4985),"",(VLOOKUP(D4985,Cardápio!$A$2:$B$16,2,0))*E4985)</f>
        <v/>
      </c>
      <c r="H4985" s="7" t="str">
        <f t="shared" si="312"/>
        <v/>
      </c>
      <c r="I4985" s="7" t="str">
        <f>IF(AND(ISBLANK(D4985),ISBLANK(C4985)),"",((VLOOKUP(D4985,Cardápio!$A$2:$C$16,3,0))*E4985)+IF(B4985="iFood",F4985*0.27,(VLOOKUP(VENDAS!C4985,Bairros!$A$2:$B$90,2,0))))</f>
        <v/>
      </c>
      <c r="J4985" s="7" t="str">
        <f t="shared" si="313"/>
        <v/>
      </c>
      <c r="K4985" s="9">
        <f t="shared" ca="1" si="314"/>
        <v>45404.878290162036</v>
      </c>
      <c r="L4985" s="10">
        <f t="shared" ca="1" si="315"/>
        <v>45404.878290046297</v>
      </c>
    </row>
    <row r="4986" spans="6:12" x14ac:dyDescent="0.25">
      <c r="F4986" s="11" t="str">
        <f>IF(ISBLANK(D4986),"",(VLOOKUP(D4986,Cardápio!$A$2:$B$16,2,0))*E4986)</f>
        <v/>
      </c>
      <c r="H4986" s="7" t="str">
        <f t="shared" si="312"/>
        <v/>
      </c>
      <c r="I4986" s="7" t="str">
        <f>IF(AND(ISBLANK(D4986),ISBLANK(C4986)),"",((VLOOKUP(D4986,Cardápio!$A$2:$C$16,3,0))*E4986)+IF(B4986="iFood",F4986*0.27,(VLOOKUP(VENDAS!C4986,Bairros!$A$2:$B$90,2,0))))</f>
        <v/>
      </c>
      <c r="J4986" s="7" t="str">
        <f t="shared" si="313"/>
        <v/>
      </c>
      <c r="K4986" s="9">
        <f t="shared" ca="1" si="314"/>
        <v>45404.878290277775</v>
      </c>
      <c r="L4986" s="10">
        <f t="shared" ca="1" si="315"/>
        <v>45404.878290046297</v>
      </c>
    </row>
  </sheetData>
  <conditionalFormatting sqref="L3:L4986">
    <cfRule type="expression" dxfId="1" priority="2">
      <formula>J3=""</formula>
    </cfRule>
  </conditionalFormatting>
  <conditionalFormatting sqref="K3:K4986">
    <cfRule type="expression" dxfId="0" priority="1">
      <formula>$J3=""</formula>
    </cfRule>
  </conditionalFormatting>
  <dataValidations count="1">
    <dataValidation type="list" allowBlank="1" showInputMessage="1" showErrorMessage="1" sqref="B3:B4986">
      <formula1>TipoVenda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IncrementarIDVendaHMM">
                <anchor moveWithCells="1" sizeWithCells="1">
                  <from>
                    <xdr:col>0</xdr:col>
                    <xdr:colOff>190500</xdr:colOff>
                    <xdr:row>0</xdr:row>
                    <xdr:rowOff>180975</xdr:rowOff>
                  </from>
                  <to>
                    <xdr:col>1</xdr:col>
                    <xdr:colOff>742950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Bairros!$A$2:$A$90</xm:f>
          </x14:formula1>
          <xm:sqref>C3:C4986</xm:sqref>
        </x14:dataValidation>
        <x14:dataValidation type="list" allowBlank="1" showInputMessage="1" showErrorMessage="1">
          <x14:formula1>
            <xm:f>Cardápio!$A$2:$A$150</xm:f>
          </x14:formula1>
          <xm:sqref>D3:D4986</xm:sqref>
        </x14:dataValidation>
        <x14:dataValidation type="list" allowBlank="1" showInputMessage="1" showErrorMessage="1">
          <x14:formula1>
            <xm:f>Quantidade!$A$1:$A$50</xm:f>
          </x14:formula1>
          <xm:sqref>E3:E4986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17"/>
  <sheetViews>
    <sheetView workbookViewId="0">
      <selection activeCell="B16" sqref="B16"/>
    </sheetView>
  </sheetViews>
  <sheetFormatPr defaultRowHeight="15" x14ac:dyDescent="0.25"/>
  <cols>
    <col min="1" max="1" width="18.42578125" bestFit="1" customWidth="1"/>
    <col min="2" max="2" width="13" style="3" customWidth="1"/>
  </cols>
  <sheetData>
    <row r="1" spans="1:3" x14ac:dyDescent="0.25">
      <c r="A1" s="4" t="s">
        <v>85</v>
      </c>
      <c r="B1" s="5" t="s">
        <v>103</v>
      </c>
      <c r="C1" s="4" t="s">
        <v>102</v>
      </c>
    </row>
    <row r="2" spans="1:3" x14ac:dyDescent="0.25">
      <c r="A2" t="s">
        <v>109</v>
      </c>
      <c r="B2" s="3">
        <v>19</v>
      </c>
      <c r="C2" s="15">
        <v>6.5</v>
      </c>
    </row>
    <row r="3" spans="1:3" x14ac:dyDescent="0.25">
      <c r="A3" t="s">
        <v>110</v>
      </c>
      <c r="B3" s="3">
        <v>21</v>
      </c>
      <c r="C3" s="15">
        <v>7</v>
      </c>
    </row>
    <row r="4" spans="1:3" x14ac:dyDescent="0.25">
      <c r="A4" t="s">
        <v>111</v>
      </c>
      <c r="B4" s="3">
        <v>24</v>
      </c>
      <c r="C4" s="15">
        <v>6.9</v>
      </c>
    </row>
    <row r="5" spans="1:3" x14ac:dyDescent="0.25">
      <c r="A5" t="s">
        <v>112</v>
      </c>
      <c r="B5" s="3">
        <v>27</v>
      </c>
      <c r="C5" s="15">
        <v>6.9</v>
      </c>
    </row>
    <row r="6" spans="1:3" x14ac:dyDescent="0.25">
      <c r="A6" t="s">
        <v>113</v>
      </c>
      <c r="B6" s="3">
        <v>31</v>
      </c>
      <c r="C6" s="15">
        <v>6.9</v>
      </c>
    </row>
    <row r="7" spans="1:3" x14ac:dyDescent="0.25">
      <c r="A7" t="s">
        <v>114</v>
      </c>
      <c r="B7" s="3">
        <v>35</v>
      </c>
      <c r="C7" s="15">
        <v>6.9</v>
      </c>
    </row>
    <row r="8" spans="1:3" x14ac:dyDescent="0.25">
      <c r="A8" t="s">
        <v>115</v>
      </c>
      <c r="B8" s="3">
        <v>43</v>
      </c>
      <c r="C8" s="15">
        <v>6.9</v>
      </c>
    </row>
    <row r="9" spans="1:3" x14ac:dyDescent="0.25">
      <c r="A9" t="s">
        <v>116</v>
      </c>
      <c r="B9" s="3">
        <v>49</v>
      </c>
      <c r="C9" s="15">
        <v>6.9</v>
      </c>
    </row>
    <row r="10" spans="1:3" x14ac:dyDescent="0.25">
      <c r="A10" t="s">
        <v>117</v>
      </c>
      <c r="B10" s="3">
        <v>60</v>
      </c>
      <c r="C10" s="15">
        <v>6.9</v>
      </c>
    </row>
    <row r="11" spans="1:3" x14ac:dyDescent="0.25">
      <c r="A11" t="s">
        <v>118</v>
      </c>
      <c r="B11" s="3">
        <v>75</v>
      </c>
      <c r="C11" s="15">
        <v>6.9</v>
      </c>
    </row>
    <row r="12" spans="1:3" x14ac:dyDescent="0.25">
      <c r="A12" t="s">
        <v>119</v>
      </c>
      <c r="B12" s="3">
        <v>90</v>
      </c>
      <c r="C12" s="15">
        <v>35</v>
      </c>
    </row>
    <row r="13" spans="1:3" x14ac:dyDescent="0.25">
      <c r="A13" t="s">
        <v>120</v>
      </c>
      <c r="B13" s="3">
        <v>105</v>
      </c>
      <c r="C13" s="15">
        <v>45</v>
      </c>
    </row>
    <row r="14" spans="1:3" x14ac:dyDescent="0.25">
      <c r="A14" t="s">
        <v>121</v>
      </c>
      <c r="B14" s="3">
        <v>50</v>
      </c>
      <c r="C14" s="15">
        <v>6.9</v>
      </c>
    </row>
    <row r="15" spans="1:3" x14ac:dyDescent="0.25">
      <c r="A15" t="s">
        <v>122</v>
      </c>
      <c r="B15" s="3">
        <v>60</v>
      </c>
      <c r="C15" s="15">
        <v>6.9</v>
      </c>
    </row>
    <row r="16" spans="1:3" x14ac:dyDescent="0.25">
      <c r="A16" t="s">
        <v>123</v>
      </c>
      <c r="B16" s="3">
        <v>70</v>
      </c>
      <c r="C16" s="15">
        <v>6.9</v>
      </c>
    </row>
    <row r="17" spans="3:3" x14ac:dyDescent="0.25">
      <c r="C17" s="1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5"/>
  <sheetViews>
    <sheetView workbookViewId="0">
      <selection activeCell="B2" sqref="B2"/>
    </sheetView>
  </sheetViews>
  <sheetFormatPr defaultRowHeight="15" x14ac:dyDescent="0.25"/>
  <cols>
    <col min="1" max="1" width="19.7109375" bestFit="1" customWidth="1"/>
  </cols>
  <sheetData>
    <row r="1" spans="1:2" x14ac:dyDescent="0.25">
      <c r="A1" s="4" t="s">
        <v>105</v>
      </c>
      <c r="B1" s="4" t="s">
        <v>106</v>
      </c>
    </row>
    <row r="2" spans="1:2" x14ac:dyDescent="0.25">
      <c r="A2" t="s">
        <v>6</v>
      </c>
      <c r="B2" s="8">
        <v>0.12</v>
      </c>
    </row>
    <row r="3" spans="1:2" x14ac:dyDescent="0.25">
      <c r="A3" t="s">
        <v>7</v>
      </c>
    </row>
    <row r="4" spans="1:2" x14ac:dyDescent="0.25">
      <c r="A4" t="s">
        <v>8</v>
      </c>
    </row>
    <row r="5" spans="1:2" x14ac:dyDescent="0.25">
      <c r="A5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90"/>
  <sheetViews>
    <sheetView workbookViewId="0">
      <selection activeCell="B4" sqref="B4"/>
    </sheetView>
  </sheetViews>
  <sheetFormatPr defaultRowHeight="15" x14ac:dyDescent="0.25"/>
  <cols>
    <col min="1" max="1" width="26.5703125" bestFit="1" customWidth="1"/>
  </cols>
  <sheetData>
    <row r="1" spans="1:2" x14ac:dyDescent="0.25">
      <c r="A1" s="6" t="s">
        <v>10</v>
      </c>
      <c r="B1" s="6" t="s">
        <v>86</v>
      </c>
    </row>
    <row r="2" spans="1:2" x14ac:dyDescent="0.25">
      <c r="A2" s="1" t="s">
        <v>49</v>
      </c>
      <c r="B2" s="2">
        <v>0</v>
      </c>
    </row>
    <row r="3" spans="1:2" x14ac:dyDescent="0.25">
      <c r="A3" s="1" t="s">
        <v>11</v>
      </c>
      <c r="B3" s="2">
        <v>2</v>
      </c>
    </row>
    <row r="4" spans="1:2" x14ac:dyDescent="0.25">
      <c r="A4" s="1" t="s">
        <v>20</v>
      </c>
      <c r="B4" s="2">
        <v>3</v>
      </c>
    </row>
    <row r="5" spans="1:2" x14ac:dyDescent="0.25">
      <c r="A5" s="1" t="s">
        <v>21</v>
      </c>
      <c r="B5" s="2">
        <v>4</v>
      </c>
    </row>
    <row r="6" spans="1:2" x14ac:dyDescent="0.25">
      <c r="A6" s="1" t="s">
        <v>22</v>
      </c>
      <c r="B6" s="2">
        <v>5</v>
      </c>
    </row>
    <row r="7" spans="1:2" x14ac:dyDescent="0.25">
      <c r="A7" s="1" t="s">
        <v>17</v>
      </c>
      <c r="B7" s="2">
        <v>5</v>
      </c>
    </row>
    <row r="8" spans="1:2" x14ac:dyDescent="0.25">
      <c r="A8" s="1" t="s">
        <v>18</v>
      </c>
      <c r="B8" s="2">
        <v>5</v>
      </c>
    </row>
    <row r="9" spans="1:2" x14ac:dyDescent="0.25">
      <c r="A9" s="1" t="s">
        <v>15</v>
      </c>
      <c r="B9" s="2">
        <v>5</v>
      </c>
    </row>
    <row r="10" spans="1:2" x14ac:dyDescent="0.25">
      <c r="A10" s="1" t="s">
        <v>57</v>
      </c>
      <c r="B10" s="2">
        <v>5</v>
      </c>
    </row>
    <row r="11" spans="1:2" x14ac:dyDescent="0.25">
      <c r="A11" s="1" t="s">
        <v>23</v>
      </c>
      <c r="B11" s="2">
        <v>5</v>
      </c>
    </row>
    <row r="12" spans="1:2" x14ac:dyDescent="0.25">
      <c r="A12" s="1" t="s">
        <v>24</v>
      </c>
      <c r="B12" s="2">
        <v>5</v>
      </c>
    </row>
    <row r="13" spans="1:2" x14ac:dyDescent="0.25">
      <c r="A13" s="1" t="s">
        <v>25</v>
      </c>
      <c r="B13" s="2">
        <v>5</v>
      </c>
    </row>
    <row r="14" spans="1:2" x14ac:dyDescent="0.25">
      <c r="A14" s="1" t="s">
        <v>26</v>
      </c>
      <c r="B14" s="2">
        <v>5</v>
      </c>
    </row>
    <row r="15" spans="1:2" x14ac:dyDescent="0.25">
      <c r="A15" s="1" t="s">
        <v>27</v>
      </c>
      <c r="B15" s="2">
        <v>5</v>
      </c>
    </row>
    <row r="16" spans="1:2" x14ac:dyDescent="0.25">
      <c r="A16" s="1" t="s">
        <v>28</v>
      </c>
      <c r="B16" s="2">
        <v>5</v>
      </c>
    </row>
    <row r="17" spans="1:2" x14ac:dyDescent="0.25">
      <c r="A17" s="1" t="s">
        <v>29</v>
      </c>
      <c r="B17" s="2">
        <v>5</v>
      </c>
    </row>
    <row r="18" spans="1:2" x14ac:dyDescent="0.25">
      <c r="A18" s="1" t="s">
        <v>58</v>
      </c>
      <c r="B18" s="2">
        <v>5</v>
      </c>
    </row>
    <row r="19" spans="1:2" x14ac:dyDescent="0.25">
      <c r="A19" s="1" t="s">
        <v>59</v>
      </c>
      <c r="B19" s="2">
        <v>5</v>
      </c>
    </row>
    <row r="20" spans="1:2" x14ac:dyDescent="0.25">
      <c r="A20" s="1" t="s">
        <v>30</v>
      </c>
      <c r="B20" s="2">
        <v>5</v>
      </c>
    </row>
    <row r="21" spans="1:2" x14ac:dyDescent="0.25">
      <c r="A21" s="1" t="s">
        <v>31</v>
      </c>
      <c r="B21" s="2">
        <v>5</v>
      </c>
    </row>
    <row r="22" spans="1:2" x14ac:dyDescent="0.25">
      <c r="A22" s="1" t="s">
        <v>32</v>
      </c>
      <c r="B22" s="2">
        <v>5</v>
      </c>
    </row>
    <row r="23" spans="1:2" x14ac:dyDescent="0.25">
      <c r="A23" s="1" t="s">
        <v>33</v>
      </c>
      <c r="B23" s="2">
        <v>5</v>
      </c>
    </row>
    <row r="24" spans="1:2" x14ac:dyDescent="0.25">
      <c r="A24" s="1" t="s">
        <v>61</v>
      </c>
      <c r="B24" s="2">
        <v>5</v>
      </c>
    </row>
    <row r="25" spans="1:2" x14ac:dyDescent="0.25">
      <c r="A25" s="1" t="s">
        <v>62</v>
      </c>
      <c r="B25" s="2">
        <v>5</v>
      </c>
    </row>
    <row r="26" spans="1:2" x14ac:dyDescent="0.25">
      <c r="A26" s="1" t="s">
        <v>34</v>
      </c>
      <c r="B26" s="2">
        <v>5</v>
      </c>
    </row>
    <row r="27" spans="1:2" x14ac:dyDescent="0.25">
      <c r="A27" s="1" t="s">
        <v>60</v>
      </c>
      <c r="B27" s="2">
        <v>5</v>
      </c>
    </row>
    <row r="28" spans="1:2" x14ac:dyDescent="0.25">
      <c r="A28" s="1" t="s">
        <v>35</v>
      </c>
      <c r="B28" s="2">
        <v>5</v>
      </c>
    </row>
    <row r="29" spans="1:2" x14ac:dyDescent="0.25">
      <c r="A29" s="1" t="s">
        <v>36</v>
      </c>
      <c r="B29" s="2">
        <v>5</v>
      </c>
    </row>
    <row r="30" spans="1:2" x14ac:dyDescent="0.25">
      <c r="A30" s="1" t="s">
        <v>37</v>
      </c>
      <c r="B30" s="2">
        <v>5</v>
      </c>
    </row>
    <row r="31" spans="1:2" x14ac:dyDescent="0.25">
      <c r="A31" s="1" t="s">
        <v>38</v>
      </c>
      <c r="B31" s="2">
        <v>5</v>
      </c>
    </row>
    <row r="32" spans="1:2" x14ac:dyDescent="0.25">
      <c r="A32" s="1" t="s">
        <v>43</v>
      </c>
      <c r="B32" s="2">
        <v>5</v>
      </c>
    </row>
    <row r="33" spans="1:2" x14ac:dyDescent="0.25">
      <c r="A33" s="1" t="s">
        <v>39</v>
      </c>
      <c r="B33" s="2">
        <v>5</v>
      </c>
    </row>
    <row r="34" spans="1:2" x14ac:dyDescent="0.25">
      <c r="A34" s="1" t="s">
        <v>40</v>
      </c>
      <c r="B34" s="2">
        <v>5</v>
      </c>
    </row>
    <row r="35" spans="1:2" x14ac:dyDescent="0.25">
      <c r="A35" s="1" t="s">
        <v>41</v>
      </c>
      <c r="B35" s="2">
        <v>5</v>
      </c>
    </row>
    <row r="36" spans="1:2" x14ac:dyDescent="0.25">
      <c r="A36" s="1" t="s">
        <v>90</v>
      </c>
      <c r="B36" s="2">
        <v>5</v>
      </c>
    </row>
    <row r="37" spans="1:2" x14ac:dyDescent="0.25">
      <c r="A37" s="1" t="s">
        <v>91</v>
      </c>
      <c r="B37" s="2">
        <v>5</v>
      </c>
    </row>
    <row r="38" spans="1:2" x14ac:dyDescent="0.25">
      <c r="A38" s="1" t="s">
        <v>92</v>
      </c>
      <c r="B38" s="2">
        <v>5</v>
      </c>
    </row>
    <row r="39" spans="1:2" x14ac:dyDescent="0.25">
      <c r="A39" s="1" t="s">
        <v>93</v>
      </c>
      <c r="B39" s="2">
        <v>5</v>
      </c>
    </row>
    <row r="40" spans="1:2" x14ac:dyDescent="0.25">
      <c r="A40" s="1" t="s">
        <v>94</v>
      </c>
      <c r="B40" s="2">
        <v>5</v>
      </c>
    </row>
    <row r="41" spans="1:2" x14ac:dyDescent="0.25">
      <c r="A41" s="1" t="s">
        <v>95</v>
      </c>
      <c r="B41" s="2">
        <v>5</v>
      </c>
    </row>
    <row r="42" spans="1:2" x14ac:dyDescent="0.25">
      <c r="A42" s="1" t="s">
        <v>96</v>
      </c>
      <c r="B42" s="2">
        <v>5</v>
      </c>
    </row>
    <row r="43" spans="1:2" x14ac:dyDescent="0.25">
      <c r="A43" s="1" t="s">
        <v>97</v>
      </c>
      <c r="B43" s="2">
        <v>5</v>
      </c>
    </row>
    <row r="44" spans="1:2" x14ac:dyDescent="0.25">
      <c r="A44" s="1" t="s">
        <v>98</v>
      </c>
      <c r="B44" s="2">
        <v>5</v>
      </c>
    </row>
    <row r="45" spans="1:2" x14ac:dyDescent="0.25">
      <c r="A45" s="1" t="s">
        <v>99</v>
      </c>
      <c r="B45" s="2">
        <v>5</v>
      </c>
    </row>
    <row r="46" spans="1:2" x14ac:dyDescent="0.25">
      <c r="A46" s="1" t="s">
        <v>100</v>
      </c>
      <c r="B46" s="2">
        <v>5</v>
      </c>
    </row>
    <row r="47" spans="1:2" x14ac:dyDescent="0.25">
      <c r="A47" s="1" t="s">
        <v>101</v>
      </c>
      <c r="B47" s="2">
        <v>5</v>
      </c>
    </row>
    <row r="48" spans="1:2" x14ac:dyDescent="0.25">
      <c r="A48" s="1" t="s">
        <v>16</v>
      </c>
      <c r="B48" s="2">
        <v>5</v>
      </c>
    </row>
    <row r="49" spans="1:2" x14ac:dyDescent="0.25">
      <c r="A49" s="1" t="s">
        <v>89</v>
      </c>
      <c r="B49" s="2">
        <v>5</v>
      </c>
    </row>
    <row r="50" spans="1:2" x14ac:dyDescent="0.25">
      <c r="A50" s="1" t="s">
        <v>42</v>
      </c>
      <c r="B50" s="2">
        <v>5</v>
      </c>
    </row>
    <row r="51" spans="1:2" x14ac:dyDescent="0.25">
      <c r="A51" s="1" t="s">
        <v>65</v>
      </c>
      <c r="B51" s="2">
        <v>5</v>
      </c>
    </row>
    <row r="52" spans="1:2" x14ac:dyDescent="0.25">
      <c r="A52" s="1" t="s">
        <v>47</v>
      </c>
      <c r="B52" s="2">
        <v>5</v>
      </c>
    </row>
    <row r="53" spans="1:2" x14ac:dyDescent="0.25">
      <c r="A53" s="1" t="s">
        <v>48</v>
      </c>
      <c r="B53" s="2">
        <v>5</v>
      </c>
    </row>
    <row r="54" spans="1:2" x14ac:dyDescent="0.25">
      <c r="A54" s="1" t="s">
        <v>66</v>
      </c>
      <c r="B54" s="2">
        <v>5</v>
      </c>
    </row>
    <row r="55" spans="1:2" x14ac:dyDescent="0.25">
      <c r="A55" s="1" t="s">
        <v>50</v>
      </c>
      <c r="B55" s="2">
        <v>5</v>
      </c>
    </row>
    <row r="56" spans="1:2" x14ac:dyDescent="0.25">
      <c r="A56" s="1" t="s">
        <v>51</v>
      </c>
      <c r="B56" s="2">
        <v>5</v>
      </c>
    </row>
    <row r="57" spans="1:2" x14ac:dyDescent="0.25">
      <c r="A57" s="1" t="s">
        <v>52</v>
      </c>
      <c r="B57" s="2">
        <v>5</v>
      </c>
    </row>
    <row r="58" spans="1:2" x14ac:dyDescent="0.25">
      <c r="A58" s="1" t="s">
        <v>87</v>
      </c>
      <c r="B58" s="2">
        <v>5</v>
      </c>
    </row>
    <row r="59" spans="1:2" x14ac:dyDescent="0.25">
      <c r="A59" s="1" t="s">
        <v>67</v>
      </c>
      <c r="B59" s="2">
        <v>5</v>
      </c>
    </row>
    <row r="60" spans="1:2" x14ac:dyDescent="0.25">
      <c r="A60" s="1" t="s">
        <v>68</v>
      </c>
      <c r="B60" s="2">
        <v>5</v>
      </c>
    </row>
    <row r="61" spans="1:2" x14ac:dyDescent="0.25">
      <c r="A61" s="1" t="s">
        <v>53</v>
      </c>
      <c r="B61" s="2">
        <v>5</v>
      </c>
    </row>
    <row r="62" spans="1:2" x14ac:dyDescent="0.25">
      <c r="A62" s="1" t="s">
        <v>54</v>
      </c>
      <c r="B62" s="2">
        <v>5</v>
      </c>
    </row>
    <row r="63" spans="1:2" x14ac:dyDescent="0.25">
      <c r="A63" s="1" t="s">
        <v>69</v>
      </c>
      <c r="B63" s="2">
        <v>5</v>
      </c>
    </row>
    <row r="64" spans="1:2" x14ac:dyDescent="0.25">
      <c r="A64" s="1" t="s">
        <v>55</v>
      </c>
      <c r="B64" s="2">
        <v>5</v>
      </c>
    </row>
    <row r="65" spans="1:2" x14ac:dyDescent="0.25">
      <c r="A65" s="1" t="s">
        <v>56</v>
      </c>
      <c r="B65" s="2">
        <v>5</v>
      </c>
    </row>
    <row r="66" spans="1:2" x14ac:dyDescent="0.25">
      <c r="A66" s="1" t="s">
        <v>63</v>
      </c>
      <c r="B66" s="2">
        <v>5</v>
      </c>
    </row>
    <row r="67" spans="1:2" x14ac:dyDescent="0.25">
      <c r="A67" s="1" t="s">
        <v>70</v>
      </c>
      <c r="B67" s="2">
        <v>5</v>
      </c>
    </row>
    <row r="68" spans="1:2" x14ac:dyDescent="0.25">
      <c r="A68" s="1" t="s">
        <v>19</v>
      </c>
      <c r="B68" s="2">
        <v>5</v>
      </c>
    </row>
    <row r="69" spans="1:2" x14ac:dyDescent="0.25">
      <c r="A69" s="1" t="s">
        <v>45</v>
      </c>
      <c r="B69" s="2">
        <v>5</v>
      </c>
    </row>
    <row r="70" spans="1:2" x14ac:dyDescent="0.25">
      <c r="A70" s="1" t="s">
        <v>72</v>
      </c>
      <c r="B70" s="2">
        <v>5</v>
      </c>
    </row>
    <row r="71" spans="1:2" x14ac:dyDescent="0.25">
      <c r="A71" s="1" t="s">
        <v>73</v>
      </c>
      <c r="B71" s="2">
        <v>5</v>
      </c>
    </row>
    <row r="72" spans="1:2" x14ac:dyDescent="0.25">
      <c r="A72" s="1" t="s">
        <v>74</v>
      </c>
      <c r="B72" s="2">
        <v>5</v>
      </c>
    </row>
    <row r="73" spans="1:2" x14ac:dyDescent="0.25">
      <c r="A73" s="1" t="s">
        <v>75</v>
      </c>
      <c r="B73" s="2">
        <v>5</v>
      </c>
    </row>
    <row r="74" spans="1:2" x14ac:dyDescent="0.25">
      <c r="A74" s="1" t="s">
        <v>76</v>
      </c>
      <c r="B74" s="2">
        <v>5</v>
      </c>
    </row>
    <row r="75" spans="1:2" x14ac:dyDescent="0.25">
      <c r="A75" s="1" t="s">
        <v>12</v>
      </c>
      <c r="B75" s="2">
        <v>5</v>
      </c>
    </row>
    <row r="76" spans="1:2" x14ac:dyDescent="0.25">
      <c r="A76" s="1" t="s">
        <v>13</v>
      </c>
      <c r="B76" s="2">
        <v>5</v>
      </c>
    </row>
    <row r="77" spans="1:2" x14ac:dyDescent="0.25">
      <c r="A77" s="1" t="s">
        <v>14</v>
      </c>
      <c r="B77" s="2">
        <v>5</v>
      </c>
    </row>
    <row r="78" spans="1:2" x14ac:dyDescent="0.25">
      <c r="A78" s="1" t="s">
        <v>77</v>
      </c>
      <c r="B78" s="2">
        <v>5</v>
      </c>
    </row>
    <row r="79" spans="1:2" x14ac:dyDescent="0.25">
      <c r="A79" s="1" t="s">
        <v>71</v>
      </c>
      <c r="B79" s="2">
        <v>5</v>
      </c>
    </row>
    <row r="80" spans="1:2" x14ac:dyDescent="0.25">
      <c r="A80" s="1" t="s">
        <v>78</v>
      </c>
      <c r="B80" s="2">
        <v>5</v>
      </c>
    </row>
    <row r="81" spans="1:2" x14ac:dyDescent="0.25">
      <c r="A81" s="1" t="s">
        <v>88</v>
      </c>
      <c r="B81" s="2">
        <v>5</v>
      </c>
    </row>
    <row r="82" spans="1:2" x14ac:dyDescent="0.25">
      <c r="A82" s="1" t="s">
        <v>79</v>
      </c>
      <c r="B82" s="2">
        <v>5</v>
      </c>
    </row>
    <row r="83" spans="1:2" x14ac:dyDescent="0.25">
      <c r="A83" s="1" t="s">
        <v>80</v>
      </c>
      <c r="B83" s="2">
        <v>5</v>
      </c>
    </row>
    <row r="84" spans="1:2" x14ac:dyDescent="0.25">
      <c r="A84" s="1" t="s">
        <v>81</v>
      </c>
      <c r="B84" s="2">
        <v>5</v>
      </c>
    </row>
    <row r="85" spans="1:2" x14ac:dyDescent="0.25">
      <c r="A85" s="1" t="s">
        <v>44</v>
      </c>
      <c r="B85" s="2">
        <v>5</v>
      </c>
    </row>
    <row r="86" spans="1:2" x14ac:dyDescent="0.25">
      <c r="A86" s="1" t="s">
        <v>82</v>
      </c>
      <c r="B86" s="2">
        <v>5</v>
      </c>
    </row>
    <row r="87" spans="1:2" x14ac:dyDescent="0.25">
      <c r="A87" s="1" t="s">
        <v>64</v>
      </c>
      <c r="B87" s="2">
        <v>5</v>
      </c>
    </row>
    <row r="88" spans="1:2" x14ac:dyDescent="0.25">
      <c r="A88" s="1" t="s">
        <v>46</v>
      </c>
      <c r="B88" s="2">
        <v>5</v>
      </c>
    </row>
    <row r="89" spans="1:2" x14ac:dyDescent="0.25">
      <c r="A89" s="1" t="s">
        <v>83</v>
      </c>
      <c r="B89" s="2">
        <v>5</v>
      </c>
    </row>
    <row r="90" spans="1:2" x14ac:dyDescent="0.25">
      <c r="A90" s="1" t="s">
        <v>84</v>
      </c>
      <c r="B90" s="2">
        <v>5</v>
      </c>
    </row>
  </sheetData>
  <sortState ref="A1:A90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50"/>
  <sheetViews>
    <sheetView topLeftCell="A30" workbookViewId="0">
      <selection activeCell="E56" sqref="E56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FEBC0-7ED6-4593-B12A-52F2AA70E6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VENDAS</vt:lpstr>
      <vt:lpstr>Cardápio</vt:lpstr>
      <vt:lpstr>Tipos Venda</vt:lpstr>
      <vt:lpstr>Bairros</vt:lpstr>
      <vt:lpstr>Quantidade</vt:lpstr>
      <vt:lpstr>TipoVenda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Edivan Dias</dc:creator>
  <cp:lastModifiedBy>Edivan Dias</cp:lastModifiedBy>
  <dcterms:created xsi:type="dcterms:W3CDTF">2023-10-22T01:11:23Z</dcterms:created>
  <dcterms:modified xsi:type="dcterms:W3CDTF">2024-04-23T00:04:44Z</dcterms:modified>
</cp:coreProperties>
</file>